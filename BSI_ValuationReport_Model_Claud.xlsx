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429FF8E7-2433-484E-B3B2-490A7209DFFD}" xr6:coauthVersionLast="47" xr6:coauthVersionMax="47" xr10:uidLastSave="{00000000-0000-0000-0000-000000000000}"/>
  <bookViews>
    <workbookView xWindow="-120" yWindow="-120" windowWidth="20730" windowHeight="11040" xr2:uid="{00000000-000D-0000-FFFF-FFFF00000000}"/>
  </bookViews>
  <sheets>
    <sheet name="README" sheetId="1" r:id="rId1"/>
    <sheet name="Dashboard" sheetId="2" r:id="rId2"/>
    <sheet name="Sheet1" sheetId="3" r:id="rId3"/>
    <sheet name="Valuation_Checks" sheetId="4" r:id="rId4"/>
    <sheet name="Charts" sheetId="5" r:id="rId5"/>
    <sheet name="Terminal_ROE" sheetId="6" r:id="rId6"/>
    <sheet name="Beta_Evidence" sheetId="7" r:id="rId7"/>
    <sheet name="Prob_Justification" sheetId="8" r:id="rId8"/>
    <sheet name="Damodaran_Audit" sheetId="9" r:id="rId9"/>
    <sheet name="Driver_Check" sheetId="10" r:id="rId10"/>
    <sheet name="CF_Direct" sheetId="11" r:id="rId11"/>
    <sheet name="Input_Register" sheetId="12" r:id="rId12"/>
    <sheet name="Beta" sheetId="13" r:id="rId13"/>
    <sheet name="Returns" sheetId="14" r:id="rId14"/>
    <sheet name="Prices" sheetId="15" r:id="rId15"/>
    <sheet name="Change_Log" sheetId="16" r:id="rId16"/>
    <sheet name="00_Dashboard" sheetId="17" r:id="rId17"/>
    <sheet name="01_Sources_Control" sheetId="18" r:id="rId18"/>
    <sheet name="02_Historical_FS" sheetId="19" r:id="rId19"/>
    <sheet name="03_Historical_Ratios" sheetId="20" r:id="rId20"/>
    <sheet name="04_Market_Beta" sheetId="21" r:id="rId21"/>
    <sheet name="05_Assumptions" sheetId="22" r:id="rId22"/>
    <sheet name="06_Financing_Funding" sheetId="23" r:id="rId23"/>
    <sheet name="07_Credit_Capital" sheetId="24" r:id="rId24"/>
    <sheet name="08_Financial_Forecast" sheetId="25" r:id="rId25"/>
    <sheet name="09_DDM_Valuation" sheetId="26" r:id="rId26"/>
    <sheet name="10_RI_Valuation" sheetId="27" r:id="rId27"/>
    <sheet name="11_Relative_Valuation" sheetId="28" r:id="rId28"/>
    <sheet name="12_Scenario_Analysis" sheetId="29" r:id="rId29"/>
    <sheet name="13_Model_Checks" sheetId="30" r:id="rId30"/>
    <sheet name="14_Documentation" sheetId="31" r:id="rId3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2" i="31" l="1"/>
  <c r="R22" i="31"/>
  <c r="Q22" i="31"/>
  <c r="P22" i="31"/>
  <c r="O22" i="31"/>
  <c r="N22" i="31"/>
  <c r="M22" i="31"/>
  <c r="L22" i="31"/>
  <c r="K22" i="31"/>
  <c r="J22" i="31"/>
  <c r="I22" i="31"/>
  <c r="H22" i="31"/>
  <c r="G22" i="31"/>
  <c r="F22" i="31"/>
  <c r="S21" i="31"/>
  <c r="R21" i="31"/>
  <c r="Q21" i="31"/>
  <c r="P21" i="31"/>
  <c r="O21" i="31"/>
  <c r="N21" i="31"/>
  <c r="M21" i="31"/>
  <c r="L21" i="31"/>
  <c r="K21" i="31"/>
  <c r="J21" i="31"/>
  <c r="I21" i="31"/>
  <c r="H21" i="31"/>
  <c r="G21" i="31"/>
  <c r="F21" i="31"/>
  <c r="S20" i="31"/>
  <c r="R20" i="31"/>
  <c r="Q20" i="31"/>
  <c r="P20" i="31"/>
  <c r="O20" i="31"/>
  <c r="N20" i="31"/>
  <c r="M20" i="31"/>
  <c r="L20" i="31"/>
  <c r="K20" i="31"/>
  <c r="J20" i="31"/>
  <c r="I20" i="31"/>
  <c r="H20" i="31"/>
  <c r="G20" i="31"/>
  <c r="F20" i="31"/>
  <c r="S18" i="31"/>
  <c r="R18" i="31"/>
  <c r="Q18" i="31"/>
  <c r="P18" i="31"/>
  <c r="O18" i="31"/>
  <c r="N18" i="31"/>
  <c r="M18" i="31"/>
  <c r="L18" i="31"/>
  <c r="K18" i="31"/>
  <c r="J18" i="31"/>
  <c r="I18" i="31"/>
  <c r="H18" i="31"/>
  <c r="G18" i="31"/>
  <c r="F18" i="31"/>
  <c r="S17" i="31"/>
  <c r="R17" i="31"/>
  <c r="Q17" i="31"/>
  <c r="P17" i="31"/>
  <c r="O17" i="31"/>
  <c r="N17" i="31"/>
  <c r="M17" i="31"/>
  <c r="L17" i="31"/>
  <c r="K17" i="31"/>
  <c r="J17" i="31"/>
  <c r="I17" i="31"/>
  <c r="H17" i="31"/>
  <c r="G17" i="31"/>
  <c r="F17" i="31"/>
  <c r="E17" i="31"/>
  <c r="S16" i="31"/>
  <c r="R16" i="31"/>
  <c r="Q16" i="31"/>
  <c r="P16" i="31"/>
  <c r="O16" i="31"/>
  <c r="N16" i="31"/>
  <c r="M16" i="31"/>
  <c r="L16" i="31"/>
  <c r="K16" i="31"/>
  <c r="J16" i="31"/>
  <c r="I16" i="31"/>
  <c r="H16" i="31"/>
  <c r="G16" i="31"/>
  <c r="F16" i="31"/>
  <c r="E16" i="31"/>
  <c r="S15" i="31"/>
  <c r="R15" i="31"/>
  <c r="Q15" i="31"/>
  <c r="P15" i="31"/>
  <c r="O15" i="31"/>
  <c r="N15" i="31"/>
  <c r="M15" i="31"/>
  <c r="L15" i="31"/>
  <c r="K15" i="31"/>
  <c r="J15" i="31"/>
  <c r="I15" i="31"/>
  <c r="H15" i="31"/>
  <c r="G15" i="31"/>
  <c r="F15" i="31"/>
  <c r="E15" i="31"/>
  <c r="S14" i="31"/>
  <c r="R14" i="31"/>
  <c r="Q14" i="31"/>
  <c r="P14" i="31"/>
  <c r="O14" i="31"/>
  <c r="N14" i="31"/>
  <c r="M14" i="31"/>
  <c r="L14" i="31"/>
  <c r="K14" i="31"/>
  <c r="J14" i="31"/>
  <c r="I14" i="31"/>
  <c r="H14" i="31"/>
  <c r="G14" i="31"/>
  <c r="F14" i="31"/>
  <c r="E14" i="31"/>
  <c r="S13" i="31"/>
  <c r="R13" i="31"/>
  <c r="Q13" i="31"/>
  <c r="P13" i="31"/>
  <c r="O13" i="31"/>
  <c r="N13" i="31"/>
  <c r="M13" i="31"/>
  <c r="L13" i="31"/>
  <c r="K13" i="31"/>
  <c r="J13" i="31"/>
  <c r="I13" i="31"/>
  <c r="H13" i="31"/>
  <c r="G13" i="31"/>
  <c r="F13" i="31"/>
  <c r="E13" i="31"/>
  <c r="S12" i="31"/>
  <c r="R12" i="31"/>
  <c r="Q12" i="31"/>
  <c r="P12" i="31"/>
  <c r="O12" i="31"/>
  <c r="N12" i="31"/>
  <c r="M12" i="31"/>
  <c r="L12" i="31"/>
  <c r="K12" i="31"/>
  <c r="J12" i="31"/>
  <c r="I12" i="31"/>
  <c r="H12" i="31"/>
  <c r="G12" i="31"/>
  <c r="F12" i="31"/>
  <c r="E12" i="31"/>
  <c r="S11" i="31"/>
  <c r="R11" i="31"/>
  <c r="Q11" i="31"/>
  <c r="P11" i="31"/>
  <c r="O11" i="31"/>
  <c r="N11" i="31"/>
  <c r="M11" i="31"/>
  <c r="L11" i="31"/>
  <c r="K11" i="31"/>
  <c r="J11" i="31"/>
  <c r="I11" i="31"/>
  <c r="H11" i="31"/>
  <c r="G11" i="31"/>
  <c r="F11" i="31"/>
  <c r="E11" i="31"/>
  <c r="S10" i="31"/>
  <c r="R10" i="31"/>
  <c r="Q10" i="31"/>
  <c r="P10" i="31"/>
  <c r="O10" i="31"/>
  <c r="N10" i="31"/>
  <c r="M10" i="31"/>
  <c r="L10" i="31"/>
  <c r="K10" i="31"/>
  <c r="J10" i="31"/>
  <c r="I10" i="31"/>
  <c r="H10" i="31"/>
  <c r="G10" i="31"/>
  <c r="F10" i="31"/>
  <c r="S9" i="31"/>
  <c r="R9" i="31"/>
  <c r="Q9" i="31"/>
  <c r="P9" i="31"/>
  <c r="O9" i="31"/>
  <c r="N9" i="31"/>
  <c r="M9" i="31"/>
  <c r="L9" i="31"/>
  <c r="K9" i="31"/>
  <c r="J9" i="31"/>
  <c r="I9" i="31"/>
  <c r="H9" i="31"/>
  <c r="G9" i="31"/>
  <c r="F9" i="31"/>
  <c r="E9" i="31"/>
  <c r="S8" i="31"/>
  <c r="R8" i="31"/>
  <c r="Q8" i="31"/>
  <c r="P8" i="31"/>
  <c r="O8" i="31"/>
  <c r="N8" i="31"/>
  <c r="M8" i="31"/>
  <c r="L8" i="31"/>
  <c r="K8" i="31"/>
  <c r="J8" i="31"/>
  <c r="I8" i="31"/>
  <c r="H8" i="31"/>
  <c r="G8" i="31"/>
  <c r="F8" i="31"/>
  <c r="S7" i="31"/>
  <c r="R7" i="31"/>
  <c r="Q7" i="31"/>
  <c r="P7" i="31"/>
  <c r="O7" i="31"/>
  <c r="N7" i="31"/>
  <c r="M7" i="31"/>
  <c r="L7" i="31"/>
  <c r="K7" i="31"/>
  <c r="J7" i="31"/>
  <c r="I7" i="31"/>
  <c r="H7" i="31"/>
  <c r="G7" i="31"/>
  <c r="F7" i="31"/>
  <c r="E7" i="31"/>
  <c r="S5" i="31"/>
  <c r="R5" i="31"/>
  <c r="Q5" i="31"/>
  <c r="P5" i="31"/>
  <c r="O5" i="31"/>
  <c r="N5" i="31"/>
  <c r="M5" i="31"/>
  <c r="L5" i="31"/>
  <c r="K5" i="31"/>
  <c r="J5" i="31"/>
  <c r="I5" i="31"/>
  <c r="H5" i="31"/>
  <c r="G5" i="31"/>
  <c r="F5" i="31"/>
  <c r="E5" i="31"/>
  <c r="S27" i="30"/>
  <c r="R27" i="30"/>
  <c r="Q27" i="30"/>
  <c r="P27" i="30"/>
  <c r="O27" i="30"/>
  <c r="N27" i="30"/>
  <c r="M27" i="30"/>
  <c r="L27" i="30"/>
  <c r="K27" i="30"/>
  <c r="J27" i="30"/>
  <c r="I27" i="30"/>
  <c r="H27" i="30"/>
  <c r="G27" i="30"/>
  <c r="F27" i="30"/>
  <c r="S26" i="30"/>
  <c r="R26" i="30"/>
  <c r="Q26" i="30"/>
  <c r="P26" i="30"/>
  <c r="O26" i="30"/>
  <c r="N26" i="30"/>
  <c r="M26" i="30"/>
  <c r="L26" i="30"/>
  <c r="K26" i="30"/>
  <c r="J26" i="30"/>
  <c r="I26" i="30"/>
  <c r="H26" i="30"/>
  <c r="G26" i="30"/>
  <c r="F26" i="30"/>
  <c r="S24" i="30"/>
  <c r="R24" i="30"/>
  <c r="Q24" i="30"/>
  <c r="P24" i="30"/>
  <c r="O24" i="30"/>
  <c r="N24" i="30"/>
  <c r="M24" i="30"/>
  <c r="L24" i="30"/>
  <c r="K24" i="30"/>
  <c r="J24" i="30"/>
  <c r="I24" i="30"/>
  <c r="H24" i="30"/>
  <c r="G24" i="30"/>
  <c r="F24" i="30"/>
  <c r="S23" i="30"/>
  <c r="R23" i="30"/>
  <c r="Q23" i="30"/>
  <c r="P23" i="30"/>
  <c r="O23" i="30"/>
  <c r="N23" i="30"/>
  <c r="M23" i="30"/>
  <c r="L23" i="30"/>
  <c r="K23" i="30"/>
  <c r="J23" i="30"/>
  <c r="I23" i="30"/>
  <c r="H23" i="30"/>
  <c r="G23" i="30"/>
  <c r="F23" i="30"/>
  <c r="S22" i="30"/>
  <c r="R22" i="30"/>
  <c r="Q22" i="30"/>
  <c r="P22" i="30"/>
  <c r="O22" i="30"/>
  <c r="N22" i="30"/>
  <c r="M22" i="30"/>
  <c r="L22" i="30"/>
  <c r="K22" i="30"/>
  <c r="J22" i="30"/>
  <c r="I22" i="30"/>
  <c r="H22" i="30"/>
  <c r="G22" i="30"/>
  <c r="F22" i="30"/>
  <c r="S21" i="30"/>
  <c r="R21" i="30"/>
  <c r="Q21" i="30"/>
  <c r="P21" i="30"/>
  <c r="O21" i="30"/>
  <c r="N21" i="30"/>
  <c r="M21" i="30"/>
  <c r="L21" i="30"/>
  <c r="K21" i="30"/>
  <c r="J21" i="30"/>
  <c r="I21" i="30"/>
  <c r="H21" i="30"/>
  <c r="G21" i="30"/>
  <c r="F21" i="30"/>
  <c r="I18" i="30"/>
  <c r="H18" i="30"/>
  <c r="G18" i="30"/>
  <c r="F18" i="30"/>
  <c r="E18" i="30"/>
  <c r="S17" i="30"/>
  <c r="R17" i="30"/>
  <c r="Q17" i="30"/>
  <c r="P17" i="30"/>
  <c r="O17" i="30"/>
  <c r="N17" i="30"/>
  <c r="M17" i="30"/>
  <c r="L17" i="30"/>
  <c r="K17" i="30"/>
  <c r="J17" i="30"/>
  <c r="H17" i="30"/>
  <c r="G17" i="30"/>
  <c r="F17" i="30"/>
  <c r="E17" i="30"/>
  <c r="I15" i="30"/>
  <c r="H15" i="30"/>
  <c r="G15" i="30"/>
  <c r="F15" i="30"/>
  <c r="E15" i="30"/>
  <c r="I14" i="30"/>
  <c r="H14" i="30"/>
  <c r="G14" i="30"/>
  <c r="F14" i="30"/>
  <c r="E14" i="30"/>
  <c r="I13" i="30"/>
  <c r="H13" i="30"/>
  <c r="G13" i="30"/>
  <c r="F13" i="30"/>
  <c r="E13" i="30"/>
  <c r="I12" i="30"/>
  <c r="H12" i="30"/>
  <c r="G12" i="30"/>
  <c r="F12" i="30"/>
  <c r="E12" i="30"/>
  <c r="I11" i="30"/>
  <c r="H11" i="30"/>
  <c r="G11" i="30"/>
  <c r="F11" i="30"/>
  <c r="E11" i="30"/>
  <c r="S10" i="30"/>
  <c r="R10" i="30"/>
  <c r="Q10" i="30"/>
  <c r="P10" i="30"/>
  <c r="O10" i="30"/>
  <c r="N10" i="30"/>
  <c r="M10" i="30"/>
  <c r="L10" i="30"/>
  <c r="K10" i="30"/>
  <c r="J10" i="30"/>
  <c r="G10" i="30"/>
  <c r="F10" i="30"/>
  <c r="E10" i="30"/>
  <c r="S9" i="30"/>
  <c r="R9" i="30"/>
  <c r="Q9" i="30"/>
  <c r="P9" i="30"/>
  <c r="O9" i="30"/>
  <c r="N9" i="30"/>
  <c r="M9" i="30"/>
  <c r="L9" i="30"/>
  <c r="K9" i="30"/>
  <c r="J9" i="30"/>
  <c r="S7" i="30"/>
  <c r="R7" i="30"/>
  <c r="Q7" i="30"/>
  <c r="P7" i="30"/>
  <c r="O7" i="30"/>
  <c r="N7" i="30"/>
  <c r="M7" i="30"/>
  <c r="L7" i="30"/>
  <c r="K7" i="30"/>
  <c r="J7" i="30"/>
  <c r="I7" i="30"/>
  <c r="H7" i="30"/>
  <c r="G7" i="30"/>
  <c r="F7" i="30"/>
  <c r="E7" i="30"/>
  <c r="S5" i="30"/>
  <c r="R5" i="30"/>
  <c r="Q5" i="30"/>
  <c r="P5" i="30"/>
  <c r="O5" i="30"/>
  <c r="N5" i="30"/>
  <c r="M5" i="30"/>
  <c r="L5" i="30"/>
  <c r="K5" i="30"/>
  <c r="J5" i="30"/>
  <c r="I5" i="30"/>
  <c r="H5" i="30"/>
  <c r="G5" i="30"/>
  <c r="F5" i="30"/>
  <c r="E5" i="30"/>
  <c r="S70" i="29"/>
  <c r="R70" i="29"/>
  <c r="Q70" i="29"/>
  <c r="P70" i="29"/>
  <c r="O70" i="29"/>
  <c r="N70" i="29"/>
  <c r="M70" i="29"/>
  <c r="L70" i="29"/>
  <c r="K70" i="29"/>
  <c r="J70" i="29"/>
  <c r="I70" i="29"/>
  <c r="H70" i="29"/>
  <c r="G70" i="29"/>
  <c r="F70" i="29"/>
  <c r="S69" i="29"/>
  <c r="R69" i="29"/>
  <c r="Q69" i="29"/>
  <c r="P69" i="29"/>
  <c r="O69" i="29"/>
  <c r="N69" i="29"/>
  <c r="M69" i="29"/>
  <c r="L69" i="29"/>
  <c r="K69" i="29"/>
  <c r="J69" i="29"/>
  <c r="G69" i="29"/>
  <c r="F69" i="29"/>
  <c r="E69" i="29"/>
  <c r="S68" i="29"/>
  <c r="R68" i="29"/>
  <c r="Q68" i="29"/>
  <c r="P68" i="29"/>
  <c r="O68" i="29"/>
  <c r="N68" i="29"/>
  <c r="M68" i="29"/>
  <c r="L68" i="29"/>
  <c r="K68" i="29"/>
  <c r="J68" i="29"/>
  <c r="G68" i="29"/>
  <c r="F68" i="29"/>
  <c r="E68" i="29"/>
  <c r="S67" i="29"/>
  <c r="R67" i="29"/>
  <c r="Q67" i="29"/>
  <c r="P67" i="29"/>
  <c r="O67" i="29"/>
  <c r="N67" i="29"/>
  <c r="M67" i="29"/>
  <c r="L67" i="29"/>
  <c r="K67" i="29"/>
  <c r="J67" i="29"/>
  <c r="G67" i="29"/>
  <c r="F67" i="29"/>
  <c r="E67" i="29"/>
  <c r="S66" i="29"/>
  <c r="R66" i="29"/>
  <c r="Q66" i="29"/>
  <c r="P66" i="29"/>
  <c r="O66" i="29"/>
  <c r="N66" i="29"/>
  <c r="M66" i="29"/>
  <c r="L66" i="29"/>
  <c r="K66" i="29"/>
  <c r="J66" i="29"/>
  <c r="G66" i="29"/>
  <c r="F66" i="29"/>
  <c r="E66" i="29"/>
  <c r="S65" i="29"/>
  <c r="R65" i="29"/>
  <c r="Q65" i="29"/>
  <c r="P65" i="29"/>
  <c r="O65" i="29"/>
  <c r="N65" i="29"/>
  <c r="M65" i="29"/>
  <c r="L65" i="29"/>
  <c r="K65" i="29"/>
  <c r="J65" i="29"/>
  <c r="G65" i="29"/>
  <c r="F65" i="29"/>
  <c r="E65" i="29"/>
  <c r="S64" i="29"/>
  <c r="R64" i="29"/>
  <c r="Q64" i="29"/>
  <c r="P64" i="29"/>
  <c r="O64" i="29"/>
  <c r="N64" i="29"/>
  <c r="M64" i="29"/>
  <c r="L64" i="29"/>
  <c r="K64" i="29"/>
  <c r="J64" i="29"/>
  <c r="G64" i="29"/>
  <c r="F64" i="29"/>
  <c r="E64" i="29"/>
  <c r="S63" i="29"/>
  <c r="R63" i="29"/>
  <c r="Q63" i="29"/>
  <c r="P63" i="29"/>
  <c r="O63" i="29"/>
  <c r="N63" i="29"/>
  <c r="M63" i="29"/>
  <c r="L63" i="29"/>
  <c r="K63" i="29"/>
  <c r="J63" i="29"/>
  <c r="G63" i="29"/>
  <c r="F63" i="29"/>
  <c r="E63" i="29"/>
  <c r="S62" i="29"/>
  <c r="R62" i="29"/>
  <c r="Q62" i="29"/>
  <c r="P62" i="29"/>
  <c r="O62" i="29"/>
  <c r="N62" i="29"/>
  <c r="M62" i="29"/>
  <c r="L62" i="29"/>
  <c r="K62" i="29"/>
  <c r="J62" i="29"/>
  <c r="G62" i="29"/>
  <c r="F62" i="29"/>
  <c r="E62" i="29"/>
  <c r="S61" i="29"/>
  <c r="R61" i="29"/>
  <c r="Q61" i="29"/>
  <c r="P61" i="29"/>
  <c r="O61" i="29"/>
  <c r="N61" i="29"/>
  <c r="M61" i="29"/>
  <c r="L61" i="29"/>
  <c r="K61" i="29"/>
  <c r="J61" i="29"/>
  <c r="I61" i="29"/>
  <c r="H61" i="29"/>
  <c r="G61" i="29"/>
  <c r="F61" i="29"/>
  <c r="E61" i="29"/>
  <c r="S59" i="29"/>
  <c r="R59" i="29"/>
  <c r="Q59" i="29"/>
  <c r="P59" i="29"/>
  <c r="O59" i="29"/>
  <c r="N59" i="29"/>
  <c r="M59" i="29"/>
  <c r="L59" i="29"/>
  <c r="K59" i="29"/>
  <c r="J59" i="29"/>
  <c r="I59" i="29"/>
  <c r="H59" i="29"/>
  <c r="G59" i="29"/>
  <c r="F59" i="29"/>
  <c r="S58" i="29"/>
  <c r="R58" i="29"/>
  <c r="Q58" i="29"/>
  <c r="P58" i="29"/>
  <c r="O58" i="29"/>
  <c r="N58" i="29"/>
  <c r="M58" i="29"/>
  <c r="L58" i="29"/>
  <c r="K58" i="29"/>
  <c r="J58" i="29"/>
  <c r="I58" i="29"/>
  <c r="H58" i="29"/>
  <c r="G58" i="29"/>
  <c r="F58" i="29"/>
  <c r="E58" i="29"/>
  <c r="S57" i="29"/>
  <c r="R57" i="29"/>
  <c r="Q57" i="29"/>
  <c r="P57" i="29"/>
  <c r="O57" i="29"/>
  <c r="N57" i="29"/>
  <c r="M57" i="29"/>
  <c r="L57" i="29"/>
  <c r="K57" i="29"/>
  <c r="J57" i="29"/>
  <c r="I57" i="29"/>
  <c r="G57" i="29"/>
  <c r="F57" i="29"/>
  <c r="E57" i="29"/>
  <c r="S56" i="29"/>
  <c r="R56" i="29"/>
  <c r="Q56" i="29"/>
  <c r="P56" i="29"/>
  <c r="O56" i="29"/>
  <c r="N56" i="29"/>
  <c r="M56" i="29"/>
  <c r="L56" i="29"/>
  <c r="K56" i="29"/>
  <c r="J56" i="29"/>
  <c r="I56" i="29"/>
  <c r="G56" i="29"/>
  <c r="F56" i="29"/>
  <c r="E56" i="29"/>
  <c r="S55" i="29"/>
  <c r="R55" i="29"/>
  <c r="Q55" i="29"/>
  <c r="P55" i="29"/>
  <c r="O55" i="29"/>
  <c r="N55" i="29"/>
  <c r="M55" i="29"/>
  <c r="L55" i="29"/>
  <c r="K55" i="29"/>
  <c r="J55" i="29"/>
  <c r="I55" i="29"/>
  <c r="S54" i="29"/>
  <c r="R54" i="29"/>
  <c r="Q54" i="29"/>
  <c r="P54" i="29"/>
  <c r="O54" i="29"/>
  <c r="N54" i="29"/>
  <c r="M54" i="29"/>
  <c r="L54" i="29"/>
  <c r="K54" i="29"/>
  <c r="J54" i="29"/>
  <c r="I54" i="29"/>
  <c r="G54" i="29"/>
  <c r="F54" i="29"/>
  <c r="E54" i="29"/>
  <c r="S53" i="29"/>
  <c r="R53" i="29"/>
  <c r="Q53" i="29"/>
  <c r="P53" i="29"/>
  <c r="O53" i="29"/>
  <c r="N53" i="29"/>
  <c r="M53" i="29"/>
  <c r="L53" i="29"/>
  <c r="K53" i="29"/>
  <c r="J53" i="29"/>
  <c r="I53" i="29"/>
  <c r="G53" i="29"/>
  <c r="F53" i="29"/>
  <c r="E53" i="29"/>
  <c r="S52" i="29"/>
  <c r="R52" i="29"/>
  <c r="Q52" i="29"/>
  <c r="P52" i="29"/>
  <c r="O52" i="29"/>
  <c r="N52" i="29"/>
  <c r="M52" i="29"/>
  <c r="L52" i="29"/>
  <c r="K52" i="29"/>
  <c r="J52" i="29"/>
  <c r="I52" i="29"/>
  <c r="G52" i="29"/>
  <c r="F52" i="29"/>
  <c r="E52" i="29"/>
  <c r="S51" i="29"/>
  <c r="R51" i="29"/>
  <c r="Q51" i="29"/>
  <c r="P51" i="29"/>
  <c r="O51" i="29"/>
  <c r="N51" i="29"/>
  <c r="M51" i="29"/>
  <c r="L51" i="29"/>
  <c r="K51" i="29"/>
  <c r="J51" i="29"/>
  <c r="I51" i="29"/>
  <c r="G51" i="29"/>
  <c r="F51" i="29"/>
  <c r="E51" i="29"/>
  <c r="S50" i="29"/>
  <c r="R50" i="29"/>
  <c r="Q50" i="29"/>
  <c r="P50" i="29"/>
  <c r="O50" i="29"/>
  <c r="N50" i="29"/>
  <c r="M50" i="29"/>
  <c r="L50" i="29"/>
  <c r="K50" i="29"/>
  <c r="J50" i="29"/>
  <c r="I50" i="29"/>
  <c r="G50" i="29"/>
  <c r="F50" i="29"/>
  <c r="E50" i="29"/>
  <c r="S49" i="29"/>
  <c r="R49" i="29"/>
  <c r="Q49" i="29"/>
  <c r="P49" i="29"/>
  <c r="O49" i="29"/>
  <c r="N49" i="29"/>
  <c r="M49" i="29"/>
  <c r="L49" i="29"/>
  <c r="K49" i="29"/>
  <c r="J49" i="29"/>
  <c r="I49" i="29"/>
  <c r="G49" i="29"/>
  <c r="F49" i="29"/>
  <c r="E49" i="29"/>
  <c r="S48" i="29"/>
  <c r="R48" i="29"/>
  <c r="Q48" i="29"/>
  <c r="P48" i="29"/>
  <c r="O48" i="29"/>
  <c r="N48" i="29"/>
  <c r="M48" i="29"/>
  <c r="L48" i="29"/>
  <c r="K48" i="29"/>
  <c r="J48" i="29"/>
  <c r="I48" i="29"/>
  <c r="G48" i="29"/>
  <c r="F48" i="29"/>
  <c r="E48" i="29"/>
  <c r="S47" i="29"/>
  <c r="R47" i="29"/>
  <c r="Q47" i="29"/>
  <c r="P47" i="29"/>
  <c r="O47" i="29"/>
  <c r="N47" i="29"/>
  <c r="M47" i="29"/>
  <c r="L47" i="29"/>
  <c r="K47" i="29"/>
  <c r="J47" i="29"/>
  <c r="I47" i="29"/>
  <c r="G47" i="29"/>
  <c r="F47" i="29"/>
  <c r="E47" i="29"/>
  <c r="S46" i="29"/>
  <c r="R46" i="29"/>
  <c r="Q46" i="29"/>
  <c r="P46" i="29"/>
  <c r="O46" i="29"/>
  <c r="N46" i="29"/>
  <c r="M46" i="29"/>
  <c r="L46" i="29"/>
  <c r="K46" i="29"/>
  <c r="J46" i="29"/>
  <c r="I46" i="29"/>
  <c r="G46" i="29"/>
  <c r="F46" i="29"/>
  <c r="E46" i="29"/>
  <c r="S45" i="29"/>
  <c r="R45" i="29"/>
  <c r="Q45" i="29"/>
  <c r="P45" i="29"/>
  <c r="O45" i="29"/>
  <c r="N45" i="29"/>
  <c r="M45" i="29"/>
  <c r="L45" i="29"/>
  <c r="K45" i="29"/>
  <c r="J45" i="29"/>
  <c r="I45" i="29"/>
  <c r="G45" i="29"/>
  <c r="F45" i="29"/>
  <c r="E45" i="29"/>
  <c r="S44" i="29"/>
  <c r="R44" i="29"/>
  <c r="Q44" i="29"/>
  <c r="P44" i="29"/>
  <c r="O44" i="29"/>
  <c r="N44" i="29"/>
  <c r="M44" i="29"/>
  <c r="L44" i="29"/>
  <c r="K44" i="29"/>
  <c r="J44" i="29"/>
  <c r="I44" i="29"/>
  <c r="G44" i="29"/>
  <c r="F44" i="29"/>
  <c r="E44" i="29"/>
  <c r="S43" i="29"/>
  <c r="R43" i="29"/>
  <c r="Q43" i="29"/>
  <c r="P43" i="29"/>
  <c r="O43" i="29"/>
  <c r="N43" i="29"/>
  <c r="M43" i="29"/>
  <c r="L43" i="29"/>
  <c r="K43" i="29"/>
  <c r="J43" i="29"/>
  <c r="I43" i="29"/>
  <c r="G43" i="29"/>
  <c r="F43" i="29"/>
  <c r="E43" i="29"/>
  <c r="S42" i="29"/>
  <c r="R42" i="29"/>
  <c r="Q42" i="29"/>
  <c r="P42" i="29"/>
  <c r="O42" i="29"/>
  <c r="N42" i="29"/>
  <c r="M42" i="29"/>
  <c r="L42" i="29"/>
  <c r="K42" i="29"/>
  <c r="J42" i="29"/>
  <c r="I42" i="29"/>
  <c r="G42" i="29"/>
  <c r="F42" i="29"/>
  <c r="E42" i="29"/>
  <c r="S41" i="29"/>
  <c r="R41" i="29"/>
  <c r="Q41" i="29"/>
  <c r="P41" i="29"/>
  <c r="O41" i="29"/>
  <c r="N41" i="29"/>
  <c r="M41" i="29"/>
  <c r="L41" i="29"/>
  <c r="K41" i="29"/>
  <c r="J41" i="29"/>
  <c r="I41" i="29"/>
  <c r="G41" i="29"/>
  <c r="F41" i="29"/>
  <c r="E41" i="29"/>
  <c r="S40" i="29"/>
  <c r="R40" i="29"/>
  <c r="Q40" i="29"/>
  <c r="P40" i="29"/>
  <c r="O40" i="29"/>
  <c r="N40" i="29"/>
  <c r="M40" i="29"/>
  <c r="L40" i="29"/>
  <c r="K40" i="29"/>
  <c r="J40" i="29"/>
  <c r="I40" i="29"/>
  <c r="G40" i="29"/>
  <c r="F40" i="29"/>
  <c r="E40" i="29"/>
  <c r="S39" i="29"/>
  <c r="R39" i="29"/>
  <c r="Q39" i="29"/>
  <c r="P39" i="29"/>
  <c r="O39" i="29"/>
  <c r="N39" i="29"/>
  <c r="M39" i="29"/>
  <c r="L39" i="29"/>
  <c r="K39" i="29"/>
  <c r="J39" i="29"/>
  <c r="I39" i="29"/>
  <c r="G39" i="29"/>
  <c r="F39" i="29"/>
  <c r="E39" i="29"/>
  <c r="S38" i="29"/>
  <c r="R38" i="29"/>
  <c r="Q38" i="29"/>
  <c r="P38" i="29"/>
  <c r="O38" i="29"/>
  <c r="N38" i="29"/>
  <c r="M38" i="29"/>
  <c r="L38" i="29"/>
  <c r="K38" i="29"/>
  <c r="J38" i="29"/>
  <c r="I38" i="29"/>
  <c r="H38" i="29"/>
  <c r="G38" i="29"/>
  <c r="F38" i="29"/>
  <c r="E38" i="29"/>
  <c r="I36" i="29"/>
  <c r="H36" i="29"/>
  <c r="G36" i="29"/>
  <c r="F36" i="29"/>
  <c r="E36" i="29"/>
  <c r="I35" i="29"/>
  <c r="H35" i="29"/>
  <c r="G35" i="29"/>
  <c r="F35" i="29"/>
  <c r="E35" i="29"/>
  <c r="E34" i="29"/>
  <c r="E32" i="29"/>
  <c r="E30" i="29"/>
  <c r="E29" i="29"/>
  <c r="E28" i="29"/>
  <c r="E27" i="29"/>
  <c r="E26" i="29"/>
  <c r="S25" i="29"/>
  <c r="R25" i="29"/>
  <c r="Q25" i="29"/>
  <c r="P25" i="29"/>
  <c r="O25" i="29"/>
  <c r="N25" i="29"/>
  <c r="M25" i="29"/>
  <c r="L25" i="29"/>
  <c r="K25" i="29"/>
  <c r="J25" i="29"/>
  <c r="I25" i="29"/>
  <c r="H25" i="29"/>
  <c r="G25" i="29"/>
  <c r="F25" i="29"/>
  <c r="E25" i="29"/>
  <c r="S24" i="29"/>
  <c r="R24" i="29"/>
  <c r="Q24" i="29"/>
  <c r="P24" i="29"/>
  <c r="O24" i="29"/>
  <c r="N24" i="29"/>
  <c r="M24" i="29"/>
  <c r="L24" i="29"/>
  <c r="K24" i="29"/>
  <c r="J24" i="29"/>
  <c r="I24" i="29"/>
  <c r="H24" i="29"/>
  <c r="G24" i="29"/>
  <c r="F24" i="29"/>
  <c r="S23" i="29"/>
  <c r="R23" i="29"/>
  <c r="Q23" i="29"/>
  <c r="P23" i="29"/>
  <c r="O23" i="29"/>
  <c r="N23" i="29"/>
  <c r="M23" i="29"/>
  <c r="L23" i="29"/>
  <c r="K23" i="29"/>
  <c r="J23" i="29"/>
  <c r="I23" i="29"/>
  <c r="H23" i="29"/>
  <c r="G23" i="29"/>
  <c r="F23" i="29"/>
  <c r="E23" i="29"/>
  <c r="S22" i="29"/>
  <c r="R22" i="29"/>
  <c r="Q22" i="29"/>
  <c r="P22" i="29"/>
  <c r="O22" i="29"/>
  <c r="N22" i="29"/>
  <c r="M22" i="29"/>
  <c r="L22" i="29"/>
  <c r="K22" i="29"/>
  <c r="J22" i="29"/>
  <c r="I22" i="29"/>
  <c r="H22" i="29"/>
  <c r="G22" i="29"/>
  <c r="F22" i="29"/>
  <c r="S21" i="29"/>
  <c r="R21" i="29"/>
  <c r="Q21" i="29"/>
  <c r="P21" i="29"/>
  <c r="O21" i="29"/>
  <c r="N21" i="29"/>
  <c r="M21" i="29"/>
  <c r="L21" i="29"/>
  <c r="K21" i="29"/>
  <c r="J21" i="29"/>
  <c r="I21" i="29"/>
  <c r="H21" i="29"/>
  <c r="G21" i="29"/>
  <c r="F21" i="29"/>
  <c r="E21" i="29"/>
  <c r="S19" i="29"/>
  <c r="R19" i="29"/>
  <c r="Q19" i="29"/>
  <c r="P19" i="29"/>
  <c r="O19" i="29"/>
  <c r="N19" i="29"/>
  <c r="M19" i="29"/>
  <c r="L19" i="29"/>
  <c r="K19" i="29"/>
  <c r="J19" i="29"/>
  <c r="I19" i="29"/>
  <c r="H19" i="29"/>
  <c r="G19" i="29"/>
  <c r="F19" i="29"/>
  <c r="E19" i="29"/>
  <c r="S18" i="29"/>
  <c r="R18" i="29"/>
  <c r="Q18" i="29"/>
  <c r="P18" i="29"/>
  <c r="O18" i="29"/>
  <c r="N18" i="29"/>
  <c r="M18" i="29"/>
  <c r="L18" i="29"/>
  <c r="K18" i="29"/>
  <c r="J18" i="29"/>
  <c r="I18" i="29"/>
  <c r="H18" i="29"/>
  <c r="G18" i="29"/>
  <c r="F18" i="29"/>
  <c r="E18" i="29"/>
  <c r="S17" i="29"/>
  <c r="R17" i="29"/>
  <c r="Q17" i="29"/>
  <c r="P17" i="29"/>
  <c r="O17" i="29"/>
  <c r="N17" i="29"/>
  <c r="M17" i="29"/>
  <c r="L17" i="29"/>
  <c r="K17" i="29"/>
  <c r="J17" i="29"/>
  <c r="I17" i="29"/>
  <c r="H17" i="29"/>
  <c r="G17" i="29"/>
  <c r="F17" i="29"/>
  <c r="E17" i="29"/>
  <c r="S16" i="29"/>
  <c r="R16" i="29"/>
  <c r="Q16" i="29"/>
  <c r="P16" i="29"/>
  <c r="O16" i="29"/>
  <c r="N16" i="29"/>
  <c r="M16" i="29"/>
  <c r="L16" i="29"/>
  <c r="K16" i="29"/>
  <c r="J16" i="29"/>
  <c r="I16" i="29"/>
  <c r="H16" i="29"/>
  <c r="G16" i="29"/>
  <c r="F16" i="29"/>
  <c r="E16" i="29"/>
  <c r="S15" i="29"/>
  <c r="R15" i="29"/>
  <c r="Q15" i="29"/>
  <c r="P15" i="29"/>
  <c r="O15" i="29"/>
  <c r="N15" i="29"/>
  <c r="M15" i="29"/>
  <c r="L15" i="29"/>
  <c r="K15" i="29"/>
  <c r="J15" i="29"/>
  <c r="I15" i="29"/>
  <c r="H15" i="29"/>
  <c r="G15" i="29"/>
  <c r="F15" i="29"/>
  <c r="E15" i="29"/>
  <c r="S14" i="29"/>
  <c r="R14" i="29"/>
  <c r="Q14" i="29"/>
  <c r="P14" i="29"/>
  <c r="O14" i="29"/>
  <c r="N14" i="29"/>
  <c r="M14" i="29"/>
  <c r="L14" i="29"/>
  <c r="K14" i="29"/>
  <c r="J14" i="29"/>
  <c r="I14" i="29"/>
  <c r="H14" i="29"/>
  <c r="G14" i="29"/>
  <c r="F14" i="29"/>
  <c r="E14" i="29"/>
  <c r="S13" i="29"/>
  <c r="R13" i="29"/>
  <c r="Q13" i="29"/>
  <c r="P13" i="29"/>
  <c r="O13" i="29"/>
  <c r="N13" i="29"/>
  <c r="M13" i="29"/>
  <c r="L13" i="29"/>
  <c r="K13" i="29"/>
  <c r="J13" i="29"/>
  <c r="I13" i="29"/>
  <c r="H13" i="29"/>
  <c r="G13" i="29"/>
  <c r="F13" i="29"/>
  <c r="E13" i="29"/>
  <c r="S12" i="29"/>
  <c r="R12" i="29"/>
  <c r="Q12" i="29"/>
  <c r="P12" i="29"/>
  <c r="O12" i="29"/>
  <c r="N12" i="29"/>
  <c r="M12" i="29"/>
  <c r="L12" i="29"/>
  <c r="K12" i="29"/>
  <c r="J12" i="29"/>
  <c r="I12" i="29"/>
  <c r="H12" i="29"/>
  <c r="G12" i="29"/>
  <c r="F12" i="29"/>
  <c r="E12" i="29"/>
  <c r="S11" i="29"/>
  <c r="R11" i="29"/>
  <c r="Q11" i="29"/>
  <c r="P11" i="29"/>
  <c r="O11" i="29"/>
  <c r="N11" i="29"/>
  <c r="M11" i="29"/>
  <c r="L11" i="29"/>
  <c r="K11" i="29"/>
  <c r="J11" i="29"/>
  <c r="I11" i="29"/>
  <c r="H11" i="29"/>
  <c r="G11" i="29"/>
  <c r="F11" i="29"/>
  <c r="E11" i="29"/>
  <c r="S10" i="29"/>
  <c r="R10" i="29"/>
  <c r="Q10" i="29"/>
  <c r="P10" i="29"/>
  <c r="O10" i="29"/>
  <c r="N10" i="29"/>
  <c r="M10" i="29"/>
  <c r="L10" i="29"/>
  <c r="K10" i="29"/>
  <c r="J10" i="29"/>
  <c r="I10" i="29"/>
  <c r="H10" i="29"/>
  <c r="G10" i="29"/>
  <c r="F10" i="29"/>
  <c r="E10" i="29"/>
  <c r="S9" i="29"/>
  <c r="R9" i="29"/>
  <c r="Q9" i="29"/>
  <c r="P9" i="29"/>
  <c r="O9" i="29"/>
  <c r="N9" i="29"/>
  <c r="M9" i="29"/>
  <c r="L9" i="29"/>
  <c r="K9" i="29"/>
  <c r="J9" i="29"/>
  <c r="I9" i="29"/>
  <c r="H9" i="29"/>
  <c r="S8" i="29"/>
  <c r="R8" i="29"/>
  <c r="Q8" i="29"/>
  <c r="P8" i="29"/>
  <c r="O8" i="29"/>
  <c r="N8" i="29"/>
  <c r="M8" i="29"/>
  <c r="L8" i="29"/>
  <c r="K8" i="29"/>
  <c r="J8" i="29"/>
  <c r="I8" i="29"/>
  <c r="H8" i="29"/>
  <c r="G8" i="29"/>
  <c r="F8" i="29"/>
  <c r="S7" i="29"/>
  <c r="R7" i="29"/>
  <c r="Q7" i="29"/>
  <c r="P7" i="29"/>
  <c r="O7" i="29"/>
  <c r="N7" i="29"/>
  <c r="M7" i="29"/>
  <c r="L7" i="29"/>
  <c r="K7" i="29"/>
  <c r="J7" i="29"/>
  <c r="I7" i="29"/>
  <c r="H7" i="29"/>
  <c r="G7" i="29"/>
  <c r="F7" i="29"/>
  <c r="E7" i="29"/>
  <c r="S5" i="29"/>
  <c r="R5" i="29"/>
  <c r="Q5" i="29"/>
  <c r="P5" i="29"/>
  <c r="O5" i="29"/>
  <c r="N5" i="29"/>
  <c r="M5" i="29"/>
  <c r="L5" i="29"/>
  <c r="K5" i="29"/>
  <c r="J5" i="29"/>
  <c r="I5" i="29"/>
  <c r="H5" i="29"/>
  <c r="G5" i="29"/>
  <c r="F5" i="29"/>
  <c r="E5" i="29"/>
  <c r="S40" i="28"/>
  <c r="R40" i="28"/>
  <c r="Q40" i="28"/>
  <c r="P40" i="28"/>
  <c r="O40" i="28"/>
  <c r="N40" i="28"/>
  <c r="M40" i="28"/>
  <c r="L40" i="28"/>
  <c r="K40" i="28"/>
  <c r="J40" i="28"/>
  <c r="I40" i="28"/>
  <c r="H40" i="28"/>
  <c r="G40" i="28"/>
  <c r="F40" i="28"/>
  <c r="S39" i="28"/>
  <c r="R39" i="28"/>
  <c r="Q39" i="28"/>
  <c r="P39" i="28"/>
  <c r="O39" i="28"/>
  <c r="N39" i="28"/>
  <c r="M39" i="28"/>
  <c r="L39" i="28"/>
  <c r="K39" i="28"/>
  <c r="J39" i="28"/>
  <c r="I39" i="28"/>
  <c r="H39" i="28"/>
  <c r="G39" i="28"/>
  <c r="F39" i="28"/>
  <c r="S38" i="28"/>
  <c r="R38" i="28"/>
  <c r="Q38" i="28"/>
  <c r="P38" i="28"/>
  <c r="O38" i="28"/>
  <c r="N38" i="28"/>
  <c r="M38" i="28"/>
  <c r="L38" i="28"/>
  <c r="K38" i="28"/>
  <c r="J38" i="28"/>
  <c r="I38" i="28"/>
  <c r="H38" i="28"/>
  <c r="G38" i="28"/>
  <c r="F38" i="28"/>
  <c r="S37" i="28"/>
  <c r="R37" i="28"/>
  <c r="Q37" i="28"/>
  <c r="P37" i="28"/>
  <c r="O37" i="28"/>
  <c r="N37" i="28"/>
  <c r="M37" i="28"/>
  <c r="L37" i="28"/>
  <c r="K37" i="28"/>
  <c r="J37" i="28"/>
  <c r="I37" i="28"/>
  <c r="H37" i="28"/>
  <c r="G37" i="28"/>
  <c r="F37" i="28"/>
  <c r="S36" i="28"/>
  <c r="R36" i="28"/>
  <c r="Q36" i="28"/>
  <c r="P36" i="28"/>
  <c r="O36" i="28"/>
  <c r="N36" i="28"/>
  <c r="M36" i="28"/>
  <c r="L36" i="28"/>
  <c r="K36" i="28"/>
  <c r="J36" i="28"/>
  <c r="I36" i="28"/>
  <c r="H36" i="28"/>
  <c r="G36" i="28"/>
  <c r="F36" i="28"/>
  <c r="S30" i="28"/>
  <c r="R30" i="28"/>
  <c r="Q30" i="28"/>
  <c r="P30" i="28"/>
  <c r="O30" i="28"/>
  <c r="N30" i="28"/>
  <c r="M30" i="28"/>
  <c r="L30" i="28"/>
  <c r="K30" i="28"/>
  <c r="J30" i="28"/>
  <c r="I30" i="28"/>
  <c r="H30" i="28"/>
  <c r="G30" i="28"/>
  <c r="F30" i="28"/>
  <c r="S29" i="28"/>
  <c r="R29" i="28"/>
  <c r="Q29" i="28"/>
  <c r="P29" i="28"/>
  <c r="O29" i="28"/>
  <c r="N29" i="28"/>
  <c r="M29" i="28"/>
  <c r="L29" i="28"/>
  <c r="K29" i="28"/>
  <c r="J29" i="28"/>
  <c r="I29" i="28"/>
  <c r="H29" i="28"/>
  <c r="G29" i="28"/>
  <c r="F29" i="28"/>
  <c r="E29" i="28"/>
  <c r="S28" i="28"/>
  <c r="R28" i="28"/>
  <c r="Q28" i="28"/>
  <c r="P28" i="28"/>
  <c r="O28" i="28"/>
  <c r="N28" i="28"/>
  <c r="M28" i="28"/>
  <c r="L28" i="28"/>
  <c r="K28" i="28"/>
  <c r="J28" i="28"/>
  <c r="I28" i="28"/>
  <c r="H28" i="28"/>
  <c r="G28" i="28"/>
  <c r="F28" i="28"/>
  <c r="E28" i="28"/>
  <c r="S27" i="28"/>
  <c r="R27" i="28"/>
  <c r="Q27" i="28"/>
  <c r="P27" i="28"/>
  <c r="O27" i="28"/>
  <c r="N27" i="28"/>
  <c r="M27" i="28"/>
  <c r="L27" i="28"/>
  <c r="K27" i="28"/>
  <c r="J27" i="28"/>
  <c r="I27" i="28"/>
  <c r="H27" i="28"/>
  <c r="G27" i="28"/>
  <c r="F27" i="28"/>
  <c r="E27" i="28"/>
  <c r="S26" i="28"/>
  <c r="R26" i="28"/>
  <c r="Q26" i="28"/>
  <c r="P26" i="28"/>
  <c r="O26" i="28"/>
  <c r="N26" i="28"/>
  <c r="M26" i="28"/>
  <c r="L26" i="28"/>
  <c r="K26" i="28"/>
  <c r="J26" i="28"/>
  <c r="I26" i="28"/>
  <c r="H26" i="28"/>
  <c r="G26" i="28"/>
  <c r="F26" i="28"/>
  <c r="E26" i="28"/>
  <c r="S25" i="28"/>
  <c r="R25" i="28"/>
  <c r="Q25" i="28"/>
  <c r="P25" i="28"/>
  <c r="O25" i="28"/>
  <c r="N25" i="28"/>
  <c r="M25" i="28"/>
  <c r="L25" i="28"/>
  <c r="K25" i="28"/>
  <c r="J25" i="28"/>
  <c r="I25" i="28"/>
  <c r="H25" i="28"/>
  <c r="G25" i="28"/>
  <c r="F25" i="28"/>
  <c r="E25" i="28"/>
  <c r="S24" i="28"/>
  <c r="R24" i="28"/>
  <c r="Q24" i="28"/>
  <c r="P24" i="28"/>
  <c r="O24" i="28"/>
  <c r="N24" i="28"/>
  <c r="M24" i="28"/>
  <c r="L24" i="28"/>
  <c r="K24" i="28"/>
  <c r="J24" i="28"/>
  <c r="I24" i="28"/>
  <c r="H24" i="28"/>
  <c r="G24" i="28"/>
  <c r="F24" i="28"/>
  <c r="S23" i="28"/>
  <c r="R23" i="28"/>
  <c r="Q23" i="28"/>
  <c r="P23" i="28"/>
  <c r="O23" i="28"/>
  <c r="N23" i="28"/>
  <c r="M23" i="28"/>
  <c r="L23" i="28"/>
  <c r="K23" i="28"/>
  <c r="J23" i="28"/>
  <c r="I23" i="28"/>
  <c r="H23" i="28"/>
  <c r="G23" i="28"/>
  <c r="F23" i="28"/>
  <c r="S22" i="28"/>
  <c r="R22" i="28"/>
  <c r="Q22" i="28"/>
  <c r="P22" i="28"/>
  <c r="O22" i="28"/>
  <c r="N22" i="28"/>
  <c r="M22" i="28"/>
  <c r="L22" i="28"/>
  <c r="K22" i="28"/>
  <c r="J22" i="28"/>
  <c r="I22" i="28"/>
  <c r="H22" i="28"/>
  <c r="G22" i="28"/>
  <c r="F22" i="28"/>
  <c r="S21" i="28"/>
  <c r="R21" i="28"/>
  <c r="Q21" i="28"/>
  <c r="P21" i="28"/>
  <c r="O21" i="28"/>
  <c r="N21" i="28"/>
  <c r="M21" i="28"/>
  <c r="L21" i="28"/>
  <c r="K21" i="28"/>
  <c r="J21" i="28"/>
  <c r="I21" i="28"/>
  <c r="H21" i="28"/>
  <c r="G21" i="28"/>
  <c r="F21" i="28"/>
  <c r="S20" i="28"/>
  <c r="R20" i="28"/>
  <c r="Q20" i="28"/>
  <c r="P20" i="28"/>
  <c r="O20" i="28"/>
  <c r="N20" i="28"/>
  <c r="M20" i="28"/>
  <c r="L20" i="28"/>
  <c r="K20" i="28"/>
  <c r="J20" i="28"/>
  <c r="I20" i="28"/>
  <c r="H20" i="28"/>
  <c r="G20" i="28"/>
  <c r="F20" i="28"/>
  <c r="S19" i="28"/>
  <c r="R19" i="28"/>
  <c r="Q19" i="28"/>
  <c r="P19" i="28"/>
  <c r="O19" i="28"/>
  <c r="N19" i="28"/>
  <c r="M19" i="28"/>
  <c r="L19" i="28"/>
  <c r="K19" i="28"/>
  <c r="J19" i="28"/>
  <c r="I19" i="28"/>
  <c r="H19" i="28"/>
  <c r="G19" i="28"/>
  <c r="F19" i="28"/>
  <c r="S18" i="28"/>
  <c r="R18" i="28"/>
  <c r="Q18" i="28"/>
  <c r="P18" i="28"/>
  <c r="O18" i="28"/>
  <c r="N18" i="28"/>
  <c r="M18" i="28"/>
  <c r="L18" i="28"/>
  <c r="K18" i="28"/>
  <c r="J18" i="28"/>
  <c r="I18" i="28"/>
  <c r="H18" i="28"/>
  <c r="G18" i="28"/>
  <c r="F18" i="28"/>
  <c r="E18" i="28"/>
  <c r="S17" i="28"/>
  <c r="R17" i="28"/>
  <c r="Q17" i="28"/>
  <c r="P17" i="28"/>
  <c r="O17" i="28"/>
  <c r="N17" i="28"/>
  <c r="M17" i="28"/>
  <c r="L17" i="28"/>
  <c r="K17" i="28"/>
  <c r="J17" i="28"/>
  <c r="I17" i="28"/>
  <c r="F17" i="28"/>
  <c r="E17" i="28"/>
  <c r="S16" i="28"/>
  <c r="R16" i="28"/>
  <c r="Q16" i="28"/>
  <c r="N16" i="28"/>
  <c r="M16" i="28"/>
  <c r="L16" i="28"/>
  <c r="K16" i="28"/>
  <c r="I16" i="28"/>
  <c r="F16" i="28"/>
  <c r="E16" i="28"/>
  <c r="S15" i="28"/>
  <c r="R15" i="28"/>
  <c r="Q15" i="28"/>
  <c r="N15" i="28"/>
  <c r="M15" i="28"/>
  <c r="L15" i="28"/>
  <c r="K15" i="28"/>
  <c r="I15" i="28"/>
  <c r="F15" i="28"/>
  <c r="E15" i="28"/>
  <c r="S14" i="28"/>
  <c r="R14" i="28"/>
  <c r="Q14" i="28"/>
  <c r="S13" i="28"/>
  <c r="R13" i="28"/>
  <c r="Q13" i="28"/>
  <c r="P13" i="28"/>
  <c r="O13" i="28"/>
  <c r="N13" i="28"/>
  <c r="M13" i="28"/>
  <c r="L13" i="28"/>
  <c r="K13" i="28"/>
  <c r="E13" i="28"/>
  <c r="S12" i="28"/>
  <c r="R12" i="28"/>
  <c r="Q12" i="28"/>
  <c r="P12" i="28"/>
  <c r="O12" i="28"/>
  <c r="N12" i="28"/>
  <c r="M12" i="28"/>
  <c r="L12" i="28"/>
  <c r="K12" i="28"/>
  <c r="E12" i="28"/>
  <c r="S11" i="28"/>
  <c r="R11" i="28"/>
  <c r="Q11" i="28"/>
  <c r="P11" i="28"/>
  <c r="O11" i="28"/>
  <c r="N11" i="28"/>
  <c r="M11" i="28"/>
  <c r="L11" i="28"/>
  <c r="K11" i="28"/>
  <c r="E11" i="28"/>
  <c r="S10" i="28"/>
  <c r="R10" i="28"/>
  <c r="Q10" i="28"/>
  <c r="P10" i="28"/>
  <c r="O10" i="28"/>
  <c r="N10" i="28"/>
  <c r="M10" i="28"/>
  <c r="L10" i="28"/>
  <c r="K10" i="28"/>
  <c r="E10" i="28"/>
  <c r="S9" i="28"/>
  <c r="R9" i="28"/>
  <c r="Q9" i="28"/>
  <c r="P9" i="28"/>
  <c r="O9" i="28"/>
  <c r="N9" i="28"/>
  <c r="M9" i="28"/>
  <c r="L9" i="28"/>
  <c r="K9" i="28"/>
  <c r="E9" i="28"/>
  <c r="S8" i="28"/>
  <c r="R8" i="28"/>
  <c r="Q8" i="28"/>
  <c r="P8" i="28"/>
  <c r="O8" i="28"/>
  <c r="N8" i="28"/>
  <c r="M8" i="28"/>
  <c r="L8" i="28"/>
  <c r="K8" i="28"/>
  <c r="J8" i="28"/>
  <c r="I8" i="28"/>
  <c r="H8" i="28"/>
  <c r="G8" i="28"/>
  <c r="F8" i="28"/>
  <c r="E8" i="28"/>
  <c r="S7" i="28"/>
  <c r="R7" i="28"/>
  <c r="Q7" i="28"/>
  <c r="P7" i="28"/>
  <c r="O7" i="28"/>
  <c r="N7" i="28"/>
  <c r="M7" i="28"/>
  <c r="L7" i="28"/>
  <c r="K7" i="28"/>
  <c r="J7" i="28"/>
  <c r="I7" i="28"/>
  <c r="H7" i="28"/>
  <c r="G7" i="28"/>
  <c r="F7" i="28"/>
  <c r="E7" i="28"/>
  <c r="S5" i="28"/>
  <c r="R5" i="28"/>
  <c r="Q5" i="28"/>
  <c r="P5" i="28"/>
  <c r="O5" i="28"/>
  <c r="N5" i="28"/>
  <c r="M5" i="28"/>
  <c r="L5" i="28"/>
  <c r="K5" i="28"/>
  <c r="J5" i="28"/>
  <c r="I5" i="28"/>
  <c r="H5" i="28"/>
  <c r="G5" i="28"/>
  <c r="F5" i="28"/>
  <c r="E5" i="28"/>
  <c r="S22" i="27"/>
  <c r="R22" i="27"/>
  <c r="Q22" i="27"/>
  <c r="P22" i="27"/>
  <c r="O22" i="27"/>
  <c r="N22" i="27"/>
  <c r="M22" i="27"/>
  <c r="L22" i="27"/>
  <c r="K22" i="27"/>
  <c r="J22" i="27"/>
  <c r="I22" i="27"/>
  <c r="H22" i="27"/>
  <c r="G22" i="27"/>
  <c r="F22" i="27"/>
  <c r="S21" i="27"/>
  <c r="R21" i="27"/>
  <c r="Q21" i="27"/>
  <c r="P21" i="27"/>
  <c r="O21" i="27"/>
  <c r="N21" i="27"/>
  <c r="M21" i="27"/>
  <c r="L21" i="27"/>
  <c r="K21" i="27"/>
  <c r="J21" i="27"/>
  <c r="I21" i="27"/>
  <c r="H21" i="27"/>
  <c r="G21" i="27"/>
  <c r="F21" i="27"/>
  <c r="S20" i="27"/>
  <c r="R20" i="27"/>
  <c r="Q20" i="27"/>
  <c r="P20" i="27"/>
  <c r="O20" i="27"/>
  <c r="N20" i="27"/>
  <c r="M20" i="27"/>
  <c r="L20" i="27"/>
  <c r="K20" i="27"/>
  <c r="J20" i="27"/>
  <c r="I20" i="27"/>
  <c r="H20" i="27"/>
  <c r="G20" i="27"/>
  <c r="F20" i="27"/>
  <c r="S19" i="27"/>
  <c r="R19" i="27"/>
  <c r="Q19" i="27"/>
  <c r="P19" i="27"/>
  <c r="O19" i="27"/>
  <c r="N19" i="27"/>
  <c r="M19" i="27"/>
  <c r="L19" i="27"/>
  <c r="K19" i="27"/>
  <c r="J19" i="27"/>
  <c r="I19" i="27"/>
  <c r="H19" i="27"/>
  <c r="G19" i="27"/>
  <c r="F19" i="27"/>
  <c r="S17" i="27"/>
  <c r="R17" i="27"/>
  <c r="Q17" i="27"/>
  <c r="P17" i="27"/>
  <c r="O17" i="27"/>
  <c r="N17" i="27"/>
  <c r="M17" i="27"/>
  <c r="L17" i="27"/>
  <c r="K17" i="27"/>
  <c r="J17" i="27"/>
  <c r="I17" i="27"/>
  <c r="H17" i="27"/>
  <c r="G17" i="27"/>
  <c r="F17" i="27"/>
  <c r="S16" i="27"/>
  <c r="R16" i="27"/>
  <c r="Q16" i="27"/>
  <c r="P16" i="27"/>
  <c r="O16" i="27"/>
  <c r="N16" i="27"/>
  <c r="M16" i="27"/>
  <c r="L16" i="27"/>
  <c r="K16" i="27"/>
  <c r="J16" i="27"/>
  <c r="I16" i="27"/>
  <c r="H16" i="27"/>
  <c r="G16" i="27"/>
  <c r="F16" i="27"/>
  <c r="S15" i="27"/>
  <c r="R15" i="27"/>
  <c r="Q15" i="27"/>
  <c r="P15" i="27"/>
  <c r="O15" i="27"/>
  <c r="N15" i="27"/>
  <c r="M15" i="27"/>
  <c r="L15" i="27"/>
  <c r="K15" i="27"/>
  <c r="J15" i="27"/>
  <c r="I15" i="27"/>
  <c r="H15" i="27"/>
  <c r="G15" i="27"/>
  <c r="F15" i="27"/>
  <c r="S14" i="27"/>
  <c r="R14" i="27"/>
  <c r="Q14" i="27"/>
  <c r="P14" i="27"/>
  <c r="O14" i="27"/>
  <c r="N14" i="27"/>
  <c r="M14" i="27"/>
  <c r="L14" i="27"/>
  <c r="K14" i="27"/>
  <c r="J14" i="27"/>
  <c r="I14" i="27"/>
  <c r="H14" i="27"/>
  <c r="G14" i="27"/>
  <c r="F14" i="27"/>
  <c r="I13" i="27"/>
  <c r="H13" i="27"/>
  <c r="G13" i="27"/>
  <c r="F13" i="27"/>
  <c r="E13" i="27"/>
  <c r="I12" i="27"/>
  <c r="H12" i="27"/>
  <c r="G12" i="27"/>
  <c r="F12" i="27"/>
  <c r="E12" i="27"/>
  <c r="S11" i="27"/>
  <c r="R11" i="27"/>
  <c r="Q11" i="27"/>
  <c r="P11" i="27"/>
  <c r="O11" i="27"/>
  <c r="N11" i="27"/>
  <c r="M11" i="27"/>
  <c r="L11" i="27"/>
  <c r="K11" i="27"/>
  <c r="J11" i="27"/>
  <c r="I11" i="27"/>
  <c r="H11" i="27"/>
  <c r="G11" i="27"/>
  <c r="F11" i="27"/>
  <c r="E11" i="27"/>
  <c r="I9" i="27"/>
  <c r="H9" i="27"/>
  <c r="G9" i="27"/>
  <c r="F9" i="27"/>
  <c r="E9" i="27"/>
  <c r="I8" i="27"/>
  <c r="H8" i="27"/>
  <c r="G8" i="27"/>
  <c r="F8" i="27"/>
  <c r="E8" i="27"/>
  <c r="S7" i="27"/>
  <c r="R7" i="27"/>
  <c r="Q7" i="27"/>
  <c r="P7" i="27"/>
  <c r="O7" i="27"/>
  <c r="N7" i="27"/>
  <c r="M7" i="27"/>
  <c r="L7" i="27"/>
  <c r="K7" i="27"/>
  <c r="J7" i="27"/>
  <c r="I7" i="27"/>
  <c r="H7" i="27"/>
  <c r="G7" i="27"/>
  <c r="F7" i="27"/>
  <c r="E7" i="27"/>
  <c r="S5" i="27"/>
  <c r="R5" i="27"/>
  <c r="Q5" i="27"/>
  <c r="P5" i="27"/>
  <c r="O5" i="27"/>
  <c r="N5" i="27"/>
  <c r="M5" i="27"/>
  <c r="L5" i="27"/>
  <c r="K5" i="27"/>
  <c r="J5" i="27"/>
  <c r="I5" i="27"/>
  <c r="H5" i="27"/>
  <c r="G5" i="27"/>
  <c r="F5" i="27"/>
  <c r="E5" i="27"/>
  <c r="S26" i="26"/>
  <c r="R26" i="26"/>
  <c r="Q26" i="26"/>
  <c r="P26" i="26"/>
  <c r="O26" i="26"/>
  <c r="N26" i="26"/>
  <c r="M26" i="26"/>
  <c r="L26" i="26"/>
  <c r="K26" i="26"/>
  <c r="J26" i="26"/>
  <c r="I26" i="26"/>
  <c r="H26" i="26"/>
  <c r="G26" i="26"/>
  <c r="F26" i="26"/>
  <c r="S25" i="26"/>
  <c r="R25" i="26"/>
  <c r="Q25" i="26"/>
  <c r="P25" i="26"/>
  <c r="O25" i="26"/>
  <c r="N25" i="26"/>
  <c r="M25" i="26"/>
  <c r="L25" i="26"/>
  <c r="K25" i="26"/>
  <c r="J25" i="26"/>
  <c r="I25" i="26"/>
  <c r="H25" i="26"/>
  <c r="G25" i="26"/>
  <c r="F25" i="26"/>
  <c r="S24" i="26"/>
  <c r="R24" i="26"/>
  <c r="Q24" i="26"/>
  <c r="P24" i="26"/>
  <c r="O24" i="26"/>
  <c r="N24" i="26"/>
  <c r="M24" i="26"/>
  <c r="L24" i="26"/>
  <c r="K24" i="26"/>
  <c r="J24" i="26"/>
  <c r="I24" i="26"/>
  <c r="H24" i="26"/>
  <c r="G24" i="26"/>
  <c r="F24" i="26"/>
  <c r="S23" i="26"/>
  <c r="R23" i="26"/>
  <c r="Q23" i="26"/>
  <c r="P23" i="26"/>
  <c r="O23" i="26"/>
  <c r="N23" i="26"/>
  <c r="M23" i="26"/>
  <c r="L23" i="26"/>
  <c r="K23" i="26"/>
  <c r="J23" i="26"/>
  <c r="I23" i="26"/>
  <c r="H23" i="26"/>
  <c r="G23" i="26"/>
  <c r="F23" i="26"/>
  <c r="S22" i="26"/>
  <c r="R22" i="26"/>
  <c r="Q22" i="26"/>
  <c r="P22" i="26"/>
  <c r="O22" i="26"/>
  <c r="N22" i="26"/>
  <c r="M22" i="26"/>
  <c r="L22" i="26"/>
  <c r="K22" i="26"/>
  <c r="J22" i="26"/>
  <c r="I22" i="26"/>
  <c r="H22" i="26"/>
  <c r="G22" i="26"/>
  <c r="F22" i="26"/>
  <c r="S20" i="26"/>
  <c r="R20" i="26"/>
  <c r="Q20" i="26"/>
  <c r="P20" i="26"/>
  <c r="O20" i="26"/>
  <c r="N20" i="26"/>
  <c r="M20" i="26"/>
  <c r="L20" i="26"/>
  <c r="K20" i="26"/>
  <c r="J20" i="26"/>
  <c r="I20" i="26"/>
  <c r="H20" i="26"/>
  <c r="G20" i="26"/>
  <c r="F20" i="26"/>
  <c r="S19" i="26"/>
  <c r="R19" i="26"/>
  <c r="Q19" i="26"/>
  <c r="P19" i="26"/>
  <c r="O19" i="26"/>
  <c r="N19" i="26"/>
  <c r="M19" i="26"/>
  <c r="L19" i="26"/>
  <c r="K19" i="26"/>
  <c r="J19" i="26"/>
  <c r="I19" i="26"/>
  <c r="H19" i="26"/>
  <c r="G19" i="26"/>
  <c r="F19" i="26"/>
  <c r="S18" i="26"/>
  <c r="R18" i="26"/>
  <c r="Q18" i="26"/>
  <c r="P18" i="26"/>
  <c r="O18" i="26"/>
  <c r="N18" i="26"/>
  <c r="M18" i="26"/>
  <c r="L18" i="26"/>
  <c r="K18" i="26"/>
  <c r="J18" i="26"/>
  <c r="I18" i="26"/>
  <c r="H18" i="26"/>
  <c r="G18" i="26"/>
  <c r="F18" i="26"/>
  <c r="S17" i="26"/>
  <c r="R17" i="26"/>
  <c r="Q17" i="26"/>
  <c r="P17" i="26"/>
  <c r="O17" i="26"/>
  <c r="N17" i="26"/>
  <c r="M17" i="26"/>
  <c r="L17" i="26"/>
  <c r="K17" i="26"/>
  <c r="J17" i="26"/>
  <c r="I17" i="26"/>
  <c r="H17" i="26"/>
  <c r="G17" i="26"/>
  <c r="F17" i="26"/>
  <c r="S16" i="26"/>
  <c r="R16" i="26"/>
  <c r="Q16" i="26"/>
  <c r="P16" i="26"/>
  <c r="O16" i="26"/>
  <c r="N16" i="26"/>
  <c r="M16" i="26"/>
  <c r="L16" i="26"/>
  <c r="K16" i="26"/>
  <c r="J16" i="26"/>
  <c r="I16" i="26"/>
  <c r="H16" i="26"/>
  <c r="G16" i="26"/>
  <c r="F16" i="26"/>
  <c r="S15" i="26"/>
  <c r="R15" i="26"/>
  <c r="Q15" i="26"/>
  <c r="P15" i="26"/>
  <c r="O15" i="26"/>
  <c r="N15" i="26"/>
  <c r="M15" i="26"/>
  <c r="L15" i="26"/>
  <c r="K15" i="26"/>
  <c r="J15" i="26"/>
  <c r="I15" i="26"/>
  <c r="H15" i="26"/>
  <c r="G15" i="26"/>
  <c r="F15" i="26"/>
  <c r="S14" i="26"/>
  <c r="R14" i="26"/>
  <c r="Q14" i="26"/>
  <c r="P14" i="26"/>
  <c r="O14" i="26"/>
  <c r="N14" i="26"/>
  <c r="M14" i="26"/>
  <c r="L14" i="26"/>
  <c r="K14" i="26"/>
  <c r="J14" i="26"/>
  <c r="I14" i="26"/>
  <c r="H14" i="26"/>
  <c r="G14" i="26"/>
  <c r="F14" i="26"/>
  <c r="I13" i="26"/>
  <c r="H13" i="26"/>
  <c r="G13" i="26"/>
  <c r="F13" i="26"/>
  <c r="E13" i="26"/>
  <c r="I12" i="26"/>
  <c r="H12" i="26"/>
  <c r="G12" i="26"/>
  <c r="F12" i="26"/>
  <c r="E12" i="26"/>
  <c r="S11" i="26"/>
  <c r="R11" i="26"/>
  <c r="Q11" i="26"/>
  <c r="P11" i="26"/>
  <c r="O11" i="26"/>
  <c r="N11" i="26"/>
  <c r="M11" i="26"/>
  <c r="L11" i="26"/>
  <c r="K11" i="26"/>
  <c r="J11" i="26"/>
  <c r="I11" i="26"/>
  <c r="H11" i="26"/>
  <c r="G11" i="26"/>
  <c r="F11" i="26"/>
  <c r="E11" i="26"/>
  <c r="I9" i="26"/>
  <c r="H9" i="26"/>
  <c r="G9" i="26"/>
  <c r="F9" i="26"/>
  <c r="E9" i="26"/>
  <c r="I8" i="26"/>
  <c r="H8" i="26"/>
  <c r="G8" i="26"/>
  <c r="F8" i="26"/>
  <c r="E8" i="26"/>
  <c r="S7" i="26"/>
  <c r="R7" i="26"/>
  <c r="Q7" i="26"/>
  <c r="P7" i="26"/>
  <c r="O7" i="26"/>
  <c r="N7" i="26"/>
  <c r="M7" i="26"/>
  <c r="L7" i="26"/>
  <c r="K7" i="26"/>
  <c r="J7" i="26"/>
  <c r="I7" i="26"/>
  <c r="H7" i="26"/>
  <c r="G7" i="26"/>
  <c r="F7" i="26"/>
  <c r="E7" i="26"/>
  <c r="S5" i="26"/>
  <c r="R5" i="26"/>
  <c r="Q5" i="26"/>
  <c r="P5" i="26"/>
  <c r="O5" i="26"/>
  <c r="N5" i="26"/>
  <c r="M5" i="26"/>
  <c r="L5" i="26"/>
  <c r="K5" i="26"/>
  <c r="J5" i="26"/>
  <c r="I5" i="26"/>
  <c r="H5" i="26"/>
  <c r="G5" i="26"/>
  <c r="F5" i="26"/>
  <c r="E5" i="26"/>
  <c r="S105" i="25"/>
  <c r="R105" i="25"/>
  <c r="Q105" i="25"/>
  <c r="P105" i="25"/>
  <c r="O105" i="25"/>
  <c r="N105" i="25"/>
  <c r="M105" i="25"/>
  <c r="L105" i="25"/>
  <c r="K105" i="25"/>
  <c r="J105" i="25"/>
  <c r="I105" i="25"/>
  <c r="H105" i="25"/>
  <c r="G105" i="25"/>
  <c r="F105" i="25"/>
  <c r="E105" i="25"/>
  <c r="I104" i="25"/>
  <c r="H104" i="25"/>
  <c r="G104" i="25"/>
  <c r="F104" i="25"/>
  <c r="E104" i="25"/>
  <c r="E103" i="25"/>
  <c r="E101" i="25"/>
  <c r="G99" i="25"/>
  <c r="F99" i="25"/>
  <c r="E99" i="25"/>
  <c r="I98" i="25"/>
  <c r="H98" i="25"/>
  <c r="G98" i="25"/>
  <c r="F98" i="25"/>
  <c r="E98" i="25"/>
  <c r="G97" i="25"/>
  <c r="F97" i="25"/>
  <c r="E97" i="25"/>
  <c r="G96" i="25"/>
  <c r="F96" i="25"/>
  <c r="E96" i="25"/>
  <c r="E94" i="25"/>
  <c r="S93" i="25"/>
  <c r="R93" i="25"/>
  <c r="Q93" i="25"/>
  <c r="P93" i="25"/>
  <c r="O93" i="25"/>
  <c r="N93" i="25"/>
  <c r="M93" i="25"/>
  <c r="L93" i="25"/>
  <c r="K93" i="25"/>
  <c r="J93" i="25"/>
  <c r="I93" i="25"/>
  <c r="H93" i="25"/>
  <c r="G93" i="25"/>
  <c r="F93" i="25"/>
  <c r="E93" i="25"/>
  <c r="S92" i="25"/>
  <c r="R92" i="25"/>
  <c r="Q92" i="25"/>
  <c r="P92" i="25"/>
  <c r="O92" i="25"/>
  <c r="N92" i="25"/>
  <c r="M92" i="25"/>
  <c r="L92" i="25"/>
  <c r="K92" i="25"/>
  <c r="J92" i="25"/>
  <c r="I92" i="25"/>
  <c r="H92" i="25"/>
  <c r="G92" i="25"/>
  <c r="F92" i="25"/>
  <c r="E92" i="25"/>
  <c r="I88" i="25"/>
  <c r="H88" i="25"/>
  <c r="G88" i="25"/>
  <c r="F88" i="25"/>
  <c r="E88" i="25"/>
  <c r="I87" i="25"/>
  <c r="H87" i="25"/>
  <c r="G87" i="25"/>
  <c r="F87" i="25"/>
  <c r="E87" i="25"/>
  <c r="E86" i="25"/>
  <c r="E85" i="25"/>
  <c r="I84" i="25"/>
  <c r="H84" i="25"/>
  <c r="G84" i="25"/>
  <c r="F84" i="25"/>
  <c r="E84" i="25"/>
  <c r="I83" i="25"/>
  <c r="H83" i="25"/>
  <c r="G83" i="25"/>
  <c r="F83" i="25"/>
  <c r="E83" i="25"/>
  <c r="I82" i="25"/>
  <c r="H82" i="25"/>
  <c r="G82" i="25"/>
  <c r="F82" i="25"/>
  <c r="E82" i="25"/>
  <c r="I81" i="25"/>
  <c r="H81" i="25"/>
  <c r="G81" i="25"/>
  <c r="F81" i="25"/>
  <c r="E81" i="25"/>
  <c r="I78" i="25"/>
  <c r="H78" i="25"/>
  <c r="G78" i="25"/>
  <c r="F78" i="25"/>
  <c r="E78" i="25"/>
  <c r="S77" i="25"/>
  <c r="R77" i="25"/>
  <c r="Q77" i="25"/>
  <c r="P77" i="25"/>
  <c r="O77" i="25"/>
  <c r="N77" i="25"/>
  <c r="M77" i="25"/>
  <c r="L77" i="25"/>
  <c r="K77" i="25"/>
  <c r="J77" i="25"/>
  <c r="I77" i="25"/>
  <c r="H77" i="25"/>
  <c r="G77" i="25"/>
  <c r="F77" i="25"/>
  <c r="E77" i="25"/>
  <c r="S76" i="25"/>
  <c r="R76" i="25"/>
  <c r="Q76" i="25"/>
  <c r="P76" i="25"/>
  <c r="O76" i="25"/>
  <c r="N76" i="25"/>
  <c r="M76" i="25"/>
  <c r="L76" i="25"/>
  <c r="K76" i="25"/>
  <c r="J76" i="25"/>
  <c r="I76" i="25"/>
  <c r="H76" i="25"/>
  <c r="G76" i="25"/>
  <c r="F76" i="25"/>
  <c r="E76" i="25"/>
  <c r="S74" i="25"/>
  <c r="R74" i="25"/>
  <c r="Q74" i="25"/>
  <c r="P74" i="25"/>
  <c r="O74" i="25"/>
  <c r="N74" i="25"/>
  <c r="M74" i="25"/>
  <c r="L74" i="25"/>
  <c r="K74" i="25"/>
  <c r="J74" i="25"/>
  <c r="I74" i="25"/>
  <c r="H74" i="25"/>
  <c r="G74" i="25"/>
  <c r="F74" i="25"/>
  <c r="E74" i="25"/>
  <c r="S73" i="25"/>
  <c r="R73" i="25"/>
  <c r="Q73" i="25"/>
  <c r="P73" i="25"/>
  <c r="O73" i="25"/>
  <c r="N73" i="25"/>
  <c r="M73" i="25"/>
  <c r="L73" i="25"/>
  <c r="K73" i="25"/>
  <c r="J73" i="25"/>
  <c r="I73" i="25"/>
  <c r="H73" i="25"/>
  <c r="G73" i="25"/>
  <c r="F73" i="25"/>
  <c r="E73" i="25"/>
  <c r="S72" i="25"/>
  <c r="R72" i="25"/>
  <c r="Q72" i="25"/>
  <c r="P72" i="25"/>
  <c r="O72" i="25"/>
  <c r="N72" i="25"/>
  <c r="M72" i="25"/>
  <c r="L72" i="25"/>
  <c r="K72" i="25"/>
  <c r="J72" i="25"/>
  <c r="I72" i="25"/>
  <c r="H72" i="25"/>
  <c r="G72" i="25"/>
  <c r="F72" i="25"/>
  <c r="E72" i="25"/>
  <c r="S71" i="25"/>
  <c r="R71" i="25"/>
  <c r="Q71" i="25"/>
  <c r="P71" i="25"/>
  <c r="O71" i="25"/>
  <c r="N71" i="25"/>
  <c r="M71" i="25"/>
  <c r="L71" i="25"/>
  <c r="K71" i="25"/>
  <c r="J71" i="25"/>
  <c r="I71" i="25"/>
  <c r="H71" i="25"/>
  <c r="G71" i="25"/>
  <c r="F71" i="25"/>
  <c r="E71" i="25"/>
  <c r="I70" i="25"/>
  <c r="H70" i="25"/>
  <c r="G70" i="25"/>
  <c r="F70" i="25"/>
  <c r="E70" i="25"/>
  <c r="I69" i="25"/>
  <c r="H69" i="25"/>
  <c r="G69" i="25"/>
  <c r="F69" i="25"/>
  <c r="E69" i="25"/>
  <c r="I68" i="25"/>
  <c r="H68" i="25"/>
  <c r="G68" i="25"/>
  <c r="F68" i="25"/>
  <c r="E68" i="25"/>
  <c r="I67" i="25"/>
  <c r="H67" i="25"/>
  <c r="G67" i="25"/>
  <c r="F67" i="25"/>
  <c r="E67" i="25"/>
  <c r="I66" i="25"/>
  <c r="H66" i="25"/>
  <c r="G66" i="25"/>
  <c r="F66" i="25"/>
  <c r="E66" i="25"/>
  <c r="I65" i="25"/>
  <c r="H65" i="25"/>
  <c r="G65" i="25"/>
  <c r="F65" i="25"/>
  <c r="E65" i="25"/>
  <c r="I63" i="25"/>
  <c r="H63" i="25"/>
  <c r="G63" i="25"/>
  <c r="F63" i="25"/>
  <c r="E63" i="25"/>
  <c r="I62" i="25"/>
  <c r="H62" i="25"/>
  <c r="G62" i="25"/>
  <c r="F62" i="25"/>
  <c r="E62" i="25"/>
  <c r="I61" i="25"/>
  <c r="H61" i="25"/>
  <c r="G61" i="25"/>
  <c r="F61" i="25"/>
  <c r="E61" i="25"/>
  <c r="I60" i="25"/>
  <c r="H60" i="25"/>
  <c r="G60" i="25"/>
  <c r="F60" i="25"/>
  <c r="E60" i="25"/>
  <c r="I59" i="25"/>
  <c r="H59" i="25"/>
  <c r="G59" i="25"/>
  <c r="F59" i="25"/>
  <c r="E59" i="25"/>
  <c r="I58" i="25"/>
  <c r="H58" i="25"/>
  <c r="G58" i="25"/>
  <c r="F58" i="25"/>
  <c r="E58" i="25"/>
  <c r="I57" i="25"/>
  <c r="H57" i="25"/>
  <c r="G57" i="25"/>
  <c r="F57" i="25"/>
  <c r="E57" i="25"/>
  <c r="I56" i="25"/>
  <c r="H56" i="25"/>
  <c r="G56" i="25"/>
  <c r="F56" i="25"/>
  <c r="E56" i="25"/>
  <c r="I55" i="25"/>
  <c r="H55" i="25"/>
  <c r="G55" i="25"/>
  <c r="F55" i="25"/>
  <c r="E55" i="25"/>
  <c r="I54" i="25"/>
  <c r="H54" i="25"/>
  <c r="G54" i="25"/>
  <c r="F54" i="25"/>
  <c r="E54" i="25"/>
  <c r="I53" i="25"/>
  <c r="H53" i="25"/>
  <c r="G53" i="25"/>
  <c r="F53" i="25"/>
  <c r="E53" i="25"/>
  <c r="I52" i="25"/>
  <c r="H52" i="25"/>
  <c r="G52" i="25"/>
  <c r="F52" i="25"/>
  <c r="E52" i="25"/>
  <c r="I51" i="25"/>
  <c r="H51" i="25"/>
  <c r="G51" i="25"/>
  <c r="F51" i="25"/>
  <c r="E51" i="25"/>
  <c r="S50" i="25"/>
  <c r="R50" i="25"/>
  <c r="Q50" i="25"/>
  <c r="P50" i="25"/>
  <c r="O50" i="25"/>
  <c r="N50" i="25"/>
  <c r="M50" i="25"/>
  <c r="L50" i="25"/>
  <c r="K50" i="25"/>
  <c r="J50" i="25"/>
  <c r="I50" i="25"/>
  <c r="H50" i="25"/>
  <c r="G50" i="25"/>
  <c r="F50" i="25"/>
  <c r="E50" i="25"/>
  <c r="S49" i="25"/>
  <c r="R49" i="25"/>
  <c r="Q49" i="25"/>
  <c r="P49" i="25"/>
  <c r="O49" i="25"/>
  <c r="N49" i="25"/>
  <c r="M49" i="25"/>
  <c r="L49" i="25"/>
  <c r="K49" i="25"/>
  <c r="J49" i="25"/>
  <c r="I49" i="25"/>
  <c r="H49" i="25"/>
  <c r="G49" i="25"/>
  <c r="F49" i="25"/>
  <c r="E49" i="25"/>
  <c r="I42" i="25"/>
  <c r="H42" i="25"/>
  <c r="G42" i="25"/>
  <c r="F42" i="25"/>
  <c r="E42" i="25"/>
  <c r="H39" i="25"/>
  <c r="G39" i="25"/>
  <c r="F39" i="25"/>
  <c r="E39" i="25"/>
  <c r="I36" i="25"/>
  <c r="H36" i="25"/>
  <c r="G36" i="25"/>
  <c r="F36" i="25"/>
  <c r="E36" i="25"/>
  <c r="I35" i="25"/>
  <c r="H35" i="25"/>
  <c r="G35" i="25"/>
  <c r="F35" i="25"/>
  <c r="E35" i="25"/>
  <c r="I34" i="25"/>
  <c r="H34" i="25"/>
  <c r="G34" i="25"/>
  <c r="F34" i="25"/>
  <c r="E34" i="25"/>
  <c r="I30" i="25"/>
  <c r="H30" i="25"/>
  <c r="G30" i="25"/>
  <c r="F30" i="25"/>
  <c r="E30" i="25"/>
  <c r="S29" i="25"/>
  <c r="R29" i="25"/>
  <c r="Q29" i="25"/>
  <c r="P29" i="25"/>
  <c r="O29" i="25"/>
  <c r="N29" i="25"/>
  <c r="M29" i="25"/>
  <c r="L29" i="25"/>
  <c r="K29" i="25"/>
  <c r="J29" i="25"/>
  <c r="I29" i="25"/>
  <c r="H29" i="25"/>
  <c r="G29" i="25"/>
  <c r="F29" i="25"/>
  <c r="E29" i="25"/>
  <c r="S28" i="25"/>
  <c r="R28" i="25"/>
  <c r="Q28" i="25"/>
  <c r="P28" i="25"/>
  <c r="O28" i="25"/>
  <c r="N28" i="25"/>
  <c r="M28" i="25"/>
  <c r="L28" i="25"/>
  <c r="K28" i="25"/>
  <c r="J28" i="25"/>
  <c r="I28" i="25"/>
  <c r="H28" i="25"/>
  <c r="G28" i="25"/>
  <c r="F28" i="25"/>
  <c r="E28" i="25"/>
  <c r="E23" i="25"/>
  <c r="I21" i="25"/>
  <c r="H21" i="25"/>
  <c r="G21" i="25"/>
  <c r="F21" i="25"/>
  <c r="E21" i="25"/>
  <c r="I18" i="25"/>
  <c r="H18" i="25"/>
  <c r="G18" i="25"/>
  <c r="F18" i="25"/>
  <c r="E18" i="25"/>
  <c r="I15" i="25"/>
  <c r="H15" i="25"/>
  <c r="G15" i="25"/>
  <c r="F15" i="25"/>
  <c r="E15" i="25"/>
  <c r="I13" i="25"/>
  <c r="H13" i="25"/>
  <c r="G13" i="25"/>
  <c r="F13" i="25"/>
  <c r="E13" i="25"/>
  <c r="I11" i="25"/>
  <c r="H11" i="25"/>
  <c r="G11" i="25"/>
  <c r="F11" i="25"/>
  <c r="E11" i="25"/>
  <c r="I9" i="25"/>
  <c r="H9" i="25"/>
  <c r="G9" i="25"/>
  <c r="F9" i="25"/>
  <c r="E9" i="25"/>
  <c r="I8" i="25"/>
  <c r="H8" i="25"/>
  <c r="G8" i="25"/>
  <c r="F8" i="25"/>
  <c r="E8" i="25"/>
  <c r="S7" i="25"/>
  <c r="R7" i="25"/>
  <c r="Q7" i="25"/>
  <c r="P7" i="25"/>
  <c r="O7" i="25"/>
  <c r="N7" i="25"/>
  <c r="M7" i="25"/>
  <c r="L7" i="25"/>
  <c r="K7" i="25"/>
  <c r="J7" i="25"/>
  <c r="I7" i="25"/>
  <c r="H7" i="25"/>
  <c r="G7" i="25"/>
  <c r="F7" i="25"/>
  <c r="E7" i="25"/>
  <c r="S5" i="25"/>
  <c r="R5" i="25"/>
  <c r="Q5" i="25"/>
  <c r="P5" i="25"/>
  <c r="O5" i="25"/>
  <c r="N5" i="25"/>
  <c r="M5" i="25"/>
  <c r="L5" i="25"/>
  <c r="K5" i="25"/>
  <c r="J5" i="25"/>
  <c r="I5" i="25"/>
  <c r="H5" i="25"/>
  <c r="G5" i="25"/>
  <c r="F5" i="25"/>
  <c r="E5" i="25"/>
  <c r="S55" i="24"/>
  <c r="R55" i="24"/>
  <c r="Q55" i="24"/>
  <c r="P55" i="24"/>
  <c r="O55" i="24"/>
  <c r="N55" i="24"/>
  <c r="M55" i="24"/>
  <c r="L55" i="24"/>
  <c r="K55" i="24"/>
  <c r="J55" i="24"/>
  <c r="I55" i="24"/>
  <c r="H55" i="24"/>
  <c r="G55" i="24"/>
  <c r="F55" i="24"/>
  <c r="E55" i="24"/>
  <c r="I54" i="24"/>
  <c r="H54" i="24"/>
  <c r="G54" i="24"/>
  <c r="F54" i="24"/>
  <c r="E54" i="24"/>
  <c r="E53" i="24"/>
  <c r="E51" i="24"/>
  <c r="G49" i="24"/>
  <c r="F49" i="24"/>
  <c r="E49" i="24"/>
  <c r="I48" i="24"/>
  <c r="H48" i="24"/>
  <c r="G48" i="24"/>
  <c r="F48" i="24"/>
  <c r="E48" i="24"/>
  <c r="G47" i="24"/>
  <c r="F47" i="24"/>
  <c r="E47" i="24"/>
  <c r="G46" i="24"/>
  <c r="F46" i="24"/>
  <c r="E46" i="24"/>
  <c r="E44" i="24"/>
  <c r="S43" i="24"/>
  <c r="R43" i="24"/>
  <c r="Q43" i="24"/>
  <c r="P43" i="24"/>
  <c r="O43" i="24"/>
  <c r="N43" i="24"/>
  <c r="M43" i="24"/>
  <c r="L43" i="24"/>
  <c r="K43" i="24"/>
  <c r="J43" i="24"/>
  <c r="I43" i="24"/>
  <c r="H43" i="24"/>
  <c r="G43" i="24"/>
  <c r="F43" i="24"/>
  <c r="E43" i="24"/>
  <c r="I38" i="24"/>
  <c r="H38" i="24"/>
  <c r="G38" i="24"/>
  <c r="F38" i="24"/>
  <c r="E38" i="24"/>
  <c r="I37" i="24"/>
  <c r="H37" i="24"/>
  <c r="G37" i="24"/>
  <c r="F37" i="24"/>
  <c r="E37" i="24"/>
  <c r="E36" i="24"/>
  <c r="E35" i="24"/>
  <c r="I34" i="24"/>
  <c r="H34" i="24"/>
  <c r="G34" i="24"/>
  <c r="F34" i="24"/>
  <c r="E34" i="24"/>
  <c r="I33" i="24"/>
  <c r="H33" i="24"/>
  <c r="G33" i="24"/>
  <c r="F33" i="24"/>
  <c r="E33" i="24"/>
  <c r="I32" i="24"/>
  <c r="H32" i="24"/>
  <c r="G32" i="24"/>
  <c r="F32" i="24"/>
  <c r="E32" i="24"/>
  <c r="I31" i="24"/>
  <c r="H31" i="24"/>
  <c r="G31" i="24"/>
  <c r="F31" i="24"/>
  <c r="E31" i="24"/>
  <c r="I28" i="24"/>
  <c r="H28" i="24"/>
  <c r="G28" i="24"/>
  <c r="F28" i="24"/>
  <c r="E28" i="24"/>
  <c r="S27" i="24"/>
  <c r="R27" i="24"/>
  <c r="Q27" i="24"/>
  <c r="P27" i="24"/>
  <c r="O27" i="24"/>
  <c r="N27" i="24"/>
  <c r="M27" i="24"/>
  <c r="L27" i="24"/>
  <c r="K27" i="24"/>
  <c r="J27" i="24"/>
  <c r="I27" i="24"/>
  <c r="H27" i="24"/>
  <c r="G27" i="24"/>
  <c r="F27" i="24"/>
  <c r="E27" i="24"/>
  <c r="S26" i="24"/>
  <c r="R26" i="24"/>
  <c r="Q26" i="24"/>
  <c r="P26" i="24"/>
  <c r="O26" i="24"/>
  <c r="N26" i="24"/>
  <c r="M26" i="24"/>
  <c r="L26" i="24"/>
  <c r="K26" i="24"/>
  <c r="J26" i="24"/>
  <c r="I26" i="24"/>
  <c r="H26" i="24"/>
  <c r="G26" i="24"/>
  <c r="F26" i="24"/>
  <c r="E26" i="24"/>
  <c r="S24" i="24"/>
  <c r="R24" i="24"/>
  <c r="Q24" i="24"/>
  <c r="P24" i="24"/>
  <c r="O24" i="24"/>
  <c r="N24" i="24"/>
  <c r="M24" i="24"/>
  <c r="L24" i="24"/>
  <c r="K24" i="24"/>
  <c r="J24" i="24"/>
  <c r="I24" i="24"/>
  <c r="H24" i="24"/>
  <c r="G24" i="24"/>
  <c r="F24" i="24"/>
  <c r="E24" i="24"/>
  <c r="S23" i="24"/>
  <c r="R23" i="24"/>
  <c r="Q23" i="24"/>
  <c r="P23" i="24"/>
  <c r="O23" i="24"/>
  <c r="N23" i="24"/>
  <c r="M23" i="24"/>
  <c r="L23" i="24"/>
  <c r="K23" i="24"/>
  <c r="J23" i="24"/>
  <c r="I23" i="24"/>
  <c r="H23" i="24"/>
  <c r="G23" i="24"/>
  <c r="F23" i="24"/>
  <c r="E23" i="24"/>
  <c r="E21" i="24"/>
  <c r="E20" i="24"/>
  <c r="E19" i="24"/>
  <c r="S17" i="24"/>
  <c r="R17" i="24"/>
  <c r="Q17" i="24"/>
  <c r="P17" i="24"/>
  <c r="O17" i="24"/>
  <c r="N17" i="24"/>
  <c r="M17" i="24"/>
  <c r="L17" i="24"/>
  <c r="K17" i="24"/>
  <c r="J17" i="24"/>
  <c r="I17" i="24"/>
  <c r="H17" i="24"/>
  <c r="G17" i="24"/>
  <c r="F17" i="24"/>
  <c r="E17" i="24"/>
  <c r="S15" i="24"/>
  <c r="R15" i="24"/>
  <c r="Q15" i="24"/>
  <c r="P15" i="24"/>
  <c r="O15" i="24"/>
  <c r="N15" i="24"/>
  <c r="M15" i="24"/>
  <c r="L15" i="24"/>
  <c r="K15" i="24"/>
  <c r="J15" i="24"/>
  <c r="I15" i="24"/>
  <c r="H15" i="24"/>
  <c r="G15" i="24"/>
  <c r="F15" i="24"/>
  <c r="E15" i="24"/>
  <c r="I14" i="24"/>
  <c r="H14" i="24"/>
  <c r="G14" i="24"/>
  <c r="F14" i="24"/>
  <c r="E14" i="24"/>
  <c r="S13" i="24"/>
  <c r="R13" i="24"/>
  <c r="Q13" i="24"/>
  <c r="P13" i="24"/>
  <c r="O13" i="24"/>
  <c r="N13" i="24"/>
  <c r="M13" i="24"/>
  <c r="L13" i="24"/>
  <c r="K13" i="24"/>
  <c r="J13" i="24"/>
  <c r="I13" i="24"/>
  <c r="H13" i="24"/>
  <c r="G13" i="24"/>
  <c r="F13" i="24"/>
  <c r="E13" i="24"/>
  <c r="S12" i="24"/>
  <c r="R12" i="24"/>
  <c r="Q12" i="24"/>
  <c r="P12" i="24"/>
  <c r="O12" i="24"/>
  <c r="N12" i="24"/>
  <c r="M12" i="24"/>
  <c r="L12" i="24"/>
  <c r="K12" i="24"/>
  <c r="J12" i="24"/>
  <c r="I12" i="24"/>
  <c r="H12" i="24"/>
  <c r="G12" i="24"/>
  <c r="F12" i="24"/>
  <c r="E12" i="24"/>
  <c r="S11" i="24"/>
  <c r="R11" i="24"/>
  <c r="Q11" i="24"/>
  <c r="P11" i="24"/>
  <c r="O11" i="24"/>
  <c r="N11" i="24"/>
  <c r="M11" i="24"/>
  <c r="L11" i="24"/>
  <c r="K11" i="24"/>
  <c r="J11" i="24"/>
  <c r="I11" i="24"/>
  <c r="H11" i="24"/>
  <c r="G11" i="24"/>
  <c r="F11" i="24"/>
  <c r="E11" i="24"/>
  <c r="E10" i="24"/>
  <c r="S9" i="24"/>
  <c r="R9" i="24"/>
  <c r="Q9" i="24"/>
  <c r="P9" i="24"/>
  <c r="O9" i="24"/>
  <c r="N9" i="24"/>
  <c r="M9" i="24"/>
  <c r="L9" i="24"/>
  <c r="K9" i="24"/>
  <c r="J9" i="24"/>
  <c r="I9" i="24"/>
  <c r="H9" i="24"/>
  <c r="G9" i="24"/>
  <c r="F9" i="24"/>
  <c r="E9" i="24"/>
  <c r="S8" i="24"/>
  <c r="R8" i="24"/>
  <c r="Q8" i="24"/>
  <c r="P8" i="24"/>
  <c r="O8" i="24"/>
  <c r="N8" i="24"/>
  <c r="M8" i="24"/>
  <c r="L8" i="24"/>
  <c r="K8" i="24"/>
  <c r="J8" i="24"/>
  <c r="I8" i="24"/>
  <c r="H8" i="24"/>
  <c r="G8" i="24"/>
  <c r="F8" i="24"/>
  <c r="E8" i="24"/>
  <c r="S7" i="24"/>
  <c r="R7" i="24"/>
  <c r="Q7" i="24"/>
  <c r="P7" i="24"/>
  <c r="O7" i="24"/>
  <c r="N7" i="24"/>
  <c r="M7" i="24"/>
  <c r="L7" i="24"/>
  <c r="K7" i="24"/>
  <c r="J7" i="24"/>
  <c r="I7" i="24"/>
  <c r="H7" i="24"/>
  <c r="G7" i="24"/>
  <c r="F7" i="24"/>
  <c r="E7" i="24"/>
  <c r="S5" i="24"/>
  <c r="R5" i="24"/>
  <c r="Q5" i="24"/>
  <c r="P5" i="24"/>
  <c r="O5" i="24"/>
  <c r="N5" i="24"/>
  <c r="M5" i="24"/>
  <c r="L5" i="24"/>
  <c r="K5" i="24"/>
  <c r="J5" i="24"/>
  <c r="I5" i="24"/>
  <c r="H5" i="24"/>
  <c r="G5" i="24"/>
  <c r="F5" i="24"/>
  <c r="E5" i="24"/>
  <c r="S53" i="23"/>
  <c r="R53" i="23"/>
  <c r="Q53" i="23"/>
  <c r="P53" i="23"/>
  <c r="O53" i="23"/>
  <c r="N53" i="23"/>
  <c r="M53" i="23"/>
  <c r="L53" i="23"/>
  <c r="K53" i="23"/>
  <c r="J53" i="23"/>
  <c r="I53" i="23"/>
  <c r="H53" i="23"/>
  <c r="G53" i="23"/>
  <c r="F53" i="23"/>
  <c r="E53" i="23"/>
  <c r="E52" i="23"/>
  <c r="S50" i="23"/>
  <c r="R50" i="23"/>
  <c r="Q50" i="23"/>
  <c r="P50" i="23"/>
  <c r="O50" i="23"/>
  <c r="N50" i="23"/>
  <c r="M50" i="23"/>
  <c r="L50" i="23"/>
  <c r="K50" i="23"/>
  <c r="J50" i="23"/>
  <c r="I50" i="23"/>
  <c r="H50" i="23"/>
  <c r="G50" i="23"/>
  <c r="F50" i="23"/>
  <c r="E50" i="23"/>
  <c r="S49" i="23"/>
  <c r="R49" i="23"/>
  <c r="Q49" i="23"/>
  <c r="P49" i="23"/>
  <c r="O49" i="23"/>
  <c r="N49" i="23"/>
  <c r="M49" i="23"/>
  <c r="L49" i="23"/>
  <c r="K49" i="23"/>
  <c r="J49" i="23"/>
  <c r="I49" i="23"/>
  <c r="H49" i="23"/>
  <c r="G49" i="23"/>
  <c r="F49" i="23"/>
  <c r="E49" i="23"/>
  <c r="E48" i="23"/>
  <c r="E47" i="23"/>
  <c r="E45" i="23"/>
  <c r="S43" i="23"/>
  <c r="R43" i="23"/>
  <c r="Q43" i="23"/>
  <c r="P43" i="23"/>
  <c r="O43" i="23"/>
  <c r="N43" i="23"/>
  <c r="M43" i="23"/>
  <c r="L43" i="23"/>
  <c r="K43" i="23"/>
  <c r="J43" i="23"/>
  <c r="I43" i="23"/>
  <c r="H43" i="23"/>
  <c r="G43" i="23"/>
  <c r="F43" i="23"/>
  <c r="E43" i="23"/>
  <c r="E42" i="23"/>
  <c r="S41" i="23"/>
  <c r="R41" i="23"/>
  <c r="Q41" i="23"/>
  <c r="P41" i="23"/>
  <c r="O41" i="23"/>
  <c r="N41" i="23"/>
  <c r="M41" i="23"/>
  <c r="L41" i="23"/>
  <c r="K41" i="23"/>
  <c r="J41" i="23"/>
  <c r="I41" i="23"/>
  <c r="H41" i="23"/>
  <c r="G41" i="23"/>
  <c r="F41" i="23"/>
  <c r="E41" i="23"/>
  <c r="S40" i="23"/>
  <c r="R40" i="23"/>
  <c r="Q40" i="23"/>
  <c r="P40" i="23"/>
  <c r="O40" i="23"/>
  <c r="N40" i="23"/>
  <c r="M40" i="23"/>
  <c r="L40" i="23"/>
  <c r="K40" i="23"/>
  <c r="J40" i="23"/>
  <c r="I40" i="23"/>
  <c r="H40" i="23"/>
  <c r="G40" i="23"/>
  <c r="F40" i="23"/>
  <c r="E40" i="23"/>
  <c r="S37" i="23"/>
  <c r="R37" i="23"/>
  <c r="Q37" i="23"/>
  <c r="P37" i="23"/>
  <c r="O37" i="23"/>
  <c r="N37" i="23"/>
  <c r="M37" i="23"/>
  <c r="L37" i="23"/>
  <c r="K37" i="23"/>
  <c r="J37" i="23"/>
  <c r="I37" i="23"/>
  <c r="H37" i="23"/>
  <c r="G37" i="23"/>
  <c r="F37" i="23"/>
  <c r="E37" i="23"/>
  <c r="E36" i="23"/>
  <c r="E35" i="23"/>
  <c r="E34" i="23"/>
  <c r="I33" i="23"/>
  <c r="H33" i="23"/>
  <c r="G33" i="23"/>
  <c r="F33" i="23"/>
  <c r="E33" i="23"/>
  <c r="E32" i="23"/>
  <c r="I28" i="23"/>
  <c r="H28" i="23"/>
  <c r="G28" i="23"/>
  <c r="F28" i="23"/>
  <c r="E28" i="23"/>
  <c r="I27" i="23"/>
  <c r="H27" i="23"/>
  <c r="G27" i="23"/>
  <c r="F27" i="23"/>
  <c r="E27" i="23"/>
  <c r="I26" i="23"/>
  <c r="H26" i="23"/>
  <c r="G26" i="23"/>
  <c r="F26" i="23"/>
  <c r="E26" i="23"/>
  <c r="S25" i="23"/>
  <c r="R25" i="23"/>
  <c r="Q25" i="23"/>
  <c r="P25" i="23"/>
  <c r="O25" i="23"/>
  <c r="N25" i="23"/>
  <c r="M25" i="23"/>
  <c r="L25" i="23"/>
  <c r="K25" i="23"/>
  <c r="J25" i="23"/>
  <c r="I25" i="23"/>
  <c r="H25" i="23"/>
  <c r="G25" i="23"/>
  <c r="F25" i="23"/>
  <c r="E25" i="23"/>
  <c r="S24" i="23"/>
  <c r="R24" i="23"/>
  <c r="Q24" i="23"/>
  <c r="P24" i="23"/>
  <c r="O24" i="23"/>
  <c r="N24" i="23"/>
  <c r="M24" i="23"/>
  <c r="L24" i="23"/>
  <c r="K24" i="23"/>
  <c r="J24" i="23"/>
  <c r="I24" i="23"/>
  <c r="H24" i="23"/>
  <c r="G24" i="23"/>
  <c r="F24" i="23"/>
  <c r="E24" i="23"/>
  <c r="E22" i="23"/>
  <c r="E21" i="23"/>
  <c r="S20" i="23"/>
  <c r="R20" i="23"/>
  <c r="Q20" i="23"/>
  <c r="P20" i="23"/>
  <c r="O20" i="23"/>
  <c r="N20" i="23"/>
  <c r="M20" i="23"/>
  <c r="L20" i="23"/>
  <c r="K20" i="23"/>
  <c r="J20" i="23"/>
  <c r="I20" i="23"/>
  <c r="H20" i="23"/>
  <c r="G20" i="23"/>
  <c r="F20" i="23"/>
  <c r="E20" i="23"/>
  <c r="I18" i="23"/>
  <c r="H18" i="23"/>
  <c r="G18" i="23"/>
  <c r="F18" i="23"/>
  <c r="E18" i="23"/>
  <c r="I17" i="23"/>
  <c r="H17" i="23"/>
  <c r="G17" i="23"/>
  <c r="F17" i="23"/>
  <c r="E17" i="23"/>
  <c r="I16" i="23"/>
  <c r="H16" i="23"/>
  <c r="G16" i="23"/>
  <c r="F16" i="23"/>
  <c r="E16" i="23"/>
  <c r="I15" i="23"/>
  <c r="H15" i="23"/>
  <c r="G15" i="23"/>
  <c r="F15" i="23"/>
  <c r="E15" i="23"/>
  <c r="S13" i="23"/>
  <c r="R13" i="23"/>
  <c r="Q13" i="23"/>
  <c r="P13" i="23"/>
  <c r="O13" i="23"/>
  <c r="N13" i="23"/>
  <c r="M13" i="23"/>
  <c r="L13" i="23"/>
  <c r="K13" i="23"/>
  <c r="J13" i="23"/>
  <c r="E11" i="23"/>
  <c r="E10" i="23"/>
  <c r="E9" i="23"/>
  <c r="E8" i="23"/>
  <c r="E7" i="23"/>
  <c r="S5" i="23"/>
  <c r="R5" i="23"/>
  <c r="Q5" i="23"/>
  <c r="P5" i="23"/>
  <c r="O5" i="23"/>
  <c r="N5" i="23"/>
  <c r="M5" i="23"/>
  <c r="L5" i="23"/>
  <c r="K5" i="23"/>
  <c r="J5" i="23"/>
  <c r="I5" i="23"/>
  <c r="H5" i="23"/>
  <c r="G5" i="23"/>
  <c r="F5" i="23"/>
  <c r="E5" i="23"/>
  <c r="S124" i="22"/>
  <c r="R124" i="22"/>
  <c r="Q124" i="22"/>
  <c r="P124" i="22"/>
  <c r="O124" i="22"/>
  <c r="N124" i="22"/>
  <c r="M124" i="22"/>
  <c r="L124" i="22"/>
  <c r="K124" i="22"/>
  <c r="J124" i="22"/>
  <c r="I124" i="22"/>
  <c r="H124" i="22"/>
  <c r="G124" i="22"/>
  <c r="F124" i="22"/>
  <c r="E124" i="22"/>
  <c r="S123" i="22"/>
  <c r="R123" i="22"/>
  <c r="Q123" i="22"/>
  <c r="P123" i="22"/>
  <c r="O123" i="22"/>
  <c r="N123" i="22"/>
  <c r="M123" i="22"/>
  <c r="L123" i="22"/>
  <c r="K123" i="22"/>
  <c r="J123" i="22"/>
  <c r="I123" i="22"/>
  <c r="H123" i="22"/>
  <c r="G123" i="22"/>
  <c r="F123" i="22"/>
  <c r="S122" i="22"/>
  <c r="R122" i="22"/>
  <c r="Q122" i="22"/>
  <c r="P122" i="22"/>
  <c r="O122" i="22"/>
  <c r="N122" i="22"/>
  <c r="M122" i="22"/>
  <c r="L122" i="22"/>
  <c r="K122" i="22"/>
  <c r="J122" i="22"/>
  <c r="I122" i="22"/>
  <c r="H122" i="22"/>
  <c r="G122" i="22"/>
  <c r="F122" i="22"/>
  <c r="E122" i="22"/>
  <c r="S121" i="22"/>
  <c r="R121" i="22"/>
  <c r="Q121" i="22"/>
  <c r="P121" i="22"/>
  <c r="O121" i="22"/>
  <c r="N121" i="22"/>
  <c r="M121" i="22"/>
  <c r="L121" i="22"/>
  <c r="K121" i="22"/>
  <c r="J121" i="22"/>
  <c r="I121" i="22"/>
  <c r="H121" i="22"/>
  <c r="G121" i="22"/>
  <c r="F121" i="22"/>
  <c r="E121" i="22"/>
  <c r="S120" i="22"/>
  <c r="R120" i="22"/>
  <c r="Q120" i="22"/>
  <c r="P120" i="22"/>
  <c r="O120" i="22"/>
  <c r="N120" i="22"/>
  <c r="M120" i="22"/>
  <c r="L120" i="22"/>
  <c r="K120" i="22"/>
  <c r="J120" i="22"/>
  <c r="I120" i="22"/>
  <c r="H120" i="22"/>
  <c r="G120" i="22"/>
  <c r="F120" i="22"/>
  <c r="S119" i="22"/>
  <c r="R119" i="22"/>
  <c r="Q119" i="22"/>
  <c r="P119" i="22"/>
  <c r="O119" i="22"/>
  <c r="N119" i="22"/>
  <c r="M119" i="22"/>
  <c r="L119" i="22"/>
  <c r="K119" i="22"/>
  <c r="J119" i="22"/>
  <c r="I119" i="22"/>
  <c r="H119" i="22"/>
  <c r="G119" i="22"/>
  <c r="F119" i="22"/>
  <c r="E119" i="22"/>
  <c r="S118" i="22"/>
  <c r="R118" i="22"/>
  <c r="Q118" i="22"/>
  <c r="P118" i="22"/>
  <c r="O118" i="22"/>
  <c r="N118" i="22"/>
  <c r="M118" i="22"/>
  <c r="L118" i="22"/>
  <c r="K118" i="22"/>
  <c r="J118" i="22"/>
  <c r="I118" i="22"/>
  <c r="H118" i="22"/>
  <c r="G118" i="22"/>
  <c r="F118" i="22"/>
  <c r="E118" i="22"/>
  <c r="S117" i="22"/>
  <c r="R117" i="22"/>
  <c r="Q117" i="22"/>
  <c r="P117" i="22"/>
  <c r="O117" i="22"/>
  <c r="N117" i="22"/>
  <c r="M117" i="22"/>
  <c r="L117" i="22"/>
  <c r="K117" i="22"/>
  <c r="J117" i="22"/>
  <c r="I117" i="22"/>
  <c r="H117" i="22"/>
  <c r="G117" i="22"/>
  <c r="F117" i="22"/>
  <c r="E117" i="22"/>
  <c r="S116" i="22"/>
  <c r="R116" i="22"/>
  <c r="Q116" i="22"/>
  <c r="P116" i="22"/>
  <c r="O116" i="22"/>
  <c r="N116" i="22"/>
  <c r="M116" i="22"/>
  <c r="L116" i="22"/>
  <c r="K116" i="22"/>
  <c r="J116" i="22"/>
  <c r="I116" i="22"/>
  <c r="H116" i="22"/>
  <c r="G116" i="22"/>
  <c r="F116" i="22"/>
  <c r="E116" i="22"/>
  <c r="S115" i="22"/>
  <c r="R115" i="22"/>
  <c r="Q115" i="22"/>
  <c r="P115" i="22"/>
  <c r="O115" i="22"/>
  <c r="N115" i="22"/>
  <c r="M115" i="22"/>
  <c r="L115" i="22"/>
  <c r="K115" i="22"/>
  <c r="J115" i="22"/>
  <c r="I115" i="22"/>
  <c r="H115" i="22"/>
  <c r="G115" i="22"/>
  <c r="F115" i="22"/>
  <c r="E115" i="22"/>
  <c r="S114" i="22"/>
  <c r="R114" i="22"/>
  <c r="Q114" i="22"/>
  <c r="P114" i="22"/>
  <c r="O114" i="22"/>
  <c r="N114" i="22"/>
  <c r="M114" i="22"/>
  <c r="L114" i="22"/>
  <c r="K114" i="22"/>
  <c r="J114" i="22"/>
  <c r="I114" i="22"/>
  <c r="H114" i="22"/>
  <c r="G114" i="22"/>
  <c r="F114" i="22"/>
  <c r="E114" i="22"/>
  <c r="S113" i="22"/>
  <c r="R113" i="22"/>
  <c r="Q113" i="22"/>
  <c r="P113" i="22"/>
  <c r="O113" i="22"/>
  <c r="N113" i="22"/>
  <c r="M113" i="22"/>
  <c r="L113" i="22"/>
  <c r="K113" i="22"/>
  <c r="J113" i="22"/>
  <c r="I113" i="22"/>
  <c r="H113" i="22"/>
  <c r="G113" i="22"/>
  <c r="F113" i="22"/>
  <c r="E113" i="22"/>
  <c r="S112" i="22"/>
  <c r="R112" i="22"/>
  <c r="Q112" i="22"/>
  <c r="P112" i="22"/>
  <c r="O112" i="22"/>
  <c r="N112" i="22"/>
  <c r="M112" i="22"/>
  <c r="L112" i="22"/>
  <c r="K112" i="22"/>
  <c r="J112" i="22"/>
  <c r="I112" i="22"/>
  <c r="H112" i="22"/>
  <c r="G112" i="22"/>
  <c r="F112" i="22"/>
  <c r="E112" i="22"/>
  <c r="S111" i="22"/>
  <c r="R111" i="22"/>
  <c r="Q111" i="22"/>
  <c r="P111" i="22"/>
  <c r="O111" i="22"/>
  <c r="N111" i="22"/>
  <c r="M111" i="22"/>
  <c r="L111" i="22"/>
  <c r="K111" i="22"/>
  <c r="J111" i="22"/>
  <c r="I111" i="22"/>
  <c r="H111" i="22"/>
  <c r="G111" i="22"/>
  <c r="F111" i="22"/>
  <c r="E111" i="22"/>
  <c r="S110" i="22"/>
  <c r="R110" i="22"/>
  <c r="Q110" i="22"/>
  <c r="P110" i="22"/>
  <c r="O110" i="22"/>
  <c r="N110" i="22"/>
  <c r="M110" i="22"/>
  <c r="L110" i="22"/>
  <c r="K110" i="22"/>
  <c r="J110" i="22"/>
  <c r="I110" i="22"/>
  <c r="H110" i="22"/>
  <c r="G110" i="22"/>
  <c r="F110" i="22"/>
  <c r="E110" i="22"/>
  <c r="S109" i="22"/>
  <c r="R109" i="22"/>
  <c r="Q109" i="22"/>
  <c r="P109" i="22"/>
  <c r="O109" i="22"/>
  <c r="N109" i="22"/>
  <c r="M109" i="22"/>
  <c r="L109" i="22"/>
  <c r="K109" i="22"/>
  <c r="J109" i="22"/>
  <c r="I109" i="22"/>
  <c r="H109" i="22"/>
  <c r="G109" i="22"/>
  <c r="F109" i="22"/>
  <c r="E109" i="22"/>
  <c r="S108" i="22"/>
  <c r="R108" i="22"/>
  <c r="Q108" i="22"/>
  <c r="P108" i="22"/>
  <c r="O108" i="22"/>
  <c r="N108" i="22"/>
  <c r="M108" i="22"/>
  <c r="L108" i="22"/>
  <c r="K108" i="22"/>
  <c r="J108" i="22"/>
  <c r="I108" i="22"/>
  <c r="H108" i="22"/>
  <c r="G108" i="22"/>
  <c r="F108" i="22"/>
  <c r="E108" i="22"/>
  <c r="S107" i="22"/>
  <c r="R107" i="22"/>
  <c r="Q107" i="22"/>
  <c r="P107" i="22"/>
  <c r="O107" i="22"/>
  <c r="N107" i="22"/>
  <c r="M107" i="22"/>
  <c r="L107" i="22"/>
  <c r="K107" i="22"/>
  <c r="J107" i="22"/>
  <c r="I107" i="22"/>
  <c r="H107" i="22"/>
  <c r="G107" i="22"/>
  <c r="F107" i="22"/>
  <c r="E107" i="22"/>
  <c r="S106" i="22"/>
  <c r="R106" i="22"/>
  <c r="Q106" i="22"/>
  <c r="P106" i="22"/>
  <c r="O106" i="22"/>
  <c r="N106" i="22"/>
  <c r="M106" i="22"/>
  <c r="L106" i="22"/>
  <c r="K106" i="22"/>
  <c r="J106" i="22"/>
  <c r="I106" i="22"/>
  <c r="H106" i="22"/>
  <c r="G106" i="22"/>
  <c r="F106" i="22"/>
  <c r="E106" i="22"/>
  <c r="S105" i="22"/>
  <c r="R105" i="22"/>
  <c r="Q105" i="22"/>
  <c r="P105" i="22"/>
  <c r="O105" i="22"/>
  <c r="N105" i="22"/>
  <c r="M105" i="22"/>
  <c r="L105" i="22"/>
  <c r="K105" i="22"/>
  <c r="J105" i="22"/>
  <c r="I105" i="22"/>
  <c r="H105" i="22"/>
  <c r="G105" i="22"/>
  <c r="F105" i="22"/>
  <c r="E105" i="22"/>
  <c r="S104" i="22"/>
  <c r="R104" i="22"/>
  <c r="Q104" i="22"/>
  <c r="P104" i="22"/>
  <c r="O104" i="22"/>
  <c r="N104" i="22"/>
  <c r="M104" i="22"/>
  <c r="L104" i="22"/>
  <c r="K104" i="22"/>
  <c r="J104" i="22"/>
  <c r="I104" i="22"/>
  <c r="H104" i="22"/>
  <c r="G104" i="22"/>
  <c r="F104" i="22"/>
  <c r="E104" i="22"/>
  <c r="S103" i="22"/>
  <c r="R103" i="22"/>
  <c r="Q103" i="22"/>
  <c r="P103" i="22"/>
  <c r="O103" i="22"/>
  <c r="N103" i="22"/>
  <c r="M103" i="22"/>
  <c r="L103" i="22"/>
  <c r="K103" i="22"/>
  <c r="J103" i="22"/>
  <c r="I103" i="22"/>
  <c r="H103" i="22"/>
  <c r="G103" i="22"/>
  <c r="F103" i="22"/>
  <c r="E103" i="22"/>
  <c r="S102" i="22"/>
  <c r="R102" i="22"/>
  <c r="Q102" i="22"/>
  <c r="P102" i="22"/>
  <c r="O102" i="22"/>
  <c r="N102" i="22"/>
  <c r="M102" i="22"/>
  <c r="L102" i="22"/>
  <c r="K102" i="22"/>
  <c r="J102" i="22"/>
  <c r="I102" i="22"/>
  <c r="H102" i="22"/>
  <c r="G102" i="22"/>
  <c r="F102" i="22"/>
  <c r="E102" i="22"/>
  <c r="S101" i="22"/>
  <c r="R101" i="22"/>
  <c r="Q101" i="22"/>
  <c r="P101" i="22"/>
  <c r="O101" i="22"/>
  <c r="N101" i="22"/>
  <c r="M101" i="22"/>
  <c r="L101" i="22"/>
  <c r="K101" i="22"/>
  <c r="J101" i="22"/>
  <c r="I101" i="22"/>
  <c r="H101" i="22"/>
  <c r="G101" i="22"/>
  <c r="F101" i="22"/>
  <c r="E101" i="22"/>
  <c r="I100" i="22"/>
  <c r="H100" i="22"/>
  <c r="G100" i="22"/>
  <c r="F100" i="22"/>
  <c r="E100" i="22"/>
  <c r="S99" i="22"/>
  <c r="R99" i="22"/>
  <c r="Q99" i="22"/>
  <c r="P99" i="22"/>
  <c r="O99" i="22"/>
  <c r="N99" i="22"/>
  <c r="M99" i="22"/>
  <c r="L99" i="22"/>
  <c r="K99" i="22"/>
  <c r="J99" i="22"/>
  <c r="I99" i="22"/>
  <c r="H99" i="22"/>
  <c r="G99" i="22"/>
  <c r="F99" i="22"/>
  <c r="E99" i="22"/>
  <c r="S98" i="22"/>
  <c r="R98" i="22"/>
  <c r="Q98" i="22"/>
  <c r="P98" i="22"/>
  <c r="O98" i="22"/>
  <c r="N98" i="22"/>
  <c r="M98" i="22"/>
  <c r="L98" i="22"/>
  <c r="K98" i="22"/>
  <c r="J98" i="22"/>
  <c r="I98" i="22"/>
  <c r="H98" i="22"/>
  <c r="G98" i="22"/>
  <c r="F98" i="22"/>
  <c r="E98" i="22"/>
  <c r="I96" i="22"/>
  <c r="H96" i="22"/>
  <c r="G96" i="22"/>
  <c r="F96" i="22"/>
  <c r="E96" i="22"/>
  <c r="S95" i="22"/>
  <c r="R95" i="22"/>
  <c r="Q95" i="22"/>
  <c r="P95" i="22"/>
  <c r="O95" i="22"/>
  <c r="N95" i="22"/>
  <c r="M95" i="22"/>
  <c r="L95" i="22"/>
  <c r="K95" i="22"/>
  <c r="J95" i="22"/>
  <c r="I95" i="22"/>
  <c r="H95" i="22"/>
  <c r="G95" i="22"/>
  <c r="F95" i="22"/>
  <c r="E95" i="22"/>
  <c r="S94" i="22"/>
  <c r="R94" i="22"/>
  <c r="Q94" i="22"/>
  <c r="P94" i="22"/>
  <c r="O94" i="22"/>
  <c r="N94" i="22"/>
  <c r="M94" i="22"/>
  <c r="L94" i="22"/>
  <c r="K94" i="22"/>
  <c r="J94" i="22"/>
  <c r="I94" i="22"/>
  <c r="H94" i="22"/>
  <c r="G94" i="22"/>
  <c r="F94" i="22"/>
  <c r="E94" i="22"/>
  <c r="S93" i="22"/>
  <c r="R93" i="22"/>
  <c r="Q93" i="22"/>
  <c r="P93" i="22"/>
  <c r="O93" i="22"/>
  <c r="N93" i="22"/>
  <c r="M93" i="22"/>
  <c r="L93" i="22"/>
  <c r="K93" i="22"/>
  <c r="J93" i="22"/>
  <c r="I93" i="22"/>
  <c r="H93" i="22"/>
  <c r="G93" i="22"/>
  <c r="F93" i="22"/>
  <c r="E93" i="22"/>
  <c r="S92" i="22"/>
  <c r="R92" i="22"/>
  <c r="Q92" i="22"/>
  <c r="P92" i="22"/>
  <c r="O92" i="22"/>
  <c r="N92" i="22"/>
  <c r="M92" i="22"/>
  <c r="L92" i="22"/>
  <c r="K92" i="22"/>
  <c r="J92" i="22"/>
  <c r="I92" i="22"/>
  <c r="H92" i="22"/>
  <c r="G92" i="22"/>
  <c r="F92" i="22"/>
  <c r="E92" i="22"/>
  <c r="I91" i="22"/>
  <c r="H91" i="22"/>
  <c r="G91" i="22"/>
  <c r="F91" i="22"/>
  <c r="E91" i="22"/>
  <c r="S90" i="22"/>
  <c r="R90" i="22"/>
  <c r="Q90" i="22"/>
  <c r="P90" i="22"/>
  <c r="O90" i="22"/>
  <c r="N90" i="22"/>
  <c r="M90" i="22"/>
  <c r="L90" i="22"/>
  <c r="K90" i="22"/>
  <c r="J90" i="22"/>
  <c r="I90" i="22"/>
  <c r="H90" i="22"/>
  <c r="G90" i="22"/>
  <c r="F90" i="22"/>
  <c r="E90" i="22"/>
  <c r="S89" i="22"/>
  <c r="R89" i="22"/>
  <c r="Q89" i="22"/>
  <c r="P89" i="22"/>
  <c r="O89" i="22"/>
  <c r="N89" i="22"/>
  <c r="M89" i="22"/>
  <c r="L89" i="22"/>
  <c r="K89" i="22"/>
  <c r="J89" i="22"/>
  <c r="I89" i="22"/>
  <c r="H89" i="22"/>
  <c r="G89" i="22"/>
  <c r="F89" i="22"/>
  <c r="E89" i="22"/>
  <c r="S88" i="22"/>
  <c r="R88" i="22"/>
  <c r="Q88" i="22"/>
  <c r="P88" i="22"/>
  <c r="O88" i="22"/>
  <c r="N88" i="22"/>
  <c r="M88" i="22"/>
  <c r="L88" i="22"/>
  <c r="K88" i="22"/>
  <c r="J88" i="22"/>
  <c r="I88" i="22"/>
  <c r="H88" i="22"/>
  <c r="G88" i="22"/>
  <c r="F88" i="22"/>
  <c r="E88" i="22"/>
  <c r="E87" i="22"/>
  <c r="S86" i="22"/>
  <c r="R86" i="22"/>
  <c r="Q86" i="22"/>
  <c r="P86" i="22"/>
  <c r="O86" i="22"/>
  <c r="N86" i="22"/>
  <c r="M86" i="22"/>
  <c r="L86" i="22"/>
  <c r="K86" i="22"/>
  <c r="J86" i="22"/>
  <c r="I86" i="22"/>
  <c r="H86" i="22"/>
  <c r="G86" i="22"/>
  <c r="F86" i="22"/>
  <c r="E86" i="22"/>
  <c r="S85" i="22"/>
  <c r="R85" i="22"/>
  <c r="Q85" i="22"/>
  <c r="P85" i="22"/>
  <c r="O85" i="22"/>
  <c r="N85" i="22"/>
  <c r="M85" i="22"/>
  <c r="L85" i="22"/>
  <c r="K85" i="22"/>
  <c r="J85" i="22"/>
  <c r="I85" i="22"/>
  <c r="H85" i="22"/>
  <c r="G85" i="22"/>
  <c r="F85" i="22"/>
  <c r="E85" i="22"/>
  <c r="S84" i="22"/>
  <c r="R84" i="22"/>
  <c r="Q84" i="22"/>
  <c r="P84" i="22"/>
  <c r="O84" i="22"/>
  <c r="N84" i="22"/>
  <c r="M84" i="22"/>
  <c r="L84" i="22"/>
  <c r="K84" i="22"/>
  <c r="J84" i="22"/>
  <c r="I84" i="22"/>
  <c r="H84" i="22"/>
  <c r="G84" i="22"/>
  <c r="F84" i="22"/>
  <c r="E84" i="22"/>
  <c r="S82" i="22"/>
  <c r="R82" i="22"/>
  <c r="Q82" i="22"/>
  <c r="P82" i="22"/>
  <c r="O82" i="22"/>
  <c r="N82" i="22"/>
  <c r="M82" i="22"/>
  <c r="L82" i="22"/>
  <c r="K82" i="22"/>
  <c r="J82" i="22"/>
  <c r="I82" i="22"/>
  <c r="H82" i="22"/>
  <c r="G82" i="22"/>
  <c r="F82" i="22"/>
  <c r="E82" i="22"/>
  <c r="S81" i="22"/>
  <c r="R81" i="22"/>
  <c r="Q81" i="22"/>
  <c r="P81" i="22"/>
  <c r="O81" i="22"/>
  <c r="N81" i="22"/>
  <c r="M81" i="22"/>
  <c r="L81" i="22"/>
  <c r="K81" i="22"/>
  <c r="J81" i="22"/>
  <c r="I81" i="22"/>
  <c r="H81" i="22"/>
  <c r="G81" i="22"/>
  <c r="F81" i="22"/>
  <c r="E81" i="22"/>
  <c r="S80" i="22"/>
  <c r="R80" i="22"/>
  <c r="Q80" i="22"/>
  <c r="P80" i="22"/>
  <c r="O80" i="22"/>
  <c r="N80" i="22"/>
  <c r="M80" i="22"/>
  <c r="L80" i="22"/>
  <c r="K80" i="22"/>
  <c r="J80" i="22"/>
  <c r="I80" i="22"/>
  <c r="H80" i="22"/>
  <c r="G80" i="22"/>
  <c r="F80" i="22"/>
  <c r="E80" i="22"/>
  <c r="E79" i="22"/>
  <c r="S78" i="22"/>
  <c r="R78" i="22"/>
  <c r="Q78" i="22"/>
  <c r="P78" i="22"/>
  <c r="O78" i="22"/>
  <c r="N78" i="22"/>
  <c r="M78" i="22"/>
  <c r="L78" i="22"/>
  <c r="K78" i="22"/>
  <c r="J78" i="22"/>
  <c r="I78" i="22"/>
  <c r="H78" i="22"/>
  <c r="G78" i="22"/>
  <c r="F78" i="22"/>
  <c r="E78" i="22"/>
  <c r="S77" i="22"/>
  <c r="R77" i="22"/>
  <c r="Q77" i="22"/>
  <c r="P77" i="22"/>
  <c r="O77" i="22"/>
  <c r="N77" i="22"/>
  <c r="M77" i="22"/>
  <c r="L77" i="22"/>
  <c r="K77" i="22"/>
  <c r="J77" i="22"/>
  <c r="I77" i="22"/>
  <c r="H77" i="22"/>
  <c r="G77" i="22"/>
  <c r="F77" i="22"/>
  <c r="E77" i="22"/>
  <c r="S76" i="22"/>
  <c r="R76" i="22"/>
  <c r="Q76" i="22"/>
  <c r="P76" i="22"/>
  <c r="O76" i="22"/>
  <c r="N76" i="22"/>
  <c r="M76" i="22"/>
  <c r="L76" i="22"/>
  <c r="K76" i="22"/>
  <c r="J76" i="22"/>
  <c r="I76" i="22"/>
  <c r="H76" i="22"/>
  <c r="G76" i="22"/>
  <c r="F76" i="22"/>
  <c r="E76" i="22"/>
  <c r="S75" i="22"/>
  <c r="R75" i="22"/>
  <c r="Q75" i="22"/>
  <c r="P75" i="22"/>
  <c r="O75" i="22"/>
  <c r="N75" i="22"/>
  <c r="M75" i="22"/>
  <c r="L75" i="22"/>
  <c r="K75" i="22"/>
  <c r="J75" i="22"/>
  <c r="I75" i="22"/>
  <c r="H75" i="22"/>
  <c r="G75" i="22"/>
  <c r="F75" i="22"/>
  <c r="E75" i="22"/>
  <c r="S73" i="22"/>
  <c r="R73" i="22"/>
  <c r="Q73" i="22"/>
  <c r="P73" i="22"/>
  <c r="O73" i="22"/>
  <c r="N73" i="22"/>
  <c r="M73" i="22"/>
  <c r="L73" i="22"/>
  <c r="K73" i="22"/>
  <c r="J73" i="22"/>
  <c r="I73" i="22"/>
  <c r="H73" i="22"/>
  <c r="G73" i="22"/>
  <c r="F73" i="22"/>
  <c r="E73" i="22"/>
  <c r="E72" i="22"/>
  <c r="S71" i="22"/>
  <c r="R71" i="22"/>
  <c r="Q71" i="22"/>
  <c r="P71" i="22"/>
  <c r="O71" i="22"/>
  <c r="N71" i="22"/>
  <c r="M71" i="22"/>
  <c r="L71" i="22"/>
  <c r="K71" i="22"/>
  <c r="J71" i="22"/>
  <c r="I71" i="22"/>
  <c r="H71" i="22"/>
  <c r="G71" i="22"/>
  <c r="F71" i="22"/>
  <c r="E71" i="22"/>
  <c r="S70" i="22"/>
  <c r="R70" i="22"/>
  <c r="Q70" i="22"/>
  <c r="P70" i="22"/>
  <c r="O70" i="22"/>
  <c r="N70" i="22"/>
  <c r="M70" i="22"/>
  <c r="L70" i="22"/>
  <c r="K70" i="22"/>
  <c r="J70" i="22"/>
  <c r="I70" i="22"/>
  <c r="H70" i="22"/>
  <c r="G70" i="22"/>
  <c r="F70" i="22"/>
  <c r="E70" i="22"/>
  <c r="S69" i="22"/>
  <c r="R69" i="22"/>
  <c r="Q69" i="22"/>
  <c r="P69" i="22"/>
  <c r="O69" i="22"/>
  <c r="N69" i="22"/>
  <c r="M69" i="22"/>
  <c r="L69" i="22"/>
  <c r="K69" i="22"/>
  <c r="J69" i="22"/>
  <c r="I69" i="22"/>
  <c r="H69" i="22"/>
  <c r="G69" i="22"/>
  <c r="F69" i="22"/>
  <c r="E69" i="22"/>
  <c r="E68" i="22"/>
  <c r="S67" i="22"/>
  <c r="R67" i="22"/>
  <c r="Q67" i="22"/>
  <c r="P67" i="22"/>
  <c r="O67" i="22"/>
  <c r="N67" i="22"/>
  <c r="M67" i="22"/>
  <c r="L67" i="22"/>
  <c r="K67" i="22"/>
  <c r="J67" i="22"/>
  <c r="I67" i="22"/>
  <c r="H67" i="22"/>
  <c r="G67" i="22"/>
  <c r="F67" i="22"/>
  <c r="E67" i="22"/>
  <c r="S66" i="22"/>
  <c r="R66" i="22"/>
  <c r="Q66" i="22"/>
  <c r="P66" i="22"/>
  <c r="O66" i="22"/>
  <c r="N66" i="22"/>
  <c r="M66" i="22"/>
  <c r="L66" i="22"/>
  <c r="K66" i="22"/>
  <c r="J66" i="22"/>
  <c r="I66" i="22"/>
  <c r="H66" i="22"/>
  <c r="G66" i="22"/>
  <c r="F66" i="22"/>
  <c r="E66" i="22"/>
  <c r="S65" i="22"/>
  <c r="R65" i="22"/>
  <c r="Q65" i="22"/>
  <c r="P65" i="22"/>
  <c r="O65" i="22"/>
  <c r="N65" i="22"/>
  <c r="M65" i="22"/>
  <c r="L65" i="22"/>
  <c r="K65" i="22"/>
  <c r="J65" i="22"/>
  <c r="I65" i="22"/>
  <c r="H65" i="22"/>
  <c r="G65" i="22"/>
  <c r="F65" i="22"/>
  <c r="E65" i="22"/>
  <c r="S64" i="22"/>
  <c r="R64" i="22"/>
  <c r="Q64" i="22"/>
  <c r="P64" i="22"/>
  <c r="O64" i="22"/>
  <c r="N64" i="22"/>
  <c r="M64" i="22"/>
  <c r="L64" i="22"/>
  <c r="K64" i="22"/>
  <c r="J64" i="22"/>
  <c r="I64" i="22"/>
  <c r="H64" i="22"/>
  <c r="G64" i="22"/>
  <c r="F64" i="22"/>
  <c r="E64" i="22"/>
  <c r="S62" i="22"/>
  <c r="R62" i="22"/>
  <c r="Q62" i="22"/>
  <c r="P62" i="22"/>
  <c r="O62" i="22"/>
  <c r="N62" i="22"/>
  <c r="M62" i="22"/>
  <c r="L62" i="22"/>
  <c r="K62" i="22"/>
  <c r="J62" i="22"/>
  <c r="S60" i="22"/>
  <c r="R60" i="22"/>
  <c r="Q60" i="22"/>
  <c r="P60" i="22"/>
  <c r="O60" i="22"/>
  <c r="N60" i="22"/>
  <c r="M60" i="22"/>
  <c r="L60" i="22"/>
  <c r="K60" i="22"/>
  <c r="J60" i="22"/>
  <c r="I60" i="22"/>
  <c r="H60" i="22"/>
  <c r="G60" i="22"/>
  <c r="F60" i="22"/>
  <c r="E60" i="22"/>
  <c r="S59" i="22"/>
  <c r="R59" i="22"/>
  <c r="Q59" i="22"/>
  <c r="P59" i="22"/>
  <c r="O59" i="22"/>
  <c r="N59" i="22"/>
  <c r="M59" i="22"/>
  <c r="L59" i="22"/>
  <c r="K59" i="22"/>
  <c r="J59" i="22"/>
  <c r="I59" i="22"/>
  <c r="H59" i="22"/>
  <c r="G59" i="22"/>
  <c r="F59" i="22"/>
  <c r="E59" i="22"/>
  <c r="S58" i="22"/>
  <c r="R58" i="22"/>
  <c r="Q58" i="22"/>
  <c r="P58" i="22"/>
  <c r="O58" i="22"/>
  <c r="N58" i="22"/>
  <c r="M58" i="22"/>
  <c r="L58" i="22"/>
  <c r="K58" i="22"/>
  <c r="J58" i="22"/>
  <c r="I58" i="22"/>
  <c r="H58" i="22"/>
  <c r="G58" i="22"/>
  <c r="F58" i="22"/>
  <c r="E58" i="22"/>
  <c r="E57" i="22"/>
  <c r="S56" i="22"/>
  <c r="R56" i="22"/>
  <c r="Q56" i="22"/>
  <c r="P56" i="22"/>
  <c r="O56" i="22"/>
  <c r="N56" i="22"/>
  <c r="M56" i="22"/>
  <c r="L56" i="22"/>
  <c r="K56" i="22"/>
  <c r="J56" i="22"/>
  <c r="I56" i="22"/>
  <c r="H56" i="22"/>
  <c r="G56" i="22"/>
  <c r="F56" i="22"/>
  <c r="E56" i="22"/>
  <c r="S55" i="22"/>
  <c r="R55" i="22"/>
  <c r="Q55" i="22"/>
  <c r="P55" i="22"/>
  <c r="O55" i="22"/>
  <c r="N55" i="22"/>
  <c r="M55" i="22"/>
  <c r="L55" i="22"/>
  <c r="K55" i="22"/>
  <c r="J55" i="22"/>
  <c r="I55" i="22"/>
  <c r="H55" i="22"/>
  <c r="G55" i="22"/>
  <c r="F55" i="22"/>
  <c r="E55" i="22"/>
  <c r="S54" i="22"/>
  <c r="R54" i="22"/>
  <c r="Q54" i="22"/>
  <c r="P54" i="22"/>
  <c r="O54" i="22"/>
  <c r="N54" i="22"/>
  <c r="M54" i="22"/>
  <c r="L54" i="22"/>
  <c r="K54" i="22"/>
  <c r="J54" i="22"/>
  <c r="I54" i="22"/>
  <c r="H54" i="22"/>
  <c r="G54" i="22"/>
  <c r="F54" i="22"/>
  <c r="E54" i="22"/>
  <c r="E53" i="22"/>
  <c r="S52" i="22"/>
  <c r="R52" i="22"/>
  <c r="Q52" i="22"/>
  <c r="P52" i="22"/>
  <c r="O52" i="22"/>
  <c r="N52" i="22"/>
  <c r="M52" i="22"/>
  <c r="L52" i="22"/>
  <c r="K52" i="22"/>
  <c r="J52" i="22"/>
  <c r="I52" i="22"/>
  <c r="H52" i="22"/>
  <c r="G52" i="22"/>
  <c r="F52" i="22"/>
  <c r="E52" i="22"/>
  <c r="S51" i="22"/>
  <c r="R51" i="22"/>
  <c r="Q51" i="22"/>
  <c r="P51" i="22"/>
  <c r="O51" i="22"/>
  <c r="N51" i="22"/>
  <c r="M51" i="22"/>
  <c r="L51" i="22"/>
  <c r="K51" i="22"/>
  <c r="J51" i="22"/>
  <c r="I51" i="22"/>
  <c r="H51" i="22"/>
  <c r="G51" i="22"/>
  <c r="F51" i="22"/>
  <c r="E51" i="22"/>
  <c r="S50" i="22"/>
  <c r="R50" i="22"/>
  <c r="Q50" i="22"/>
  <c r="P50" i="22"/>
  <c r="O50" i="22"/>
  <c r="N50" i="22"/>
  <c r="M50" i="22"/>
  <c r="L50" i="22"/>
  <c r="K50" i="22"/>
  <c r="J50" i="22"/>
  <c r="I50" i="22"/>
  <c r="H50" i="22"/>
  <c r="G50" i="22"/>
  <c r="F50" i="22"/>
  <c r="E50" i="22"/>
  <c r="E49" i="22"/>
  <c r="S48" i="22"/>
  <c r="R48" i="22"/>
  <c r="Q48" i="22"/>
  <c r="P48" i="22"/>
  <c r="O48" i="22"/>
  <c r="N48" i="22"/>
  <c r="M48" i="22"/>
  <c r="L48" i="22"/>
  <c r="K48" i="22"/>
  <c r="J48" i="22"/>
  <c r="I48" i="22"/>
  <c r="H48" i="22"/>
  <c r="G48" i="22"/>
  <c r="F48" i="22"/>
  <c r="E48" i="22"/>
  <c r="S47" i="22"/>
  <c r="R47" i="22"/>
  <c r="Q47" i="22"/>
  <c r="P47" i="22"/>
  <c r="O47" i="22"/>
  <c r="N47" i="22"/>
  <c r="M47" i="22"/>
  <c r="L47" i="22"/>
  <c r="K47" i="22"/>
  <c r="J47" i="22"/>
  <c r="I47" i="22"/>
  <c r="H47" i="22"/>
  <c r="G47" i="22"/>
  <c r="F47" i="22"/>
  <c r="E47" i="22"/>
  <c r="S46" i="22"/>
  <c r="R46" i="22"/>
  <c r="Q46" i="22"/>
  <c r="P46" i="22"/>
  <c r="O46" i="22"/>
  <c r="N46" i="22"/>
  <c r="M46" i="22"/>
  <c r="L46" i="22"/>
  <c r="K46" i="22"/>
  <c r="J46" i="22"/>
  <c r="I46" i="22"/>
  <c r="H46" i="22"/>
  <c r="G46" i="22"/>
  <c r="F46" i="22"/>
  <c r="E46" i="22"/>
  <c r="E45" i="22"/>
  <c r="S44" i="22"/>
  <c r="R44" i="22"/>
  <c r="Q44" i="22"/>
  <c r="P44" i="22"/>
  <c r="O44" i="22"/>
  <c r="N44" i="22"/>
  <c r="M44" i="22"/>
  <c r="L44" i="22"/>
  <c r="K44" i="22"/>
  <c r="J44" i="22"/>
  <c r="I44" i="22"/>
  <c r="H44" i="22"/>
  <c r="G44" i="22"/>
  <c r="F44" i="22"/>
  <c r="E44" i="22"/>
  <c r="S43" i="22"/>
  <c r="R43" i="22"/>
  <c r="Q43" i="22"/>
  <c r="P43" i="22"/>
  <c r="O43" i="22"/>
  <c r="N43" i="22"/>
  <c r="M43" i="22"/>
  <c r="L43" i="22"/>
  <c r="K43" i="22"/>
  <c r="J43" i="22"/>
  <c r="I43" i="22"/>
  <c r="H43" i="22"/>
  <c r="G43" i="22"/>
  <c r="F43" i="22"/>
  <c r="E43" i="22"/>
  <c r="S42" i="22"/>
  <c r="R42" i="22"/>
  <c r="Q42" i="22"/>
  <c r="P42" i="22"/>
  <c r="O42" i="22"/>
  <c r="N42" i="22"/>
  <c r="M42" i="22"/>
  <c r="L42" i="22"/>
  <c r="K42" i="22"/>
  <c r="J42" i="22"/>
  <c r="I42" i="22"/>
  <c r="H42" i="22"/>
  <c r="G42" i="22"/>
  <c r="F42" i="22"/>
  <c r="E42" i="22"/>
  <c r="E41" i="22"/>
  <c r="S40" i="22"/>
  <c r="R40" i="22"/>
  <c r="Q40" i="22"/>
  <c r="P40" i="22"/>
  <c r="O40" i="22"/>
  <c r="N40" i="22"/>
  <c r="M40" i="22"/>
  <c r="L40" i="22"/>
  <c r="K40" i="22"/>
  <c r="J40" i="22"/>
  <c r="I40" i="22"/>
  <c r="H40" i="22"/>
  <c r="G40" i="22"/>
  <c r="F40" i="22"/>
  <c r="E40" i="22"/>
  <c r="S39" i="22"/>
  <c r="R39" i="22"/>
  <c r="Q39" i="22"/>
  <c r="P39" i="22"/>
  <c r="O39" i="22"/>
  <c r="N39" i="22"/>
  <c r="M39" i="22"/>
  <c r="L39" i="22"/>
  <c r="K39" i="22"/>
  <c r="J39" i="22"/>
  <c r="I39" i="22"/>
  <c r="H39" i="22"/>
  <c r="G39" i="22"/>
  <c r="F39" i="22"/>
  <c r="E39" i="22"/>
  <c r="S38" i="22"/>
  <c r="R38" i="22"/>
  <c r="Q38" i="22"/>
  <c r="P38" i="22"/>
  <c r="O38" i="22"/>
  <c r="N38" i="22"/>
  <c r="M38" i="22"/>
  <c r="L38" i="22"/>
  <c r="K38" i="22"/>
  <c r="J38" i="22"/>
  <c r="I38" i="22"/>
  <c r="H38" i="22"/>
  <c r="G38" i="22"/>
  <c r="F38" i="22"/>
  <c r="E38" i="22"/>
  <c r="S37" i="22"/>
  <c r="R37" i="22"/>
  <c r="Q37" i="22"/>
  <c r="P37" i="22"/>
  <c r="O37" i="22"/>
  <c r="N37" i="22"/>
  <c r="M37" i="22"/>
  <c r="L37" i="22"/>
  <c r="K37" i="22"/>
  <c r="J37" i="22"/>
  <c r="I37" i="22"/>
  <c r="H37" i="22"/>
  <c r="G37" i="22"/>
  <c r="F37" i="22"/>
  <c r="E37" i="22"/>
  <c r="S35" i="22"/>
  <c r="R35" i="22"/>
  <c r="Q35" i="22"/>
  <c r="P35" i="22"/>
  <c r="O35" i="22"/>
  <c r="N35" i="22"/>
  <c r="M35" i="22"/>
  <c r="L35" i="22"/>
  <c r="K35" i="22"/>
  <c r="J35" i="22"/>
  <c r="I35" i="22"/>
  <c r="H35" i="22"/>
  <c r="G35" i="22"/>
  <c r="F35" i="22"/>
  <c r="E35" i="22"/>
  <c r="S34" i="22"/>
  <c r="R34" i="22"/>
  <c r="Q34" i="22"/>
  <c r="P34" i="22"/>
  <c r="O34" i="22"/>
  <c r="N34" i="22"/>
  <c r="M34" i="22"/>
  <c r="L34" i="22"/>
  <c r="K34" i="22"/>
  <c r="J34" i="22"/>
  <c r="I34" i="22"/>
  <c r="H34" i="22"/>
  <c r="G34" i="22"/>
  <c r="F34" i="22"/>
  <c r="E34" i="22"/>
  <c r="S33" i="22"/>
  <c r="R33" i="22"/>
  <c r="Q33" i="22"/>
  <c r="P33" i="22"/>
  <c r="O33" i="22"/>
  <c r="N33" i="22"/>
  <c r="M33" i="22"/>
  <c r="L33" i="22"/>
  <c r="K33" i="22"/>
  <c r="J33" i="22"/>
  <c r="I33" i="22"/>
  <c r="H33" i="22"/>
  <c r="G33" i="22"/>
  <c r="F33" i="22"/>
  <c r="E33" i="22"/>
  <c r="I32" i="22"/>
  <c r="H32" i="22"/>
  <c r="G32" i="22"/>
  <c r="F32" i="22"/>
  <c r="E32" i="22"/>
  <c r="S31" i="22"/>
  <c r="R31" i="22"/>
  <c r="Q31" i="22"/>
  <c r="P31" i="22"/>
  <c r="O31" i="22"/>
  <c r="N31" i="22"/>
  <c r="M31" i="22"/>
  <c r="L31" i="22"/>
  <c r="K31" i="22"/>
  <c r="J31" i="22"/>
  <c r="I31" i="22"/>
  <c r="H31" i="22"/>
  <c r="G31" i="22"/>
  <c r="F31" i="22"/>
  <c r="E31" i="22"/>
  <c r="S30" i="22"/>
  <c r="R30" i="22"/>
  <c r="Q30" i="22"/>
  <c r="P30" i="22"/>
  <c r="O30" i="22"/>
  <c r="N30" i="22"/>
  <c r="M30" i="22"/>
  <c r="L30" i="22"/>
  <c r="K30" i="22"/>
  <c r="J30" i="22"/>
  <c r="I30" i="22"/>
  <c r="H30" i="22"/>
  <c r="G30" i="22"/>
  <c r="F30" i="22"/>
  <c r="E30" i="22"/>
  <c r="S29" i="22"/>
  <c r="R29" i="22"/>
  <c r="Q29" i="22"/>
  <c r="P29" i="22"/>
  <c r="O29" i="22"/>
  <c r="N29" i="22"/>
  <c r="M29" i="22"/>
  <c r="L29" i="22"/>
  <c r="K29" i="22"/>
  <c r="J29" i="22"/>
  <c r="I29" i="22"/>
  <c r="H29" i="22"/>
  <c r="G29" i="22"/>
  <c r="F29" i="22"/>
  <c r="E29" i="22"/>
  <c r="S28" i="22"/>
  <c r="R28" i="22"/>
  <c r="Q28" i="22"/>
  <c r="P28" i="22"/>
  <c r="O28" i="22"/>
  <c r="N28" i="22"/>
  <c r="M28" i="22"/>
  <c r="L28" i="22"/>
  <c r="K28" i="22"/>
  <c r="J28" i="22"/>
  <c r="I28" i="22"/>
  <c r="H28" i="22"/>
  <c r="G28" i="22"/>
  <c r="F28" i="22"/>
  <c r="E28" i="22"/>
  <c r="S26" i="22"/>
  <c r="R26" i="22"/>
  <c r="Q26" i="22"/>
  <c r="P26" i="22"/>
  <c r="O26" i="22"/>
  <c r="N26" i="22"/>
  <c r="M26" i="22"/>
  <c r="L26" i="22"/>
  <c r="K26" i="22"/>
  <c r="J26" i="22"/>
  <c r="I26" i="22"/>
  <c r="H26" i="22"/>
  <c r="G26" i="22"/>
  <c r="F26" i="22"/>
  <c r="E26" i="22"/>
  <c r="S25" i="22"/>
  <c r="R25" i="22"/>
  <c r="Q25" i="22"/>
  <c r="P25" i="22"/>
  <c r="O25" i="22"/>
  <c r="N25" i="22"/>
  <c r="M25" i="22"/>
  <c r="L25" i="22"/>
  <c r="K25" i="22"/>
  <c r="J25" i="22"/>
  <c r="I25" i="22"/>
  <c r="H25" i="22"/>
  <c r="G25" i="22"/>
  <c r="F25" i="22"/>
  <c r="E25" i="22"/>
  <c r="S24" i="22"/>
  <c r="R24" i="22"/>
  <c r="Q24" i="22"/>
  <c r="P24" i="22"/>
  <c r="O24" i="22"/>
  <c r="N24" i="22"/>
  <c r="M24" i="22"/>
  <c r="L24" i="22"/>
  <c r="K24" i="22"/>
  <c r="J24" i="22"/>
  <c r="I24" i="22"/>
  <c r="H24" i="22"/>
  <c r="G24" i="22"/>
  <c r="F24" i="22"/>
  <c r="E24" i="22"/>
  <c r="S23" i="22"/>
  <c r="R23" i="22"/>
  <c r="Q23" i="22"/>
  <c r="P23" i="22"/>
  <c r="O23" i="22"/>
  <c r="N23" i="22"/>
  <c r="M23" i="22"/>
  <c r="L23" i="22"/>
  <c r="K23" i="22"/>
  <c r="J23" i="22"/>
  <c r="I23" i="22"/>
  <c r="H23" i="22"/>
  <c r="G23" i="22"/>
  <c r="F23" i="22"/>
  <c r="E23" i="22"/>
  <c r="S22" i="22"/>
  <c r="R22" i="22"/>
  <c r="Q22" i="22"/>
  <c r="P22" i="22"/>
  <c r="O22" i="22"/>
  <c r="N22" i="22"/>
  <c r="M22" i="22"/>
  <c r="L22" i="22"/>
  <c r="K22" i="22"/>
  <c r="J22" i="22"/>
  <c r="I22" i="22"/>
  <c r="H22" i="22"/>
  <c r="G22" i="22"/>
  <c r="F22" i="22"/>
  <c r="E22" i="22"/>
  <c r="S21" i="22"/>
  <c r="R21" i="22"/>
  <c r="Q21" i="22"/>
  <c r="P21" i="22"/>
  <c r="O21" i="22"/>
  <c r="N21" i="22"/>
  <c r="M21" i="22"/>
  <c r="L21" i="22"/>
  <c r="K21" i="22"/>
  <c r="J21" i="22"/>
  <c r="I21" i="22"/>
  <c r="H21" i="22"/>
  <c r="G21" i="22"/>
  <c r="F21" i="22"/>
  <c r="S20" i="22"/>
  <c r="R20" i="22"/>
  <c r="Q20" i="22"/>
  <c r="P20" i="22"/>
  <c r="O20" i="22"/>
  <c r="N20" i="22"/>
  <c r="M20" i="22"/>
  <c r="L20" i="22"/>
  <c r="K20" i="22"/>
  <c r="J20" i="22"/>
  <c r="I20" i="22"/>
  <c r="H20" i="22"/>
  <c r="G20" i="22"/>
  <c r="F20" i="22"/>
  <c r="S19" i="22"/>
  <c r="R19" i="22"/>
  <c r="Q19" i="22"/>
  <c r="P19" i="22"/>
  <c r="O19" i="22"/>
  <c r="N19" i="22"/>
  <c r="M19" i="22"/>
  <c r="L19" i="22"/>
  <c r="K19" i="22"/>
  <c r="J19" i="22"/>
  <c r="I19" i="22"/>
  <c r="H19" i="22"/>
  <c r="G19" i="22"/>
  <c r="F19" i="22"/>
  <c r="E19" i="22"/>
  <c r="S18" i="22"/>
  <c r="R18" i="22"/>
  <c r="Q18" i="22"/>
  <c r="P18" i="22"/>
  <c r="O18" i="22"/>
  <c r="N18" i="22"/>
  <c r="M18" i="22"/>
  <c r="L18" i="22"/>
  <c r="K18" i="22"/>
  <c r="J18" i="22"/>
  <c r="I18" i="22"/>
  <c r="H18" i="22"/>
  <c r="G18" i="22"/>
  <c r="F18" i="22"/>
  <c r="S17" i="22"/>
  <c r="R17" i="22"/>
  <c r="Q17" i="22"/>
  <c r="P17" i="22"/>
  <c r="O17" i="22"/>
  <c r="N17" i="22"/>
  <c r="M17" i="22"/>
  <c r="L17" i="22"/>
  <c r="K17" i="22"/>
  <c r="J17" i="22"/>
  <c r="I17" i="22"/>
  <c r="H17" i="22"/>
  <c r="G17" i="22"/>
  <c r="F17" i="22"/>
  <c r="E17" i="22"/>
  <c r="S16" i="22"/>
  <c r="R16" i="22"/>
  <c r="Q16" i="22"/>
  <c r="P16" i="22"/>
  <c r="O16" i="22"/>
  <c r="N16" i="22"/>
  <c r="M16" i="22"/>
  <c r="L16" i="22"/>
  <c r="K16" i="22"/>
  <c r="J16" i="22"/>
  <c r="I16" i="22"/>
  <c r="H16" i="22"/>
  <c r="G16" i="22"/>
  <c r="F16" i="22"/>
  <c r="E16" i="22"/>
  <c r="S15" i="22"/>
  <c r="R15" i="22"/>
  <c r="Q15" i="22"/>
  <c r="P15" i="22"/>
  <c r="O15" i="22"/>
  <c r="N15" i="22"/>
  <c r="M15" i="22"/>
  <c r="L15" i="22"/>
  <c r="K15" i="22"/>
  <c r="J15" i="22"/>
  <c r="I15" i="22"/>
  <c r="H15" i="22"/>
  <c r="G15" i="22"/>
  <c r="F15" i="22"/>
  <c r="S14" i="22"/>
  <c r="R14" i="22"/>
  <c r="Q14" i="22"/>
  <c r="P14" i="22"/>
  <c r="O14" i="22"/>
  <c r="N14" i="22"/>
  <c r="M14" i="22"/>
  <c r="L14" i="22"/>
  <c r="K14" i="22"/>
  <c r="J14" i="22"/>
  <c r="I14" i="22"/>
  <c r="H14" i="22"/>
  <c r="G14" i="22"/>
  <c r="F14" i="22"/>
  <c r="E14" i="22"/>
  <c r="S13" i="22"/>
  <c r="R13" i="22"/>
  <c r="Q13" i="22"/>
  <c r="P13" i="22"/>
  <c r="O13" i="22"/>
  <c r="N13" i="22"/>
  <c r="M13" i="22"/>
  <c r="L13" i="22"/>
  <c r="K13" i="22"/>
  <c r="J13" i="22"/>
  <c r="I13" i="22"/>
  <c r="H13" i="22"/>
  <c r="G13" i="22"/>
  <c r="F13" i="22"/>
  <c r="S12" i="22"/>
  <c r="R12" i="22"/>
  <c r="Q12" i="22"/>
  <c r="P12" i="22"/>
  <c r="O12" i="22"/>
  <c r="N12" i="22"/>
  <c r="M12" i="22"/>
  <c r="L12" i="22"/>
  <c r="K12" i="22"/>
  <c r="J12" i="22"/>
  <c r="I12" i="22"/>
  <c r="H12" i="22"/>
  <c r="G12" i="22"/>
  <c r="F12" i="22"/>
  <c r="E12" i="22"/>
  <c r="S11" i="22"/>
  <c r="R11" i="22"/>
  <c r="Q11" i="22"/>
  <c r="P11" i="22"/>
  <c r="O11" i="22"/>
  <c r="N11" i="22"/>
  <c r="M11" i="22"/>
  <c r="L11" i="22"/>
  <c r="K11" i="22"/>
  <c r="J11" i="22"/>
  <c r="I11" i="22"/>
  <c r="H11" i="22"/>
  <c r="G11" i="22"/>
  <c r="F11" i="22"/>
  <c r="S10" i="22"/>
  <c r="R10" i="22"/>
  <c r="Q10" i="22"/>
  <c r="P10" i="22"/>
  <c r="O10" i="22"/>
  <c r="N10" i="22"/>
  <c r="M10" i="22"/>
  <c r="L10" i="22"/>
  <c r="K10" i="22"/>
  <c r="J10" i="22"/>
  <c r="I10" i="22"/>
  <c r="H10" i="22"/>
  <c r="G10" i="22"/>
  <c r="F10" i="22"/>
  <c r="E10" i="22"/>
  <c r="S9" i="22"/>
  <c r="R9" i="22"/>
  <c r="Q9" i="22"/>
  <c r="P9" i="22"/>
  <c r="O9" i="22"/>
  <c r="N9" i="22"/>
  <c r="M9" i="22"/>
  <c r="L9" i="22"/>
  <c r="K9" i="22"/>
  <c r="J9" i="22"/>
  <c r="I9" i="22"/>
  <c r="H9" i="22"/>
  <c r="G9" i="22"/>
  <c r="F9" i="22"/>
  <c r="E9" i="22"/>
  <c r="S8" i="22"/>
  <c r="R8" i="22"/>
  <c r="Q8" i="22"/>
  <c r="P8" i="22"/>
  <c r="O8" i="22"/>
  <c r="N8" i="22"/>
  <c r="M8" i="22"/>
  <c r="L8" i="22"/>
  <c r="K8" i="22"/>
  <c r="J8" i="22"/>
  <c r="I8" i="22"/>
  <c r="H8" i="22"/>
  <c r="G8" i="22"/>
  <c r="F8" i="22"/>
  <c r="E8" i="22"/>
  <c r="S7" i="22"/>
  <c r="R7" i="22"/>
  <c r="Q7" i="22"/>
  <c r="P7" i="22"/>
  <c r="O7" i="22"/>
  <c r="N7" i="22"/>
  <c r="M7" i="22"/>
  <c r="L7" i="22"/>
  <c r="K7" i="22"/>
  <c r="J7" i="22"/>
  <c r="I7" i="22"/>
  <c r="H7" i="22"/>
  <c r="G7" i="22"/>
  <c r="F7" i="22"/>
  <c r="E7" i="22"/>
  <c r="S5" i="22"/>
  <c r="R5" i="22"/>
  <c r="Q5" i="22"/>
  <c r="P5" i="22"/>
  <c r="O5" i="22"/>
  <c r="N5" i="22"/>
  <c r="M5" i="22"/>
  <c r="L5" i="22"/>
  <c r="K5" i="22"/>
  <c r="J5" i="22"/>
  <c r="I5" i="22"/>
  <c r="H5" i="22"/>
  <c r="G5" i="22"/>
  <c r="F5" i="22"/>
  <c r="E5" i="22"/>
  <c r="S25" i="21"/>
  <c r="R25" i="21"/>
  <c r="Q25" i="21"/>
  <c r="P25" i="21"/>
  <c r="O25" i="21"/>
  <c r="N25" i="21"/>
  <c r="M25" i="21"/>
  <c r="L25" i="21"/>
  <c r="K25" i="21"/>
  <c r="J25" i="21"/>
  <c r="I25" i="21"/>
  <c r="H25" i="21"/>
  <c r="G25" i="21"/>
  <c r="F25" i="21"/>
  <c r="S24" i="21"/>
  <c r="R24" i="21"/>
  <c r="Q24" i="21"/>
  <c r="P24" i="21"/>
  <c r="O24" i="21"/>
  <c r="N24" i="21"/>
  <c r="M24" i="21"/>
  <c r="L24" i="21"/>
  <c r="K24" i="21"/>
  <c r="J24" i="21"/>
  <c r="I24" i="21"/>
  <c r="H24" i="21"/>
  <c r="G24" i="21"/>
  <c r="F24" i="21"/>
  <c r="S23" i="21"/>
  <c r="R23" i="21"/>
  <c r="Q23" i="21"/>
  <c r="P23" i="21"/>
  <c r="O23" i="21"/>
  <c r="N23" i="21"/>
  <c r="M23" i="21"/>
  <c r="L23" i="21"/>
  <c r="K23" i="21"/>
  <c r="J23" i="21"/>
  <c r="I23" i="21"/>
  <c r="H23" i="21"/>
  <c r="G23" i="21"/>
  <c r="F23" i="21"/>
  <c r="S22" i="21"/>
  <c r="R22" i="21"/>
  <c r="Q22" i="21"/>
  <c r="P22" i="21"/>
  <c r="O22" i="21"/>
  <c r="N22" i="21"/>
  <c r="M22" i="21"/>
  <c r="L22" i="21"/>
  <c r="K22" i="21"/>
  <c r="J22" i="21"/>
  <c r="I22" i="21"/>
  <c r="H22" i="21"/>
  <c r="G22" i="21"/>
  <c r="F22" i="21"/>
  <c r="S21" i="21"/>
  <c r="R21" i="21"/>
  <c r="Q21" i="21"/>
  <c r="P21" i="21"/>
  <c r="O21" i="21"/>
  <c r="N21" i="21"/>
  <c r="M21" i="21"/>
  <c r="L21" i="21"/>
  <c r="K21" i="21"/>
  <c r="J21" i="21"/>
  <c r="I21" i="21"/>
  <c r="H21" i="21"/>
  <c r="G21" i="21"/>
  <c r="F21" i="21"/>
  <c r="S15" i="21"/>
  <c r="R15" i="21"/>
  <c r="Q15" i="21"/>
  <c r="P15" i="21"/>
  <c r="O15" i="21"/>
  <c r="N15" i="21"/>
  <c r="M15" i="21"/>
  <c r="L15" i="21"/>
  <c r="K15" i="21"/>
  <c r="J15" i="21"/>
  <c r="I15" i="21"/>
  <c r="H15" i="21"/>
  <c r="G15" i="21"/>
  <c r="F15" i="21"/>
  <c r="S14" i="21"/>
  <c r="R14" i="21"/>
  <c r="Q14" i="21"/>
  <c r="P14" i="21"/>
  <c r="O14" i="21"/>
  <c r="N14" i="21"/>
  <c r="M14" i="21"/>
  <c r="L14" i="21"/>
  <c r="K14" i="21"/>
  <c r="J14" i="21"/>
  <c r="I14" i="21"/>
  <c r="H14" i="21"/>
  <c r="G14" i="21"/>
  <c r="F14" i="21"/>
  <c r="S13" i="21"/>
  <c r="R13" i="21"/>
  <c r="Q13" i="21"/>
  <c r="P13" i="21"/>
  <c r="O13" i="21"/>
  <c r="N13" i="21"/>
  <c r="M13" i="21"/>
  <c r="L13" i="21"/>
  <c r="K13" i="21"/>
  <c r="J13" i="21"/>
  <c r="I13" i="21"/>
  <c r="H13" i="21"/>
  <c r="G13" i="21"/>
  <c r="F13" i="21"/>
  <c r="E13" i="21"/>
  <c r="S12" i="21"/>
  <c r="R12" i="21"/>
  <c r="Q12" i="21"/>
  <c r="P12" i="21"/>
  <c r="O12" i="21"/>
  <c r="N12" i="21"/>
  <c r="M12" i="21"/>
  <c r="L12" i="21"/>
  <c r="K12" i="21"/>
  <c r="J12" i="21"/>
  <c r="I12" i="21"/>
  <c r="H12" i="21"/>
  <c r="G12" i="21"/>
  <c r="F12" i="21"/>
  <c r="S11" i="21"/>
  <c r="R11" i="21"/>
  <c r="Q11" i="21"/>
  <c r="P11" i="21"/>
  <c r="O11" i="21"/>
  <c r="N11" i="21"/>
  <c r="M11" i="21"/>
  <c r="L11" i="21"/>
  <c r="K11" i="21"/>
  <c r="J11" i="21"/>
  <c r="I11" i="21"/>
  <c r="H11" i="21"/>
  <c r="G11" i="21"/>
  <c r="F11" i="21"/>
  <c r="E11" i="21"/>
  <c r="S10" i="21"/>
  <c r="R10" i="21"/>
  <c r="Q10" i="21"/>
  <c r="P10" i="21"/>
  <c r="O10" i="21"/>
  <c r="N10" i="21"/>
  <c r="M10" i="21"/>
  <c r="L10" i="21"/>
  <c r="K10" i="21"/>
  <c r="J10" i="21"/>
  <c r="I10" i="21"/>
  <c r="H10" i="21"/>
  <c r="G10" i="21"/>
  <c r="F10" i="21"/>
  <c r="S9" i="21"/>
  <c r="R9" i="21"/>
  <c r="Q9" i="21"/>
  <c r="P9" i="21"/>
  <c r="O9" i="21"/>
  <c r="N9" i="21"/>
  <c r="M9" i="21"/>
  <c r="L9" i="21"/>
  <c r="K9" i="21"/>
  <c r="J9" i="21"/>
  <c r="I9" i="21"/>
  <c r="H9" i="21"/>
  <c r="G9" i="21"/>
  <c r="F9" i="21"/>
  <c r="E9" i="21"/>
  <c r="S8" i="21"/>
  <c r="R8" i="21"/>
  <c r="Q8" i="21"/>
  <c r="P8" i="21"/>
  <c r="O8" i="21"/>
  <c r="N8" i="21"/>
  <c r="M8" i="21"/>
  <c r="L8" i="21"/>
  <c r="K8" i="21"/>
  <c r="J8" i="21"/>
  <c r="I8" i="21"/>
  <c r="H8" i="21"/>
  <c r="G8" i="21"/>
  <c r="F8" i="21"/>
  <c r="E8" i="21"/>
  <c r="S7" i="21"/>
  <c r="R7" i="21"/>
  <c r="Q7" i="21"/>
  <c r="P7" i="21"/>
  <c r="O7" i="21"/>
  <c r="N7" i="21"/>
  <c r="M7" i="21"/>
  <c r="L7" i="21"/>
  <c r="K7" i="21"/>
  <c r="J7" i="21"/>
  <c r="I7" i="21"/>
  <c r="H7" i="21"/>
  <c r="G7" i="21"/>
  <c r="F7" i="21"/>
  <c r="E7" i="21"/>
  <c r="S5" i="21"/>
  <c r="R5" i="21"/>
  <c r="Q5" i="21"/>
  <c r="P5" i="21"/>
  <c r="O5" i="21"/>
  <c r="N5" i="21"/>
  <c r="M5" i="21"/>
  <c r="L5" i="21"/>
  <c r="K5" i="21"/>
  <c r="J5" i="21"/>
  <c r="I5" i="21"/>
  <c r="H5" i="21"/>
  <c r="G5" i="21"/>
  <c r="F5" i="21"/>
  <c r="E5" i="21"/>
  <c r="E40" i="20"/>
  <c r="E39" i="20"/>
  <c r="E38" i="20"/>
  <c r="E37" i="20"/>
  <c r="E36" i="20"/>
  <c r="E31" i="20"/>
  <c r="S30" i="20"/>
  <c r="R30" i="20"/>
  <c r="Q30" i="20"/>
  <c r="P30" i="20"/>
  <c r="O30" i="20"/>
  <c r="N30" i="20"/>
  <c r="M30" i="20"/>
  <c r="L30" i="20"/>
  <c r="K30" i="20"/>
  <c r="J30" i="20"/>
  <c r="I30" i="20"/>
  <c r="H30" i="20"/>
  <c r="G30" i="20"/>
  <c r="F30" i="20"/>
  <c r="E30" i="20"/>
  <c r="E29" i="20"/>
  <c r="E28" i="20"/>
  <c r="S27" i="20"/>
  <c r="R27" i="20"/>
  <c r="Q27" i="20"/>
  <c r="P27" i="20"/>
  <c r="O27" i="20"/>
  <c r="N27" i="20"/>
  <c r="M27" i="20"/>
  <c r="L27" i="20"/>
  <c r="K27" i="20"/>
  <c r="J27" i="20"/>
  <c r="I27" i="20"/>
  <c r="H27" i="20"/>
  <c r="G27" i="20"/>
  <c r="F27" i="20"/>
  <c r="E27" i="20"/>
  <c r="S24" i="20"/>
  <c r="R24" i="20"/>
  <c r="Q24" i="20"/>
  <c r="P24" i="20"/>
  <c r="O24" i="20"/>
  <c r="N24" i="20"/>
  <c r="M24" i="20"/>
  <c r="L24" i="20"/>
  <c r="K24" i="20"/>
  <c r="J24" i="20"/>
  <c r="I24" i="20"/>
  <c r="H24" i="20"/>
  <c r="G24" i="20"/>
  <c r="F24" i="20"/>
  <c r="E24" i="20"/>
  <c r="S23" i="20"/>
  <c r="R23" i="20"/>
  <c r="Q23" i="20"/>
  <c r="P23" i="20"/>
  <c r="O23" i="20"/>
  <c r="N23" i="20"/>
  <c r="M23" i="20"/>
  <c r="L23" i="20"/>
  <c r="K23" i="20"/>
  <c r="J23" i="20"/>
  <c r="I23" i="20"/>
  <c r="H23" i="20"/>
  <c r="G23" i="20"/>
  <c r="F23" i="20"/>
  <c r="E23" i="20"/>
  <c r="S22" i="20"/>
  <c r="R22" i="20"/>
  <c r="Q22" i="20"/>
  <c r="P22" i="20"/>
  <c r="O22" i="20"/>
  <c r="N22" i="20"/>
  <c r="M22" i="20"/>
  <c r="L22" i="20"/>
  <c r="K22" i="20"/>
  <c r="J22" i="20"/>
  <c r="I22" i="20"/>
  <c r="H22" i="20"/>
  <c r="G22" i="20"/>
  <c r="F22" i="20"/>
  <c r="E22" i="20"/>
  <c r="E21" i="20"/>
  <c r="S18" i="20"/>
  <c r="R18" i="20"/>
  <c r="Q18" i="20"/>
  <c r="P18" i="20"/>
  <c r="O18" i="20"/>
  <c r="N18" i="20"/>
  <c r="M18" i="20"/>
  <c r="L18" i="20"/>
  <c r="K18" i="20"/>
  <c r="J18" i="20"/>
  <c r="I18" i="20"/>
  <c r="H18" i="20"/>
  <c r="G18" i="20"/>
  <c r="F18" i="20"/>
  <c r="E18" i="20"/>
  <c r="I17" i="20"/>
  <c r="H17" i="20"/>
  <c r="G17" i="20"/>
  <c r="F17" i="20"/>
  <c r="E17" i="20"/>
  <c r="I16" i="20"/>
  <c r="H16" i="20"/>
  <c r="G16" i="20"/>
  <c r="F16" i="20"/>
  <c r="E16" i="20"/>
  <c r="E14" i="20"/>
  <c r="S13" i="20"/>
  <c r="R13" i="20"/>
  <c r="Q13" i="20"/>
  <c r="P13" i="20"/>
  <c r="O13" i="20"/>
  <c r="N13" i="20"/>
  <c r="M13" i="20"/>
  <c r="L13" i="20"/>
  <c r="K13" i="20"/>
  <c r="J13" i="20"/>
  <c r="I13" i="20"/>
  <c r="H13" i="20"/>
  <c r="G13" i="20"/>
  <c r="F13" i="20"/>
  <c r="E13" i="20"/>
  <c r="S5" i="20"/>
  <c r="R5" i="20"/>
  <c r="Q5" i="20"/>
  <c r="P5" i="20"/>
  <c r="O5" i="20"/>
  <c r="N5" i="20"/>
  <c r="M5" i="20"/>
  <c r="L5" i="20"/>
  <c r="K5" i="20"/>
  <c r="J5" i="20"/>
  <c r="I5" i="20"/>
  <c r="H5" i="20"/>
  <c r="G5" i="20"/>
  <c r="F5" i="20"/>
  <c r="E5" i="20"/>
  <c r="S72" i="19"/>
  <c r="R72" i="19"/>
  <c r="Q72" i="19"/>
  <c r="P72" i="19"/>
  <c r="O72" i="19"/>
  <c r="N72" i="19"/>
  <c r="M72" i="19"/>
  <c r="L72" i="19"/>
  <c r="K72" i="19"/>
  <c r="J72" i="19"/>
  <c r="I72" i="19"/>
  <c r="H72" i="19"/>
  <c r="G72" i="19"/>
  <c r="F72" i="19"/>
  <c r="E72" i="19"/>
  <c r="S71" i="19"/>
  <c r="R71" i="19"/>
  <c r="Q71" i="19"/>
  <c r="P71" i="19"/>
  <c r="O71" i="19"/>
  <c r="N71" i="19"/>
  <c r="M71" i="19"/>
  <c r="L71" i="19"/>
  <c r="K71" i="19"/>
  <c r="J71" i="19"/>
  <c r="I71" i="19"/>
  <c r="H71" i="19"/>
  <c r="G71" i="19"/>
  <c r="F71" i="19"/>
  <c r="E71" i="19"/>
  <c r="S70" i="19"/>
  <c r="R70" i="19"/>
  <c r="Q70" i="19"/>
  <c r="P70" i="19"/>
  <c r="O70" i="19"/>
  <c r="N70" i="19"/>
  <c r="M70" i="19"/>
  <c r="L70" i="19"/>
  <c r="K70" i="19"/>
  <c r="J70" i="19"/>
  <c r="I70" i="19"/>
  <c r="H70" i="19"/>
  <c r="G70" i="19"/>
  <c r="F70" i="19"/>
  <c r="E70" i="19"/>
  <c r="S69" i="19"/>
  <c r="R69" i="19"/>
  <c r="Q69" i="19"/>
  <c r="P69" i="19"/>
  <c r="O69" i="19"/>
  <c r="N69" i="19"/>
  <c r="M69" i="19"/>
  <c r="L69" i="19"/>
  <c r="K69" i="19"/>
  <c r="J69" i="19"/>
  <c r="I69" i="19"/>
  <c r="H69" i="19"/>
  <c r="G69" i="19"/>
  <c r="F69" i="19"/>
  <c r="E69" i="19"/>
  <c r="I68" i="19"/>
  <c r="H68" i="19"/>
  <c r="G68" i="19"/>
  <c r="F68" i="19"/>
  <c r="E68" i="19"/>
  <c r="I67" i="19"/>
  <c r="H67" i="19"/>
  <c r="G67" i="19"/>
  <c r="F67" i="19"/>
  <c r="E67" i="19"/>
  <c r="I66" i="19"/>
  <c r="H66" i="19"/>
  <c r="G66" i="19"/>
  <c r="F66" i="19"/>
  <c r="E66" i="19"/>
  <c r="I65" i="19"/>
  <c r="H65" i="19"/>
  <c r="G65" i="19"/>
  <c r="F65" i="19"/>
  <c r="E65" i="19"/>
  <c r="I64" i="19"/>
  <c r="H64" i="19"/>
  <c r="G64" i="19"/>
  <c r="F64" i="19"/>
  <c r="E64" i="19"/>
  <c r="I63" i="19"/>
  <c r="H63" i="19"/>
  <c r="G63" i="19"/>
  <c r="F63" i="19"/>
  <c r="E63" i="19"/>
  <c r="I61" i="19"/>
  <c r="H61" i="19"/>
  <c r="G61" i="19"/>
  <c r="F61" i="19"/>
  <c r="E61" i="19"/>
  <c r="I60" i="19"/>
  <c r="H60" i="19"/>
  <c r="G60" i="19"/>
  <c r="F60" i="19"/>
  <c r="E60" i="19"/>
  <c r="I59" i="19"/>
  <c r="H59" i="19"/>
  <c r="G59" i="19"/>
  <c r="F59" i="19"/>
  <c r="E59" i="19"/>
  <c r="I58" i="19"/>
  <c r="H58" i="19"/>
  <c r="G58" i="19"/>
  <c r="F58" i="19"/>
  <c r="E58" i="19"/>
  <c r="I57" i="19"/>
  <c r="H57" i="19"/>
  <c r="G57" i="19"/>
  <c r="F57" i="19"/>
  <c r="E57" i="19"/>
  <c r="I56" i="19"/>
  <c r="H56" i="19"/>
  <c r="G56" i="19"/>
  <c r="F56" i="19"/>
  <c r="E56" i="19"/>
  <c r="I55" i="19"/>
  <c r="H55" i="19"/>
  <c r="G55" i="19"/>
  <c r="F55" i="19"/>
  <c r="E55" i="19"/>
  <c r="I54" i="19"/>
  <c r="H54" i="19"/>
  <c r="G54" i="19"/>
  <c r="F54" i="19"/>
  <c r="E54" i="19"/>
  <c r="I53" i="19"/>
  <c r="H53" i="19"/>
  <c r="G53" i="19"/>
  <c r="F53" i="19"/>
  <c r="E53" i="19"/>
  <c r="I52" i="19"/>
  <c r="H52" i="19"/>
  <c r="G52" i="19"/>
  <c r="F52" i="19"/>
  <c r="E52" i="19"/>
  <c r="I51" i="19"/>
  <c r="H51" i="19"/>
  <c r="G51" i="19"/>
  <c r="F51" i="19"/>
  <c r="E51" i="19"/>
  <c r="I50" i="19"/>
  <c r="H50" i="19"/>
  <c r="G50" i="19"/>
  <c r="F50" i="19"/>
  <c r="E50" i="19"/>
  <c r="S48" i="19"/>
  <c r="R48" i="19"/>
  <c r="Q48" i="19"/>
  <c r="P48" i="19"/>
  <c r="O48" i="19"/>
  <c r="N48" i="19"/>
  <c r="M48" i="19"/>
  <c r="L48" i="19"/>
  <c r="K48" i="19"/>
  <c r="J48" i="19"/>
  <c r="I48" i="19"/>
  <c r="H48" i="19"/>
  <c r="G48" i="19"/>
  <c r="F48" i="19"/>
  <c r="E48" i="19"/>
  <c r="I41" i="19"/>
  <c r="H41" i="19"/>
  <c r="G41" i="19"/>
  <c r="F41" i="19"/>
  <c r="E41" i="19"/>
  <c r="H38" i="19"/>
  <c r="G38" i="19"/>
  <c r="F38" i="19"/>
  <c r="E38" i="19"/>
  <c r="I35" i="19"/>
  <c r="H35" i="19"/>
  <c r="G35" i="19"/>
  <c r="F35" i="19"/>
  <c r="E35" i="19"/>
  <c r="I34" i="19"/>
  <c r="H34" i="19"/>
  <c r="G34" i="19"/>
  <c r="F34" i="19"/>
  <c r="E34" i="19"/>
  <c r="I33" i="19"/>
  <c r="H33" i="19"/>
  <c r="G33" i="19"/>
  <c r="F33" i="19"/>
  <c r="E33" i="19"/>
  <c r="I29" i="19"/>
  <c r="H29" i="19"/>
  <c r="G29" i="19"/>
  <c r="F29" i="19"/>
  <c r="E29" i="19"/>
  <c r="S28" i="19"/>
  <c r="R28" i="19"/>
  <c r="Q28" i="19"/>
  <c r="P28" i="19"/>
  <c r="O28" i="19"/>
  <c r="N28" i="19"/>
  <c r="M28" i="19"/>
  <c r="L28" i="19"/>
  <c r="K28" i="19"/>
  <c r="J28" i="19"/>
  <c r="I28" i="19"/>
  <c r="H28" i="19"/>
  <c r="G28" i="19"/>
  <c r="F28" i="19"/>
  <c r="E28" i="19"/>
  <c r="S27" i="19"/>
  <c r="R27" i="19"/>
  <c r="Q27" i="19"/>
  <c r="P27" i="19"/>
  <c r="O27" i="19"/>
  <c r="N27" i="19"/>
  <c r="M27" i="19"/>
  <c r="L27" i="19"/>
  <c r="K27" i="19"/>
  <c r="J27" i="19"/>
  <c r="I27" i="19"/>
  <c r="H27" i="19"/>
  <c r="G27" i="19"/>
  <c r="F27" i="19"/>
  <c r="E27" i="19"/>
  <c r="E22" i="19"/>
  <c r="I20" i="19"/>
  <c r="H20" i="19"/>
  <c r="G20" i="19"/>
  <c r="F20" i="19"/>
  <c r="E20" i="19"/>
  <c r="I17" i="19"/>
  <c r="H17" i="19"/>
  <c r="G17" i="19"/>
  <c r="F17" i="19"/>
  <c r="E17" i="19"/>
  <c r="I14" i="19"/>
  <c r="H14" i="19"/>
  <c r="G14" i="19"/>
  <c r="F14" i="19"/>
  <c r="E14" i="19"/>
  <c r="I12" i="19"/>
  <c r="H12" i="19"/>
  <c r="G12" i="19"/>
  <c r="F12" i="19"/>
  <c r="E12" i="19"/>
  <c r="I10" i="19"/>
  <c r="H10" i="19"/>
  <c r="G10" i="19"/>
  <c r="F10" i="19"/>
  <c r="E10" i="19"/>
  <c r="I8" i="19"/>
  <c r="H8" i="19"/>
  <c r="G8" i="19"/>
  <c r="F8" i="19"/>
  <c r="E8" i="19"/>
  <c r="I7" i="19"/>
  <c r="H7" i="19"/>
  <c r="G7" i="19"/>
  <c r="F7" i="19"/>
  <c r="E7" i="19"/>
  <c r="S5" i="19"/>
  <c r="R5" i="19"/>
  <c r="Q5" i="19"/>
  <c r="P5" i="19"/>
  <c r="O5" i="19"/>
  <c r="N5" i="19"/>
  <c r="M5" i="19"/>
  <c r="L5" i="19"/>
  <c r="K5" i="19"/>
  <c r="J5" i="19"/>
  <c r="I5" i="19"/>
  <c r="H5" i="19"/>
  <c r="G5" i="19"/>
  <c r="F5" i="19"/>
  <c r="E5" i="19"/>
  <c r="S27" i="18"/>
  <c r="R27" i="18"/>
  <c r="Q27" i="18"/>
  <c r="P27" i="18"/>
  <c r="O27" i="18"/>
  <c r="N27" i="18"/>
  <c r="M27" i="18"/>
  <c r="L27" i="18"/>
  <c r="K27" i="18"/>
  <c r="J27" i="18"/>
  <c r="I27" i="18"/>
  <c r="H27" i="18"/>
  <c r="G27" i="18"/>
  <c r="F27" i="18"/>
  <c r="S26" i="18"/>
  <c r="R26" i="18"/>
  <c r="Q26" i="18"/>
  <c r="P26" i="18"/>
  <c r="O26" i="18"/>
  <c r="N26" i="18"/>
  <c r="M26" i="18"/>
  <c r="L26" i="18"/>
  <c r="K26" i="18"/>
  <c r="J26" i="18"/>
  <c r="I26" i="18"/>
  <c r="H26" i="18"/>
  <c r="G26" i="18"/>
  <c r="F26" i="18"/>
  <c r="E26" i="18"/>
  <c r="S25" i="18"/>
  <c r="R25" i="18"/>
  <c r="Q25" i="18"/>
  <c r="P25" i="18"/>
  <c r="O25" i="18"/>
  <c r="N25" i="18"/>
  <c r="M25" i="18"/>
  <c r="L25" i="18"/>
  <c r="K25" i="18"/>
  <c r="J25" i="18"/>
  <c r="I25" i="18"/>
  <c r="H25" i="18"/>
  <c r="G25" i="18"/>
  <c r="F25" i="18"/>
  <c r="E25" i="18"/>
  <c r="S24" i="18"/>
  <c r="R24" i="18"/>
  <c r="Q24" i="18"/>
  <c r="P24" i="18"/>
  <c r="O24" i="18"/>
  <c r="N24" i="18"/>
  <c r="M24" i="18"/>
  <c r="L24" i="18"/>
  <c r="K24" i="18"/>
  <c r="J24" i="18"/>
  <c r="I24" i="18"/>
  <c r="H24" i="18"/>
  <c r="G24" i="18"/>
  <c r="F24" i="18"/>
  <c r="E24" i="18"/>
  <c r="S23" i="18"/>
  <c r="R23" i="18"/>
  <c r="Q23" i="18"/>
  <c r="P23" i="18"/>
  <c r="O23" i="18"/>
  <c r="N23" i="18"/>
  <c r="M23" i="18"/>
  <c r="L23" i="18"/>
  <c r="K23" i="18"/>
  <c r="J23" i="18"/>
  <c r="I23" i="18"/>
  <c r="H23" i="18"/>
  <c r="G23" i="18"/>
  <c r="F23" i="18"/>
  <c r="E23" i="18"/>
  <c r="S22" i="18"/>
  <c r="R22" i="18"/>
  <c r="Q22" i="18"/>
  <c r="P22" i="18"/>
  <c r="O22" i="18"/>
  <c r="N22" i="18"/>
  <c r="M22" i="18"/>
  <c r="L22" i="18"/>
  <c r="K22" i="18"/>
  <c r="J22" i="18"/>
  <c r="I22" i="18"/>
  <c r="H22" i="18"/>
  <c r="G22" i="18"/>
  <c r="F22" i="18"/>
  <c r="E22" i="18"/>
  <c r="S21" i="18"/>
  <c r="R21" i="18"/>
  <c r="Q21" i="18"/>
  <c r="P21" i="18"/>
  <c r="O21" i="18"/>
  <c r="N21" i="18"/>
  <c r="M21" i="18"/>
  <c r="L21" i="18"/>
  <c r="K21" i="18"/>
  <c r="J21" i="18"/>
  <c r="I21" i="18"/>
  <c r="H21" i="18"/>
  <c r="G21" i="18"/>
  <c r="F21" i="18"/>
  <c r="E21" i="18"/>
  <c r="S20" i="18"/>
  <c r="R20" i="18"/>
  <c r="Q20" i="18"/>
  <c r="P20" i="18"/>
  <c r="O20" i="18"/>
  <c r="N20" i="18"/>
  <c r="M20" i="18"/>
  <c r="L20" i="18"/>
  <c r="K20" i="18"/>
  <c r="J20" i="18"/>
  <c r="I20" i="18"/>
  <c r="H20" i="18"/>
  <c r="G20" i="18"/>
  <c r="F20" i="18"/>
  <c r="E20" i="18"/>
  <c r="S19" i="18"/>
  <c r="R19" i="18"/>
  <c r="Q19" i="18"/>
  <c r="P19" i="18"/>
  <c r="O19" i="18"/>
  <c r="N19" i="18"/>
  <c r="M19" i="18"/>
  <c r="L19" i="18"/>
  <c r="K19" i="18"/>
  <c r="J19" i="18"/>
  <c r="I19" i="18"/>
  <c r="H19" i="18"/>
  <c r="G19" i="18"/>
  <c r="F19" i="18"/>
  <c r="S18" i="18"/>
  <c r="R18" i="18"/>
  <c r="Q18" i="18"/>
  <c r="P18" i="18"/>
  <c r="O18" i="18"/>
  <c r="N18" i="18"/>
  <c r="M18" i="18"/>
  <c r="L18" i="18"/>
  <c r="K18" i="18"/>
  <c r="J18" i="18"/>
  <c r="I18" i="18"/>
  <c r="H18" i="18"/>
  <c r="G18" i="18"/>
  <c r="F18" i="18"/>
  <c r="E18" i="18"/>
  <c r="S17" i="18"/>
  <c r="R17" i="18"/>
  <c r="Q17" i="18"/>
  <c r="P17" i="18"/>
  <c r="O17" i="18"/>
  <c r="N17" i="18"/>
  <c r="M17" i="18"/>
  <c r="L17" i="18"/>
  <c r="K17" i="18"/>
  <c r="J17" i="18"/>
  <c r="I17" i="18"/>
  <c r="H17" i="18"/>
  <c r="G17" i="18"/>
  <c r="F17" i="18"/>
  <c r="S16" i="18"/>
  <c r="R16" i="18"/>
  <c r="Q16" i="18"/>
  <c r="P16" i="18"/>
  <c r="O16" i="18"/>
  <c r="N16" i="18"/>
  <c r="M16" i="18"/>
  <c r="L16" i="18"/>
  <c r="K16" i="18"/>
  <c r="J16" i="18"/>
  <c r="I16" i="18"/>
  <c r="H16" i="18"/>
  <c r="G16" i="18"/>
  <c r="F16" i="18"/>
  <c r="E16" i="18"/>
  <c r="S15" i="18"/>
  <c r="R15" i="18"/>
  <c r="Q15" i="18"/>
  <c r="P15" i="18"/>
  <c r="O15" i="18"/>
  <c r="N15" i="18"/>
  <c r="M15" i="18"/>
  <c r="L15" i="18"/>
  <c r="K15" i="18"/>
  <c r="J15" i="18"/>
  <c r="I15" i="18"/>
  <c r="H15" i="18"/>
  <c r="G15" i="18"/>
  <c r="F15" i="18"/>
  <c r="E15" i="18"/>
  <c r="S14" i="18"/>
  <c r="R14" i="18"/>
  <c r="Q14" i="18"/>
  <c r="P14" i="18"/>
  <c r="O14" i="18"/>
  <c r="N14" i="18"/>
  <c r="M14" i="18"/>
  <c r="L14" i="18"/>
  <c r="K14" i="18"/>
  <c r="J14" i="18"/>
  <c r="I14" i="18"/>
  <c r="H14" i="18"/>
  <c r="G14" i="18"/>
  <c r="F14" i="18"/>
  <c r="E14" i="18"/>
  <c r="S13" i="18"/>
  <c r="R13" i="18"/>
  <c r="Q13" i="18"/>
  <c r="P13" i="18"/>
  <c r="O13" i="18"/>
  <c r="N13" i="18"/>
  <c r="M13" i="18"/>
  <c r="L13" i="18"/>
  <c r="K13" i="18"/>
  <c r="J13" i="18"/>
  <c r="I13" i="18"/>
  <c r="H13" i="18"/>
  <c r="G13" i="18"/>
  <c r="F13" i="18"/>
  <c r="S12" i="18"/>
  <c r="R12" i="18"/>
  <c r="Q12" i="18"/>
  <c r="P12" i="18"/>
  <c r="O12" i="18"/>
  <c r="N12" i="18"/>
  <c r="M12" i="18"/>
  <c r="L12" i="18"/>
  <c r="K12" i="18"/>
  <c r="J12" i="18"/>
  <c r="I12" i="18"/>
  <c r="H12" i="18"/>
  <c r="G12" i="18"/>
  <c r="F12" i="18"/>
  <c r="E12" i="18"/>
  <c r="S11" i="18"/>
  <c r="R11" i="18"/>
  <c r="Q11" i="18"/>
  <c r="P11" i="18"/>
  <c r="O11" i="18"/>
  <c r="N11" i="18"/>
  <c r="M11" i="18"/>
  <c r="L11" i="18"/>
  <c r="K11" i="18"/>
  <c r="J11" i="18"/>
  <c r="I11" i="18"/>
  <c r="H11" i="18"/>
  <c r="G11" i="18"/>
  <c r="F11" i="18"/>
  <c r="S10" i="18"/>
  <c r="R10" i="18"/>
  <c r="Q10" i="18"/>
  <c r="P10" i="18"/>
  <c r="O10" i="18"/>
  <c r="N10" i="18"/>
  <c r="M10" i="18"/>
  <c r="L10" i="18"/>
  <c r="K10" i="18"/>
  <c r="J10" i="18"/>
  <c r="I10" i="18"/>
  <c r="H10" i="18"/>
  <c r="G10" i="18"/>
  <c r="F10" i="18"/>
  <c r="E10" i="18"/>
  <c r="S9" i="18"/>
  <c r="R9" i="18"/>
  <c r="Q9" i="18"/>
  <c r="P9" i="18"/>
  <c r="O9" i="18"/>
  <c r="N9" i="18"/>
  <c r="M9" i="18"/>
  <c r="L9" i="18"/>
  <c r="K9" i="18"/>
  <c r="J9" i="18"/>
  <c r="I9" i="18"/>
  <c r="H9" i="18"/>
  <c r="G9" i="18"/>
  <c r="F9" i="18"/>
  <c r="E9" i="18"/>
  <c r="S8" i="18"/>
  <c r="R8" i="18"/>
  <c r="Q8" i="18"/>
  <c r="P8" i="18"/>
  <c r="O8" i="18"/>
  <c r="N8" i="18"/>
  <c r="M8" i="18"/>
  <c r="L8" i="18"/>
  <c r="K8" i="18"/>
  <c r="J8" i="18"/>
  <c r="I8" i="18"/>
  <c r="H8" i="18"/>
  <c r="G8" i="18"/>
  <c r="F8" i="18"/>
  <c r="E8" i="18"/>
  <c r="S7" i="18"/>
  <c r="R7" i="18"/>
  <c r="Q7" i="18"/>
  <c r="P7" i="18"/>
  <c r="O7" i="18"/>
  <c r="N7" i="18"/>
  <c r="M7" i="18"/>
  <c r="L7" i="18"/>
  <c r="K7" i="18"/>
  <c r="J7" i="18"/>
  <c r="I7" i="18"/>
  <c r="H7" i="18"/>
  <c r="G7" i="18"/>
  <c r="F7" i="18"/>
  <c r="E7" i="18"/>
  <c r="S5" i="18"/>
  <c r="R5" i="18"/>
  <c r="Q5" i="18"/>
  <c r="P5" i="18"/>
  <c r="O5" i="18"/>
  <c r="N5" i="18"/>
  <c r="M5" i="18"/>
  <c r="L5" i="18"/>
  <c r="K5" i="18"/>
  <c r="J5" i="18"/>
  <c r="I5" i="18"/>
  <c r="H5" i="18"/>
  <c r="G5" i="18"/>
  <c r="F5" i="18"/>
  <c r="E5" i="18"/>
  <c r="E31" i="17"/>
  <c r="E30" i="17"/>
  <c r="S28" i="17"/>
  <c r="R28" i="17"/>
  <c r="Q28" i="17"/>
  <c r="P28" i="17"/>
  <c r="O28" i="17"/>
  <c r="N28" i="17"/>
  <c r="M28" i="17"/>
  <c r="L28" i="17"/>
  <c r="K28" i="17"/>
  <c r="J28" i="17"/>
  <c r="I28" i="17"/>
  <c r="H28" i="17"/>
  <c r="G28" i="17"/>
  <c r="F28" i="17"/>
  <c r="E28" i="17"/>
  <c r="I27" i="17"/>
  <c r="H27" i="17"/>
  <c r="G27" i="17"/>
  <c r="F27" i="17"/>
  <c r="E27" i="17"/>
  <c r="I26" i="17"/>
  <c r="H26" i="17"/>
  <c r="G26" i="17"/>
  <c r="F26" i="17"/>
  <c r="E26" i="17"/>
  <c r="S23" i="17"/>
  <c r="R23" i="17"/>
  <c r="Q23" i="17"/>
  <c r="P23" i="17"/>
  <c r="O23" i="17"/>
  <c r="N23" i="17"/>
  <c r="M23" i="17"/>
  <c r="L23" i="17"/>
  <c r="K23" i="17"/>
  <c r="J23" i="17"/>
  <c r="I23" i="17"/>
  <c r="H23" i="17"/>
  <c r="G23" i="17"/>
  <c r="F23" i="17"/>
  <c r="S22" i="17"/>
  <c r="R22" i="17"/>
  <c r="Q22" i="17"/>
  <c r="P22" i="17"/>
  <c r="O22" i="17"/>
  <c r="N22" i="17"/>
  <c r="M22" i="17"/>
  <c r="L22" i="17"/>
  <c r="K22" i="17"/>
  <c r="J22" i="17"/>
  <c r="I22" i="17"/>
  <c r="H22" i="17"/>
  <c r="G22" i="17"/>
  <c r="F22" i="17"/>
  <c r="S21" i="17"/>
  <c r="R21" i="17"/>
  <c r="Q21" i="17"/>
  <c r="P21" i="17"/>
  <c r="O21" i="17"/>
  <c r="N21" i="17"/>
  <c r="M21" i="17"/>
  <c r="L21" i="17"/>
  <c r="K21" i="17"/>
  <c r="J21" i="17"/>
  <c r="I21" i="17"/>
  <c r="H21" i="17"/>
  <c r="G21" i="17"/>
  <c r="F21" i="17"/>
  <c r="S20" i="17"/>
  <c r="R20" i="17"/>
  <c r="Q20" i="17"/>
  <c r="P20" i="17"/>
  <c r="O20" i="17"/>
  <c r="N20" i="17"/>
  <c r="M20" i="17"/>
  <c r="L20" i="17"/>
  <c r="K20" i="17"/>
  <c r="J20" i="17"/>
  <c r="I20" i="17"/>
  <c r="H20" i="17"/>
  <c r="G20" i="17"/>
  <c r="F20" i="17"/>
  <c r="S19" i="17"/>
  <c r="R19" i="17"/>
  <c r="Q19" i="17"/>
  <c r="P19" i="17"/>
  <c r="O19" i="17"/>
  <c r="N19" i="17"/>
  <c r="M19" i="17"/>
  <c r="L19" i="17"/>
  <c r="K19" i="17"/>
  <c r="J19" i="17"/>
  <c r="I19" i="17"/>
  <c r="H19" i="17"/>
  <c r="G19" i="17"/>
  <c r="F19" i="17"/>
  <c r="S18" i="17"/>
  <c r="R18" i="17"/>
  <c r="Q18" i="17"/>
  <c r="P18" i="17"/>
  <c r="O18" i="17"/>
  <c r="N18" i="17"/>
  <c r="M18" i="17"/>
  <c r="L18" i="17"/>
  <c r="K18" i="17"/>
  <c r="J18" i="17"/>
  <c r="I18" i="17"/>
  <c r="H18" i="17"/>
  <c r="G18" i="17"/>
  <c r="F18" i="17"/>
  <c r="S17" i="17"/>
  <c r="R17" i="17"/>
  <c r="Q17" i="17"/>
  <c r="P17" i="17"/>
  <c r="O17" i="17"/>
  <c r="N17" i="17"/>
  <c r="M17" i="17"/>
  <c r="L17" i="17"/>
  <c r="K17" i="17"/>
  <c r="J17" i="17"/>
  <c r="I17" i="17"/>
  <c r="H17" i="17"/>
  <c r="G17" i="17"/>
  <c r="F17" i="17"/>
  <c r="S16" i="17"/>
  <c r="R16" i="17"/>
  <c r="Q16" i="17"/>
  <c r="P16" i="17"/>
  <c r="O16" i="17"/>
  <c r="N16" i="17"/>
  <c r="M16" i="17"/>
  <c r="L16" i="17"/>
  <c r="K16" i="17"/>
  <c r="J16" i="17"/>
  <c r="I16" i="17"/>
  <c r="H16" i="17"/>
  <c r="G16" i="17"/>
  <c r="F16" i="17"/>
  <c r="S15" i="17"/>
  <c r="R15" i="17"/>
  <c r="Q15" i="17"/>
  <c r="P15" i="17"/>
  <c r="O15" i="17"/>
  <c r="N15" i="17"/>
  <c r="M15" i="17"/>
  <c r="L15" i="17"/>
  <c r="K15" i="17"/>
  <c r="J15" i="17"/>
  <c r="I15" i="17"/>
  <c r="H15" i="17"/>
  <c r="G15" i="17"/>
  <c r="F15" i="17"/>
  <c r="S14" i="17"/>
  <c r="R14" i="17"/>
  <c r="Q14" i="17"/>
  <c r="P14" i="17"/>
  <c r="O14" i="17"/>
  <c r="N14" i="17"/>
  <c r="M14" i="17"/>
  <c r="L14" i="17"/>
  <c r="K14" i="17"/>
  <c r="J14" i="17"/>
  <c r="I14" i="17"/>
  <c r="H14" i="17"/>
  <c r="G14" i="17"/>
  <c r="F14" i="17"/>
  <c r="S12" i="17"/>
  <c r="R12" i="17"/>
  <c r="Q12" i="17"/>
  <c r="P12" i="17"/>
  <c r="O12" i="17"/>
  <c r="N12" i="17"/>
  <c r="M12" i="17"/>
  <c r="L12" i="17"/>
  <c r="K12" i="17"/>
  <c r="J12" i="17"/>
  <c r="I12" i="17"/>
  <c r="H12" i="17"/>
  <c r="G12" i="17"/>
  <c r="F12" i="17"/>
  <c r="E12" i="17"/>
  <c r="S11" i="17"/>
  <c r="R11" i="17"/>
  <c r="Q11" i="17"/>
  <c r="P11" i="17"/>
  <c r="O11" i="17"/>
  <c r="N11" i="17"/>
  <c r="M11" i="17"/>
  <c r="L11" i="17"/>
  <c r="K11" i="17"/>
  <c r="J11" i="17"/>
  <c r="I11" i="17"/>
  <c r="H11" i="17"/>
  <c r="G11" i="17"/>
  <c r="F11" i="17"/>
  <c r="S10" i="17"/>
  <c r="R10" i="17"/>
  <c r="Q10" i="17"/>
  <c r="P10" i="17"/>
  <c r="O10" i="17"/>
  <c r="N10" i="17"/>
  <c r="M10" i="17"/>
  <c r="L10" i="17"/>
  <c r="K10" i="17"/>
  <c r="J10" i="17"/>
  <c r="I10" i="17"/>
  <c r="H10" i="17"/>
  <c r="G10" i="17"/>
  <c r="F10" i="17"/>
  <c r="S9" i="17"/>
  <c r="R9" i="17"/>
  <c r="Q9" i="17"/>
  <c r="P9" i="17"/>
  <c r="O9" i="17"/>
  <c r="N9" i="17"/>
  <c r="M9" i="17"/>
  <c r="L9" i="17"/>
  <c r="K9" i="17"/>
  <c r="J9" i="17"/>
  <c r="I9" i="17"/>
  <c r="H9" i="17"/>
  <c r="G9" i="17"/>
  <c r="F9" i="17"/>
  <c r="E9" i="17"/>
  <c r="S8" i="17"/>
  <c r="R8" i="17"/>
  <c r="Q8" i="17"/>
  <c r="P8" i="17"/>
  <c r="O8" i="17"/>
  <c r="N8" i="17"/>
  <c r="M8" i="17"/>
  <c r="L8" i="17"/>
  <c r="K8" i="17"/>
  <c r="J8" i="17"/>
  <c r="I8" i="17"/>
  <c r="H8" i="17"/>
  <c r="G8" i="17"/>
  <c r="F8" i="17"/>
  <c r="E8" i="17"/>
  <c r="S7" i="17"/>
  <c r="R7" i="17"/>
  <c r="Q7" i="17"/>
  <c r="P7" i="17"/>
  <c r="O7" i="17"/>
  <c r="N7" i="17"/>
  <c r="M7" i="17"/>
  <c r="L7" i="17"/>
  <c r="K7" i="17"/>
  <c r="J7" i="17"/>
  <c r="I7" i="17"/>
  <c r="H7" i="17"/>
  <c r="G7" i="17"/>
  <c r="F7" i="17"/>
  <c r="E7" i="17"/>
  <c r="S5" i="17"/>
  <c r="R5" i="17"/>
  <c r="Q5" i="17"/>
  <c r="P5" i="17"/>
  <c r="O5" i="17"/>
  <c r="N5" i="17"/>
  <c r="M5" i="17"/>
  <c r="L5" i="17"/>
  <c r="K5" i="17"/>
  <c r="J5" i="17"/>
  <c r="I5" i="17"/>
  <c r="H5" i="17"/>
  <c r="G5" i="17"/>
  <c r="F5" i="17"/>
  <c r="E5" i="17"/>
  <c r="H70" i="14"/>
  <c r="G70" i="14"/>
  <c r="F70" i="14"/>
  <c r="E70" i="14"/>
  <c r="D70" i="14"/>
  <c r="C70" i="14"/>
  <c r="B70" i="14"/>
  <c r="A70" i="14"/>
  <c r="H69" i="14"/>
  <c r="G69" i="14"/>
  <c r="F69" i="14"/>
  <c r="E69" i="14"/>
  <c r="D69" i="14"/>
  <c r="C69" i="14"/>
  <c r="B69" i="14"/>
  <c r="A69" i="14"/>
  <c r="H68" i="14"/>
  <c r="G68" i="14"/>
  <c r="F68" i="14"/>
  <c r="E68" i="14"/>
  <c r="D68" i="14"/>
  <c r="C68" i="14"/>
  <c r="B68" i="14"/>
  <c r="A68" i="14"/>
  <c r="H67" i="14"/>
  <c r="G67" i="14"/>
  <c r="F67" i="14"/>
  <c r="E67" i="14"/>
  <c r="D67" i="14"/>
  <c r="C67" i="14"/>
  <c r="B67" i="14"/>
  <c r="A67" i="14"/>
  <c r="H66" i="14"/>
  <c r="G66" i="14"/>
  <c r="F66" i="14"/>
  <c r="E66" i="14"/>
  <c r="D66" i="14"/>
  <c r="C66" i="14"/>
  <c r="B66" i="14"/>
  <c r="A66" i="14"/>
  <c r="H65" i="14"/>
  <c r="G65" i="14"/>
  <c r="F65" i="14"/>
  <c r="E65" i="14"/>
  <c r="D65" i="14"/>
  <c r="C65" i="14"/>
  <c r="B65" i="14"/>
  <c r="A65" i="14"/>
  <c r="H64" i="14"/>
  <c r="G64" i="14"/>
  <c r="F64" i="14"/>
  <c r="E64" i="14"/>
  <c r="D64" i="14"/>
  <c r="C64" i="14"/>
  <c r="B64" i="14"/>
  <c r="A64" i="14"/>
  <c r="H63" i="14"/>
  <c r="G63" i="14"/>
  <c r="F63" i="14"/>
  <c r="E63" i="14"/>
  <c r="D63" i="14"/>
  <c r="C63" i="14"/>
  <c r="B63" i="14"/>
  <c r="A63" i="14"/>
  <c r="H62" i="14"/>
  <c r="G62" i="14"/>
  <c r="F62" i="14"/>
  <c r="E62" i="14"/>
  <c r="D62" i="14"/>
  <c r="C62" i="14"/>
  <c r="B62" i="14"/>
  <c r="A62" i="14"/>
  <c r="H61" i="14"/>
  <c r="G61" i="14"/>
  <c r="F61" i="14"/>
  <c r="E61" i="14"/>
  <c r="D61" i="14"/>
  <c r="C61" i="14"/>
  <c r="B61" i="14"/>
  <c r="A61" i="14"/>
  <c r="H60" i="14"/>
  <c r="G60" i="14"/>
  <c r="F60" i="14"/>
  <c r="E60" i="14"/>
  <c r="D60" i="14"/>
  <c r="C60" i="14"/>
  <c r="B60" i="14"/>
  <c r="A60" i="14"/>
  <c r="H59" i="14"/>
  <c r="G8" i="13" s="1"/>
  <c r="G59" i="14"/>
  <c r="F59" i="14"/>
  <c r="E59" i="14"/>
  <c r="D59" i="14"/>
  <c r="C6" i="13" s="1"/>
  <c r="C59" i="14"/>
  <c r="B59" i="14"/>
  <c r="A59" i="14"/>
  <c r="H58" i="14"/>
  <c r="G58" i="14"/>
  <c r="F58" i="14"/>
  <c r="E58" i="14"/>
  <c r="D58" i="14"/>
  <c r="C58" i="14"/>
  <c r="B58" i="14"/>
  <c r="A58" i="14"/>
  <c r="H57" i="14"/>
  <c r="G57" i="14"/>
  <c r="F57" i="14"/>
  <c r="E57" i="14"/>
  <c r="D57" i="14"/>
  <c r="C57" i="14"/>
  <c r="B57" i="14"/>
  <c r="A57" i="14"/>
  <c r="H56" i="14"/>
  <c r="G56" i="14"/>
  <c r="F56" i="14"/>
  <c r="E56" i="14"/>
  <c r="D56" i="14"/>
  <c r="C56" i="14"/>
  <c r="B56" i="14"/>
  <c r="A56" i="14"/>
  <c r="H55" i="14"/>
  <c r="G55" i="14"/>
  <c r="F55" i="14"/>
  <c r="E55" i="14"/>
  <c r="D55" i="14"/>
  <c r="C55" i="14"/>
  <c r="B55" i="14"/>
  <c r="A55" i="14"/>
  <c r="H54" i="14"/>
  <c r="G54" i="14"/>
  <c r="F54" i="14"/>
  <c r="E54" i="14"/>
  <c r="D54" i="14"/>
  <c r="C54" i="14"/>
  <c r="B54" i="14"/>
  <c r="A54" i="14"/>
  <c r="H53" i="14"/>
  <c r="G53" i="14"/>
  <c r="F53" i="14"/>
  <c r="E53" i="14"/>
  <c r="D53" i="14"/>
  <c r="C53" i="14"/>
  <c r="B53" i="14"/>
  <c r="A53" i="14"/>
  <c r="H52" i="14"/>
  <c r="G52" i="14"/>
  <c r="F52" i="14"/>
  <c r="E52" i="14"/>
  <c r="D52" i="14"/>
  <c r="C52" i="14"/>
  <c r="B52" i="14"/>
  <c r="A52" i="14"/>
  <c r="H51" i="14"/>
  <c r="G51" i="14"/>
  <c r="F51" i="14"/>
  <c r="E51" i="14"/>
  <c r="D51" i="14"/>
  <c r="C51" i="14"/>
  <c r="B51" i="14"/>
  <c r="A51" i="14"/>
  <c r="H50" i="14"/>
  <c r="G50" i="14"/>
  <c r="F50" i="14"/>
  <c r="E50" i="14"/>
  <c r="D50" i="14"/>
  <c r="C50" i="14"/>
  <c r="B50" i="14"/>
  <c r="A50" i="14"/>
  <c r="H49" i="14"/>
  <c r="G49" i="14"/>
  <c r="F49" i="14"/>
  <c r="E49" i="14"/>
  <c r="D49" i="14"/>
  <c r="C49" i="14"/>
  <c r="B49" i="14"/>
  <c r="A49" i="14"/>
  <c r="H48" i="14"/>
  <c r="G48" i="14"/>
  <c r="F48" i="14"/>
  <c r="E48" i="14"/>
  <c r="D48" i="14"/>
  <c r="C48" i="14"/>
  <c r="B48" i="14"/>
  <c r="A48" i="14"/>
  <c r="H47" i="14"/>
  <c r="G47" i="14"/>
  <c r="F47" i="14"/>
  <c r="E14" i="13" s="1"/>
  <c r="E47" i="14"/>
  <c r="D47" i="14"/>
  <c r="C13" i="13" s="1"/>
  <c r="C47" i="14"/>
  <c r="B47" i="14"/>
  <c r="A47" i="14"/>
  <c r="H46" i="14"/>
  <c r="G46" i="14"/>
  <c r="F46" i="14"/>
  <c r="E46" i="14"/>
  <c r="D46" i="14"/>
  <c r="C46" i="14"/>
  <c r="B46" i="14"/>
  <c r="A46" i="14"/>
  <c r="H45" i="14"/>
  <c r="G45" i="14"/>
  <c r="F45" i="14"/>
  <c r="E45" i="14"/>
  <c r="D45" i="14"/>
  <c r="C45" i="14"/>
  <c r="B45" i="14"/>
  <c r="A45" i="14"/>
  <c r="H44" i="14"/>
  <c r="G44" i="14"/>
  <c r="F44" i="14"/>
  <c r="E44" i="14"/>
  <c r="D44" i="14"/>
  <c r="C44" i="14"/>
  <c r="B44" i="14"/>
  <c r="A44" i="14"/>
  <c r="H43" i="14"/>
  <c r="G43" i="14"/>
  <c r="F43" i="14"/>
  <c r="E43" i="14"/>
  <c r="D43" i="14"/>
  <c r="C43" i="14"/>
  <c r="B43" i="14"/>
  <c r="A43" i="14"/>
  <c r="H42" i="14"/>
  <c r="G42" i="14"/>
  <c r="F42" i="14"/>
  <c r="E42" i="14"/>
  <c r="D42" i="14"/>
  <c r="C42" i="14"/>
  <c r="B42" i="14"/>
  <c r="A42" i="14"/>
  <c r="H41" i="14"/>
  <c r="G41" i="14"/>
  <c r="F41" i="14"/>
  <c r="E41" i="14"/>
  <c r="D41" i="14"/>
  <c r="C41" i="14"/>
  <c r="B41" i="14"/>
  <c r="A41" i="14"/>
  <c r="H40" i="14"/>
  <c r="G40" i="14"/>
  <c r="F40" i="14"/>
  <c r="E40" i="14"/>
  <c r="D40" i="14"/>
  <c r="C40" i="14"/>
  <c r="B40" i="14"/>
  <c r="A40" i="14"/>
  <c r="H39" i="14"/>
  <c r="G39" i="14"/>
  <c r="F39" i="14"/>
  <c r="E39" i="14"/>
  <c r="D39" i="14"/>
  <c r="C39" i="14"/>
  <c r="B39" i="14"/>
  <c r="A39" i="14"/>
  <c r="H38" i="14"/>
  <c r="G38" i="14"/>
  <c r="F38" i="14"/>
  <c r="E38" i="14"/>
  <c r="D38" i="14"/>
  <c r="C38" i="14"/>
  <c r="B38" i="14"/>
  <c r="A38" i="14"/>
  <c r="H37" i="14"/>
  <c r="G37" i="14"/>
  <c r="F37" i="14"/>
  <c r="E37" i="14"/>
  <c r="D37" i="14"/>
  <c r="C37" i="14"/>
  <c r="B37" i="14"/>
  <c r="A37" i="14"/>
  <c r="H36" i="14"/>
  <c r="G36" i="14"/>
  <c r="F36" i="14"/>
  <c r="E36" i="14"/>
  <c r="D36" i="14"/>
  <c r="C36" i="14"/>
  <c r="B36" i="14"/>
  <c r="A36" i="14"/>
  <c r="H35" i="14"/>
  <c r="G22" i="13" s="1"/>
  <c r="G35" i="14"/>
  <c r="F35" i="14"/>
  <c r="E21" i="13" s="1"/>
  <c r="E35" i="14"/>
  <c r="D35" i="14"/>
  <c r="C24" i="13" s="1"/>
  <c r="C35" i="14"/>
  <c r="B35" i="14"/>
  <c r="A35" i="14"/>
  <c r="H34" i="14"/>
  <c r="G34" i="14"/>
  <c r="F34" i="14"/>
  <c r="E34" i="14"/>
  <c r="D34" i="14"/>
  <c r="C34" i="14"/>
  <c r="B34" i="14"/>
  <c r="A34" i="14"/>
  <c r="H33" i="14"/>
  <c r="G33" i="14"/>
  <c r="F33" i="14"/>
  <c r="E33" i="14"/>
  <c r="D33" i="14"/>
  <c r="C33" i="14"/>
  <c r="B33" i="14"/>
  <c r="A33" i="14"/>
  <c r="H32" i="14"/>
  <c r="G32" i="14"/>
  <c r="F32" i="14"/>
  <c r="E32" i="14"/>
  <c r="D32" i="14"/>
  <c r="C32" i="14"/>
  <c r="B32" i="14"/>
  <c r="A32" i="14"/>
  <c r="H31" i="14"/>
  <c r="G31" i="14"/>
  <c r="F31" i="14"/>
  <c r="E31" i="14"/>
  <c r="D31" i="14"/>
  <c r="C31" i="14"/>
  <c r="B31" i="14"/>
  <c r="A31" i="14"/>
  <c r="H30" i="14"/>
  <c r="G30" i="14"/>
  <c r="F30" i="14"/>
  <c r="E30" i="14"/>
  <c r="D30" i="14"/>
  <c r="C30" i="14"/>
  <c r="B30" i="14"/>
  <c r="A30" i="14"/>
  <c r="H29" i="14"/>
  <c r="G29" i="14"/>
  <c r="F29" i="14"/>
  <c r="E29" i="14"/>
  <c r="D29" i="14"/>
  <c r="C29" i="14"/>
  <c r="B29" i="14"/>
  <c r="A29" i="14"/>
  <c r="H28" i="14"/>
  <c r="G28" i="14"/>
  <c r="F28" i="14"/>
  <c r="E28" i="14"/>
  <c r="D28" i="14"/>
  <c r="C28" i="14"/>
  <c r="B28" i="14"/>
  <c r="A28" i="14"/>
  <c r="H27" i="14"/>
  <c r="G27" i="14"/>
  <c r="F27" i="14"/>
  <c r="E27" i="14"/>
  <c r="D27" i="14"/>
  <c r="C27" i="14"/>
  <c r="B27" i="14"/>
  <c r="A27" i="14"/>
  <c r="H26" i="14"/>
  <c r="G26" i="14"/>
  <c r="F26" i="14"/>
  <c r="E26" i="14"/>
  <c r="D26" i="14"/>
  <c r="C26" i="14"/>
  <c r="B26" i="14"/>
  <c r="A26" i="14"/>
  <c r="H25" i="14"/>
  <c r="G25" i="14"/>
  <c r="F25" i="14"/>
  <c r="E25" i="14"/>
  <c r="D25" i="14"/>
  <c r="C25" i="14"/>
  <c r="B25" i="14"/>
  <c r="A25" i="14"/>
  <c r="H24" i="14"/>
  <c r="G24" i="14"/>
  <c r="F24" i="14"/>
  <c r="E24" i="14"/>
  <c r="D24" i="14"/>
  <c r="C24" i="14"/>
  <c r="B24" i="14"/>
  <c r="A24" i="14"/>
  <c r="H23" i="14"/>
  <c r="G23" i="14"/>
  <c r="F23" i="14"/>
  <c r="E23" i="14"/>
  <c r="D23" i="14"/>
  <c r="C23" i="14"/>
  <c r="B23" i="14"/>
  <c r="A23" i="14"/>
  <c r="H22" i="14"/>
  <c r="G22" i="14"/>
  <c r="F22" i="14"/>
  <c r="E22" i="14"/>
  <c r="D22" i="14"/>
  <c r="C22" i="14"/>
  <c r="B22" i="14"/>
  <c r="A22" i="14"/>
  <c r="H21" i="14"/>
  <c r="G21" i="14"/>
  <c r="F21" i="14"/>
  <c r="E21" i="14"/>
  <c r="D21" i="14"/>
  <c r="C21" i="14"/>
  <c r="B21" i="14"/>
  <c r="A21" i="14"/>
  <c r="H20" i="14"/>
  <c r="G20" i="14"/>
  <c r="F20" i="14"/>
  <c r="E20" i="14"/>
  <c r="D20" i="14"/>
  <c r="C20" i="14"/>
  <c r="B20" i="14"/>
  <c r="A20" i="14"/>
  <c r="H19" i="14"/>
  <c r="G19" i="14"/>
  <c r="F19" i="14"/>
  <c r="E19" i="14"/>
  <c r="D19" i="14"/>
  <c r="C19" i="14"/>
  <c r="B19" i="14"/>
  <c r="A19" i="14"/>
  <c r="H18" i="14"/>
  <c r="G18" i="14"/>
  <c r="F18" i="14"/>
  <c r="E18" i="14"/>
  <c r="D18" i="14"/>
  <c r="C18" i="14"/>
  <c r="B18" i="14"/>
  <c r="A18" i="14"/>
  <c r="H17" i="14"/>
  <c r="G17" i="14"/>
  <c r="F17" i="14"/>
  <c r="E17" i="14"/>
  <c r="D17" i="14"/>
  <c r="C17" i="14"/>
  <c r="B17" i="14"/>
  <c r="A17" i="14"/>
  <c r="H16" i="14"/>
  <c r="G16" i="14"/>
  <c r="F16" i="14"/>
  <c r="E16" i="14"/>
  <c r="D16" i="14"/>
  <c r="C16" i="14"/>
  <c r="B16" i="14"/>
  <c r="A16" i="14"/>
  <c r="H15" i="14"/>
  <c r="G15" i="14"/>
  <c r="F15" i="14"/>
  <c r="E15" i="14"/>
  <c r="D15" i="14"/>
  <c r="C15" i="14"/>
  <c r="B15" i="14"/>
  <c r="A15" i="14"/>
  <c r="H14" i="14"/>
  <c r="G14" i="14"/>
  <c r="F14" i="14"/>
  <c r="E14" i="14"/>
  <c r="D14" i="14"/>
  <c r="C14" i="14"/>
  <c r="B14" i="14"/>
  <c r="A14" i="14"/>
  <c r="H13" i="14"/>
  <c r="G13" i="14"/>
  <c r="F13" i="14"/>
  <c r="E13" i="14"/>
  <c r="D13" i="14"/>
  <c r="C13" i="14"/>
  <c r="B13" i="14"/>
  <c r="A13" i="14"/>
  <c r="H12" i="14"/>
  <c r="G12" i="14"/>
  <c r="F12" i="14"/>
  <c r="E12" i="14"/>
  <c r="D12" i="14"/>
  <c r="C12" i="14"/>
  <c r="B12" i="14"/>
  <c r="A12" i="14"/>
  <c r="H11" i="14"/>
  <c r="G29" i="13" s="1"/>
  <c r="G11" i="14"/>
  <c r="F11" i="14"/>
  <c r="E32" i="13" s="1"/>
  <c r="E11" i="14"/>
  <c r="D11" i="14"/>
  <c r="C11" i="14"/>
  <c r="B11" i="14"/>
  <c r="A11" i="14"/>
  <c r="H10" i="14"/>
  <c r="G10" i="14"/>
  <c r="F10" i="14"/>
  <c r="E10" i="14"/>
  <c r="D10" i="14"/>
  <c r="C10" i="14"/>
  <c r="B10" i="14"/>
  <c r="A10" i="14"/>
  <c r="H9" i="14"/>
  <c r="G9" i="14"/>
  <c r="F9" i="14"/>
  <c r="E9" i="14"/>
  <c r="D9" i="14"/>
  <c r="C9" i="14"/>
  <c r="B9" i="14"/>
  <c r="A9" i="14"/>
  <c r="H8" i="14"/>
  <c r="G8" i="14"/>
  <c r="F8" i="14"/>
  <c r="E8" i="14"/>
  <c r="D8" i="14"/>
  <c r="C8" i="14"/>
  <c r="B8" i="14"/>
  <c r="A8" i="14"/>
  <c r="H7" i="14"/>
  <c r="G7" i="14"/>
  <c r="F7" i="14"/>
  <c r="E7" i="14"/>
  <c r="D7" i="14"/>
  <c r="C7" i="14"/>
  <c r="B7" i="14"/>
  <c r="A7" i="14"/>
  <c r="H6" i="14"/>
  <c r="G6" i="14"/>
  <c r="F6" i="14"/>
  <c r="E6" i="14"/>
  <c r="D6" i="14"/>
  <c r="C6" i="14"/>
  <c r="B6" i="14"/>
  <c r="A6" i="14"/>
  <c r="H5" i="14"/>
  <c r="G5" i="14"/>
  <c r="F5" i="14"/>
  <c r="E5" i="14"/>
  <c r="D5" i="14"/>
  <c r="C5" i="14"/>
  <c r="B5" i="14"/>
  <c r="A5" i="14"/>
  <c r="H4" i="14"/>
  <c r="G4" i="14"/>
  <c r="F4" i="14"/>
  <c r="E4" i="14"/>
  <c r="D4" i="14"/>
  <c r="C4" i="14"/>
  <c r="B4" i="14"/>
  <c r="A4" i="14"/>
  <c r="H3" i="14"/>
  <c r="G40" i="13" s="1"/>
  <c r="G3" i="14"/>
  <c r="F3" i="14"/>
  <c r="E3" i="14"/>
  <c r="D3" i="14"/>
  <c r="C38" i="13" s="1"/>
  <c r="C3" i="14"/>
  <c r="B3" i="14"/>
  <c r="A3" i="14"/>
  <c r="H45" i="13"/>
  <c r="G45" i="13"/>
  <c r="F45" i="13"/>
  <c r="E45" i="13"/>
  <c r="D45" i="13"/>
  <c r="C45" i="13"/>
  <c r="B45" i="13"/>
  <c r="F40" i="13"/>
  <c r="E40" i="13"/>
  <c r="D40" i="13"/>
  <c r="C40" i="13"/>
  <c r="B40" i="13"/>
  <c r="D39" i="13"/>
  <c r="G38" i="13"/>
  <c r="F38" i="13"/>
  <c r="E38" i="13"/>
  <c r="D38" i="13"/>
  <c r="B38" i="13"/>
  <c r="G37" i="13"/>
  <c r="F37" i="13"/>
  <c r="E37" i="13"/>
  <c r="D37" i="13"/>
  <c r="C37" i="13"/>
  <c r="B37" i="13"/>
  <c r="F36" i="13"/>
  <c r="F39" i="13" s="1"/>
  <c r="E36" i="13"/>
  <c r="E39" i="13" s="1"/>
  <c r="D36" i="13"/>
  <c r="C36" i="13"/>
  <c r="C39" i="13" s="1"/>
  <c r="B36" i="13"/>
  <c r="B39" i="13" s="1"/>
  <c r="G32" i="13"/>
  <c r="F32" i="13"/>
  <c r="D32" i="13"/>
  <c r="C32" i="13"/>
  <c r="B32" i="13"/>
  <c r="B31" i="13"/>
  <c r="G30" i="13"/>
  <c r="F30" i="13"/>
  <c r="E30" i="13"/>
  <c r="D30" i="13"/>
  <c r="C30" i="13"/>
  <c r="B30" i="13"/>
  <c r="F29" i="13"/>
  <c r="E29" i="13"/>
  <c r="D29" i="13"/>
  <c r="C29" i="13"/>
  <c r="B29" i="13"/>
  <c r="G28" i="13"/>
  <c r="G31" i="13" s="1"/>
  <c r="F28" i="13"/>
  <c r="F31" i="13" s="1"/>
  <c r="D28" i="13"/>
  <c r="D31" i="13" s="1"/>
  <c r="C28" i="13"/>
  <c r="C31" i="13" s="1"/>
  <c r="B28" i="13"/>
  <c r="G24" i="13"/>
  <c r="F24" i="13"/>
  <c r="E24" i="13"/>
  <c r="D24" i="13"/>
  <c r="B24" i="13"/>
  <c r="G23" i="13"/>
  <c r="B23" i="13"/>
  <c r="F22" i="13"/>
  <c r="E22" i="13"/>
  <c r="D22" i="13"/>
  <c r="C22" i="13"/>
  <c r="B22" i="13"/>
  <c r="G21" i="13"/>
  <c r="F21" i="13"/>
  <c r="D21" i="13"/>
  <c r="C21" i="13"/>
  <c r="B21" i="13"/>
  <c r="G20" i="13"/>
  <c r="F20" i="13"/>
  <c r="F23" i="13" s="1"/>
  <c r="E20" i="13"/>
  <c r="E23" i="13" s="1"/>
  <c r="D20" i="13"/>
  <c r="D23" i="13" s="1"/>
  <c r="B20" i="13"/>
  <c r="G16" i="13"/>
  <c r="F16" i="13"/>
  <c r="E16" i="13"/>
  <c r="D16" i="13"/>
  <c r="C16" i="13"/>
  <c r="B16" i="13"/>
  <c r="F15" i="13"/>
  <c r="E15" i="13"/>
  <c r="G14" i="13"/>
  <c r="F14" i="13"/>
  <c r="D14" i="13"/>
  <c r="C14" i="13"/>
  <c r="B14" i="13"/>
  <c r="G13" i="13"/>
  <c r="F13" i="13"/>
  <c r="E13" i="13"/>
  <c r="D13" i="13"/>
  <c r="B13" i="13"/>
  <c r="G12" i="13"/>
  <c r="G15" i="13" s="1"/>
  <c r="F12" i="13"/>
  <c r="E12" i="13"/>
  <c r="D12" i="13"/>
  <c r="D15" i="13" s="1"/>
  <c r="C12" i="13"/>
  <c r="C15" i="13" s="1"/>
  <c r="B12" i="13"/>
  <c r="B15" i="13" s="1"/>
  <c r="F8" i="13"/>
  <c r="E8" i="13"/>
  <c r="D8" i="13"/>
  <c r="C8" i="13"/>
  <c r="B8" i="13"/>
  <c r="D7" i="13"/>
  <c r="C7" i="13"/>
  <c r="G6" i="13"/>
  <c r="F6" i="13"/>
  <c r="E6" i="13"/>
  <c r="D6" i="13"/>
  <c r="B6" i="13"/>
  <c r="G5" i="13"/>
  <c r="F5" i="13"/>
  <c r="E5" i="13"/>
  <c r="D5" i="13"/>
  <c r="C5" i="13"/>
  <c r="B5" i="13"/>
  <c r="F4" i="13"/>
  <c r="F7" i="13" s="1"/>
  <c r="E4" i="13"/>
  <c r="E7" i="13" s="1"/>
  <c r="D4" i="13"/>
  <c r="C4" i="13"/>
  <c r="B4" i="13"/>
  <c r="B7" i="13" s="1"/>
  <c r="D38" i="12"/>
  <c r="D36" i="12"/>
  <c r="C33" i="12"/>
  <c r="C30" i="12"/>
  <c r="C29" i="12"/>
  <c r="C28" i="12"/>
  <c r="C27" i="12"/>
  <c r="C26" i="12"/>
  <c r="C25" i="12"/>
  <c r="C24" i="12"/>
  <c r="C23" i="12"/>
  <c r="C22" i="12"/>
  <c r="C21" i="12"/>
  <c r="C20" i="12"/>
  <c r="C19" i="12"/>
  <c r="C18" i="12"/>
  <c r="C17" i="12"/>
  <c r="C16" i="12"/>
  <c r="C15" i="12"/>
  <c r="C14" i="12"/>
  <c r="C13" i="12"/>
  <c r="C12" i="12"/>
  <c r="C10" i="12"/>
  <c r="C8" i="12"/>
  <c r="C7" i="12"/>
  <c r="C6" i="12"/>
  <c r="C5" i="12"/>
  <c r="J52" i="11"/>
  <c r="H48" i="11"/>
  <c r="G48" i="11"/>
  <c r="I47" i="11"/>
  <c r="H47" i="11"/>
  <c r="G47" i="11"/>
  <c r="E47" i="11"/>
  <c r="F46" i="11"/>
  <c r="G45" i="11"/>
  <c r="J40" i="11"/>
  <c r="G39" i="11"/>
  <c r="G41" i="11" s="1"/>
  <c r="G49" i="11" s="1"/>
  <c r="I35" i="11"/>
  <c r="I48" i="11" s="1"/>
  <c r="H35" i="11"/>
  <c r="G35" i="11"/>
  <c r="F35" i="11"/>
  <c r="F48" i="11" s="1"/>
  <c r="E35" i="11"/>
  <c r="E48" i="11" s="1"/>
  <c r="I26" i="11"/>
  <c r="H26" i="11"/>
  <c r="G26" i="11"/>
  <c r="F26" i="11"/>
  <c r="F47" i="11" s="1"/>
  <c r="E26" i="11"/>
  <c r="H20" i="11"/>
  <c r="H46" i="11" s="1"/>
  <c r="F20" i="11"/>
  <c r="E20" i="11"/>
  <c r="E39" i="11" s="1"/>
  <c r="E41" i="11" s="1"/>
  <c r="E49" i="11" s="1"/>
  <c r="I15" i="11"/>
  <c r="H15" i="11"/>
  <c r="H45" i="11" s="1"/>
  <c r="G15" i="11"/>
  <c r="G20" i="11" s="1"/>
  <c r="G46" i="11" s="1"/>
  <c r="F15" i="11"/>
  <c r="F45" i="11" s="1"/>
  <c r="E15" i="11"/>
  <c r="E45" i="11" s="1"/>
  <c r="B11" i="10"/>
  <c r="E7" i="10"/>
  <c r="D7" i="10"/>
  <c r="C7" i="10"/>
  <c r="B7" i="10"/>
  <c r="E5" i="10"/>
  <c r="D5" i="10"/>
  <c r="C5" i="10"/>
  <c r="B5" i="10"/>
  <c r="B27" i="9"/>
  <c r="B27" i="8"/>
  <c r="B26" i="8"/>
  <c r="B25" i="8"/>
  <c r="B22" i="8"/>
  <c r="B21" i="8"/>
  <c r="B39" i="7"/>
  <c r="F28" i="7"/>
  <c r="G28" i="7" s="1"/>
  <c r="B16" i="7"/>
  <c r="B18" i="7" s="1"/>
  <c r="B12" i="7"/>
  <c r="B11" i="7"/>
  <c r="D18" i="6"/>
  <c r="C18" i="6"/>
  <c r="B18" i="6"/>
  <c r="B13" i="6"/>
  <c r="B8" i="6"/>
  <c r="S214" i="5"/>
  <c r="R214" i="5"/>
  <c r="Q214" i="5"/>
  <c r="P214" i="5"/>
  <c r="O214" i="5"/>
  <c r="N214" i="5"/>
  <c r="M214" i="5"/>
  <c r="L214" i="5"/>
  <c r="K214" i="5"/>
  <c r="J214" i="5"/>
  <c r="I214" i="5"/>
  <c r="H214" i="5"/>
  <c r="G214" i="5"/>
  <c r="F214" i="5"/>
  <c r="E214" i="5"/>
  <c r="S213" i="5"/>
  <c r="R213" i="5"/>
  <c r="Q213" i="5"/>
  <c r="P213" i="5"/>
  <c r="O213" i="5"/>
  <c r="N213" i="5"/>
  <c r="M213" i="5"/>
  <c r="L213" i="5"/>
  <c r="K213" i="5"/>
  <c r="J213" i="5"/>
  <c r="I213" i="5"/>
  <c r="H213" i="5"/>
  <c r="G213" i="5"/>
  <c r="F213" i="5"/>
  <c r="E213" i="5"/>
  <c r="G168" i="5"/>
  <c r="F168" i="5" s="1"/>
  <c r="E168" i="5"/>
  <c r="G167" i="5"/>
  <c r="F167" i="5"/>
  <c r="E167" i="5"/>
  <c r="G166" i="5"/>
  <c r="F166" i="5"/>
  <c r="E166" i="5"/>
  <c r="G163" i="5"/>
  <c r="F163" i="5" s="1"/>
  <c r="E163" i="5"/>
  <c r="G162" i="5"/>
  <c r="F162" i="5"/>
  <c r="E162" i="5"/>
  <c r="G161" i="5"/>
  <c r="E161" i="5"/>
  <c r="F161" i="5" s="1"/>
  <c r="J128" i="5"/>
  <c r="I128" i="5"/>
  <c r="E128" i="5"/>
  <c r="P466" i="3"/>
  <c r="P16" i="28" s="1"/>
  <c r="O466" i="3"/>
  <c r="O16" i="28" s="1"/>
  <c r="P465" i="3"/>
  <c r="P15" i="28" s="1"/>
  <c r="O465" i="3"/>
  <c r="O15" i="28" s="1"/>
  <c r="N464" i="3"/>
  <c r="N14" i="28" s="1"/>
  <c r="M464" i="3"/>
  <c r="M14" i="28" s="1"/>
  <c r="L464" i="3"/>
  <c r="K464" i="3"/>
  <c r="E464" i="3"/>
  <c r="J463" i="3"/>
  <c r="J13" i="28" s="1"/>
  <c r="I463" i="3"/>
  <c r="F463" i="3"/>
  <c r="J462" i="3"/>
  <c r="J12" i="28" s="1"/>
  <c r="I462" i="3"/>
  <c r="I12" i="28" s="1"/>
  <c r="G462" i="3"/>
  <c r="G12" i="28" s="1"/>
  <c r="F462" i="3"/>
  <c r="J461" i="3"/>
  <c r="J11" i="28" s="1"/>
  <c r="I461" i="3"/>
  <c r="H461" i="3"/>
  <c r="H11" i="28" s="1"/>
  <c r="F461" i="3"/>
  <c r="F11" i="28" s="1"/>
  <c r="J460" i="3"/>
  <c r="J10" i="28" s="1"/>
  <c r="I460" i="3"/>
  <c r="F460" i="3"/>
  <c r="F10" i="28" s="1"/>
  <c r="J459" i="3"/>
  <c r="I459" i="3"/>
  <c r="I9" i="28" s="1"/>
  <c r="G459" i="3"/>
  <c r="F459" i="3"/>
  <c r="I454" i="3"/>
  <c r="I69" i="29" s="1"/>
  <c r="H454" i="3"/>
  <c r="H69" i="29" s="1"/>
  <c r="I453" i="3"/>
  <c r="I68" i="29" s="1"/>
  <c r="H453" i="3"/>
  <c r="H68" i="29" s="1"/>
  <c r="I452" i="3"/>
  <c r="I67" i="29" s="1"/>
  <c r="H452" i="3"/>
  <c r="H67" i="29" s="1"/>
  <c r="I451" i="3"/>
  <c r="I66" i="29" s="1"/>
  <c r="H451" i="3"/>
  <c r="H66" i="29" s="1"/>
  <c r="I450" i="3"/>
  <c r="I65" i="29" s="1"/>
  <c r="H450" i="3"/>
  <c r="H65" i="29" s="1"/>
  <c r="I449" i="3"/>
  <c r="I64" i="29" s="1"/>
  <c r="H449" i="3"/>
  <c r="H64" i="29" s="1"/>
  <c r="I448" i="3"/>
  <c r="I63" i="29" s="1"/>
  <c r="H448" i="3"/>
  <c r="H63" i="29" s="1"/>
  <c r="I447" i="3"/>
  <c r="I62" i="29" s="1"/>
  <c r="H447" i="3"/>
  <c r="H62" i="29" s="1"/>
  <c r="G440" i="3"/>
  <c r="G55" i="29" s="1"/>
  <c r="F440" i="3"/>
  <c r="F55" i="29" s="1"/>
  <c r="E440" i="3"/>
  <c r="E55" i="29" s="1"/>
  <c r="E400" i="3"/>
  <c r="E23" i="26" s="1"/>
  <c r="E399" i="3"/>
  <c r="E22" i="26" s="1"/>
  <c r="S366" i="3"/>
  <c r="S12" i="30" s="1"/>
  <c r="R366" i="3"/>
  <c r="R12" i="30" s="1"/>
  <c r="Q366" i="3"/>
  <c r="Q12" i="30" s="1"/>
  <c r="P366" i="3"/>
  <c r="P12" i="30" s="1"/>
  <c r="O366" i="3"/>
  <c r="O12" i="30" s="1"/>
  <c r="N366" i="3"/>
  <c r="N12" i="30" s="1"/>
  <c r="M366" i="3"/>
  <c r="M12" i="30" s="1"/>
  <c r="L366" i="3"/>
  <c r="L12" i="30" s="1"/>
  <c r="K366" i="3"/>
  <c r="K12" i="30" s="1"/>
  <c r="J366" i="3"/>
  <c r="J12" i="30" s="1"/>
  <c r="E359" i="3"/>
  <c r="I357" i="3"/>
  <c r="I39" i="20" s="1"/>
  <c r="H357" i="3"/>
  <c r="H39" i="20" s="1"/>
  <c r="G357" i="3"/>
  <c r="G39" i="20" s="1"/>
  <c r="F357" i="3"/>
  <c r="F39" i="20" s="1"/>
  <c r="I355" i="3"/>
  <c r="I37" i="20" s="1"/>
  <c r="H355" i="3"/>
  <c r="H37" i="20" s="1"/>
  <c r="G355" i="3"/>
  <c r="G37" i="20" s="1"/>
  <c r="F355" i="3"/>
  <c r="F37" i="20" s="1"/>
  <c r="H353" i="3"/>
  <c r="E353" i="3"/>
  <c r="I351" i="3"/>
  <c r="I353" i="3" s="1"/>
  <c r="H351" i="3"/>
  <c r="E351" i="3"/>
  <c r="G350" i="3"/>
  <c r="E350" i="3"/>
  <c r="I349" i="3"/>
  <c r="I31" i="20" s="1"/>
  <c r="H349" i="3"/>
  <c r="H31" i="20" s="1"/>
  <c r="G349" i="3"/>
  <c r="G31" i="20" s="1"/>
  <c r="F349" i="3"/>
  <c r="F31" i="20" s="1"/>
  <c r="I347" i="3"/>
  <c r="H347" i="3"/>
  <c r="G347" i="3"/>
  <c r="F347" i="3"/>
  <c r="I346" i="3"/>
  <c r="H346" i="3"/>
  <c r="G346" i="3"/>
  <c r="F346" i="3"/>
  <c r="I340" i="3"/>
  <c r="H340" i="3"/>
  <c r="J339" i="3"/>
  <c r="I339" i="3"/>
  <c r="H339" i="3"/>
  <c r="H341" i="3" s="1"/>
  <c r="I338" i="3"/>
  <c r="H338" i="3"/>
  <c r="G338" i="3"/>
  <c r="F338" i="3"/>
  <c r="F340" i="3" s="1"/>
  <c r="E338" i="3"/>
  <c r="J335" i="3"/>
  <c r="I335" i="3"/>
  <c r="H335" i="3"/>
  <c r="S334" i="3"/>
  <c r="R334" i="3"/>
  <c r="Q334" i="3"/>
  <c r="P334" i="3"/>
  <c r="O334" i="3"/>
  <c r="N334" i="3"/>
  <c r="M334" i="3"/>
  <c r="L334" i="3"/>
  <c r="K334" i="3"/>
  <c r="J334" i="3"/>
  <c r="I334" i="3"/>
  <c r="H334" i="3"/>
  <c r="I333" i="3"/>
  <c r="H333" i="3"/>
  <c r="G333" i="3"/>
  <c r="F333" i="3"/>
  <c r="E333" i="3"/>
  <c r="J332" i="3"/>
  <c r="I332" i="3"/>
  <c r="H332" i="3"/>
  <c r="G332" i="3"/>
  <c r="F332" i="3"/>
  <c r="I329" i="3"/>
  <c r="H329" i="3"/>
  <c r="G329" i="3"/>
  <c r="I328" i="3"/>
  <c r="H328" i="3"/>
  <c r="G328" i="3"/>
  <c r="I327" i="3"/>
  <c r="H327" i="3"/>
  <c r="G327" i="3"/>
  <c r="F327" i="3"/>
  <c r="E327" i="3"/>
  <c r="I324" i="3"/>
  <c r="H324" i="3"/>
  <c r="G324" i="3"/>
  <c r="F324" i="3"/>
  <c r="I323" i="3"/>
  <c r="I341" i="3" s="1"/>
  <c r="H323" i="3"/>
  <c r="G323" i="3"/>
  <c r="F323" i="3"/>
  <c r="F351" i="3" s="1"/>
  <c r="S322" i="3"/>
  <c r="R322" i="3"/>
  <c r="Q322" i="3"/>
  <c r="P322" i="3"/>
  <c r="O322" i="3"/>
  <c r="N322" i="3"/>
  <c r="M322" i="3"/>
  <c r="L322" i="3"/>
  <c r="K322" i="3"/>
  <c r="J322" i="3"/>
  <c r="I299" i="3"/>
  <c r="I19" i="24" s="1"/>
  <c r="H299" i="3"/>
  <c r="H19" i="24" s="1"/>
  <c r="G299" i="3"/>
  <c r="G19" i="24" s="1"/>
  <c r="F299" i="3"/>
  <c r="F19" i="24" s="1"/>
  <c r="I294" i="3"/>
  <c r="I292" i="3"/>
  <c r="I287" i="3"/>
  <c r="I282" i="3"/>
  <c r="I277" i="3"/>
  <c r="I293" i="3" s="1"/>
  <c r="I295" i="3" s="1"/>
  <c r="I371" i="3" s="1"/>
  <c r="I17" i="30" s="1"/>
  <c r="J262" i="3"/>
  <c r="I262" i="3"/>
  <c r="H262" i="3"/>
  <c r="G262" i="3"/>
  <c r="F262" i="3"/>
  <c r="E262" i="3"/>
  <c r="S261" i="3"/>
  <c r="R261" i="3"/>
  <c r="Q261" i="3"/>
  <c r="P261" i="3"/>
  <c r="O261" i="3"/>
  <c r="N261" i="3"/>
  <c r="M261" i="3"/>
  <c r="L261" i="3"/>
  <c r="K261" i="3"/>
  <c r="J261" i="3"/>
  <c r="J260" i="3"/>
  <c r="I260" i="3"/>
  <c r="E260" i="3"/>
  <c r="J259" i="3"/>
  <c r="I259" i="3"/>
  <c r="H259" i="3"/>
  <c r="G259" i="3"/>
  <c r="F259" i="3"/>
  <c r="E259" i="3"/>
  <c r="J258" i="3"/>
  <c r="I258" i="3"/>
  <c r="H258" i="3"/>
  <c r="G258" i="3"/>
  <c r="F258" i="3"/>
  <c r="K257" i="3"/>
  <c r="J257" i="3"/>
  <c r="J256" i="3"/>
  <c r="I256" i="3"/>
  <c r="H256" i="3"/>
  <c r="G256" i="3"/>
  <c r="F256" i="3"/>
  <c r="K255" i="3"/>
  <c r="J255" i="3"/>
  <c r="J254" i="3"/>
  <c r="I254" i="3"/>
  <c r="H254" i="3"/>
  <c r="H260" i="3" s="1"/>
  <c r="G254" i="3"/>
  <c r="G260" i="3" s="1"/>
  <c r="F254" i="3"/>
  <c r="F260" i="3" s="1"/>
  <c r="M253" i="3"/>
  <c r="L253" i="3"/>
  <c r="K253" i="3"/>
  <c r="J253" i="3"/>
  <c r="I250" i="3"/>
  <c r="H250" i="3"/>
  <c r="G250" i="3"/>
  <c r="F250" i="3"/>
  <c r="I248" i="3"/>
  <c r="H248" i="3"/>
  <c r="G248" i="3"/>
  <c r="F248" i="3"/>
  <c r="I239" i="3"/>
  <c r="I46" i="23" s="1"/>
  <c r="H239" i="3"/>
  <c r="H46" i="23" s="1"/>
  <c r="G239" i="3"/>
  <c r="G46" i="23" s="1"/>
  <c r="I238" i="3"/>
  <c r="I45" i="23" s="1"/>
  <c r="H238" i="3"/>
  <c r="H45" i="23" s="1"/>
  <c r="F238" i="3"/>
  <c r="F45" i="23" s="1"/>
  <c r="I237" i="3"/>
  <c r="I44" i="23" s="1"/>
  <c r="H237" i="3"/>
  <c r="H44" i="23" s="1"/>
  <c r="G237" i="3"/>
  <c r="G44" i="23" s="1"/>
  <c r="F237" i="3"/>
  <c r="F44" i="23" s="1"/>
  <c r="E237" i="3"/>
  <c r="I231" i="3"/>
  <c r="I38" i="23" s="1"/>
  <c r="G231" i="3"/>
  <c r="G38" i="23" s="1"/>
  <c r="G229" i="3"/>
  <c r="G36" i="23" s="1"/>
  <c r="I228" i="3"/>
  <c r="I35" i="23" s="1"/>
  <c r="H228" i="3"/>
  <c r="H35" i="23" s="1"/>
  <c r="F228" i="3"/>
  <c r="F35" i="23" s="1"/>
  <c r="I227" i="3"/>
  <c r="I34" i="23" s="1"/>
  <c r="H227" i="3"/>
  <c r="H34" i="23" s="1"/>
  <c r="I225" i="3"/>
  <c r="I32" i="23" s="1"/>
  <c r="H225" i="3"/>
  <c r="H32" i="23" s="1"/>
  <c r="H224" i="3"/>
  <c r="H31" i="23" s="1"/>
  <c r="G224" i="3"/>
  <c r="G31" i="23" s="1"/>
  <c r="I223" i="3"/>
  <c r="I30" i="23" s="1"/>
  <c r="H223" i="3"/>
  <c r="H30" i="23" s="1"/>
  <c r="G223" i="3"/>
  <c r="G30" i="23" s="1"/>
  <c r="F223" i="3"/>
  <c r="F30" i="23" s="1"/>
  <c r="E223" i="3"/>
  <c r="E30" i="23" s="1"/>
  <c r="I222" i="3"/>
  <c r="I29" i="23" s="1"/>
  <c r="H222" i="3"/>
  <c r="H29" i="23" s="1"/>
  <c r="G222" i="3"/>
  <c r="G29" i="23" s="1"/>
  <c r="F222" i="3"/>
  <c r="F29" i="23" s="1"/>
  <c r="E222" i="3"/>
  <c r="E29" i="23" s="1"/>
  <c r="I216" i="3"/>
  <c r="I23" i="23" s="1"/>
  <c r="G216" i="3"/>
  <c r="I215" i="3"/>
  <c r="I22" i="23" s="1"/>
  <c r="H215" i="3"/>
  <c r="H22" i="23" s="1"/>
  <c r="G214" i="3"/>
  <c r="I212" i="3"/>
  <c r="I363" i="3" s="1"/>
  <c r="I9" i="30" s="1"/>
  <c r="H212" i="3"/>
  <c r="G212" i="3"/>
  <c r="G215" i="3" s="1"/>
  <c r="G22" i="23" s="1"/>
  <c r="F212" i="3"/>
  <c r="F231" i="3" s="1"/>
  <c r="F38" i="23" s="1"/>
  <c r="E212" i="3"/>
  <c r="F214" i="3" s="1"/>
  <c r="S198" i="3"/>
  <c r="R198" i="3"/>
  <c r="Q198" i="3"/>
  <c r="P198" i="3"/>
  <c r="O198" i="3"/>
  <c r="O34" i="11" s="1"/>
  <c r="N198" i="3"/>
  <c r="M198" i="3"/>
  <c r="L198" i="3"/>
  <c r="K198" i="3"/>
  <c r="J198" i="3"/>
  <c r="J197" i="3"/>
  <c r="J195" i="3"/>
  <c r="J33" i="11" s="1"/>
  <c r="I181" i="3"/>
  <c r="H181" i="3"/>
  <c r="G181" i="3"/>
  <c r="F181" i="3"/>
  <c r="I174" i="3"/>
  <c r="I232" i="3" s="1"/>
  <c r="I39" i="23" s="1"/>
  <c r="H174" i="3"/>
  <c r="H170" i="3" s="1"/>
  <c r="G174" i="3"/>
  <c r="G170" i="3" s="1"/>
  <c r="F174" i="3"/>
  <c r="E174" i="3"/>
  <c r="H173" i="3"/>
  <c r="G173" i="3"/>
  <c r="F173" i="3"/>
  <c r="I172" i="3"/>
  <c r="J171" i="3"/>
  <c r="I171" i="3"/>
  <c r="H171" i="3"/>
  <c r="G171" i="3"/>
  <c r="F171" i="3"/>
  <c r="E171" i="3"/>
  <c r="I170" i="3"/>
  <c r="F170" i="3"/>
  <c r="E170" i="3"/>
  <c r="I165" i="3"/>
  <c r="H165" i="3"/>
  <c r="G165" i="3"/>
  <c r="F165" i="3"/>
  <c r="I156" i="3"/>
  <c r="H156" i="3"/>
  <c r="G156" i="3"/>
  <c r="F156" i="3"/>
  <c r="H149" i="3"/>
  <c r="E149" i="3"/>
  <c r="I147" i="3"/>
  <c r="H147" i="3"/>
  <c r="G147" i="3"/>
  <c r="F147" i="3"/>
  <c r="E147" i="3"/>
  <c r="J144" i="3"/>
  <c r="I143" i="3"/>
  <c r="H143" i="3"/>
  <c r="G143" i="3"/>
  <c r="F143" i="3"/>
  <c r="E143" i="3"/>
  <c r="E135" i="3"/>
  <c r="E132" i="3"/>
  <c r="J112" i="3"/>
  <c r="J100" i="22" s="1"/>
  <c r="S108" i="3"/>
  <c r="F28" i="2" s="1"/>
  <c r="R108" i="3"/>
  <c r="Q108" i="3"/>
  <c r="P108" i="3"/>
  <c r="O108" i="3"/>
  <c r="N108" i="3"/>
  <c r="M108" i="3"/>
  <c r="L108" i="3"/>
  <c r="K108" i="3"/>
  <c r="J108" i="3"/>
  <c r="S103" i="3"/>
  <c r="R103" i="3"/>
  <c r="Q103" i="3"/>
  <c r="P103" i="3"/>
  <c r="O103" i="3"/>
  <c r="N103" i="3"/>
  <c r="E27" i="2" s="1"/>
  <c r="M103" i="3"/>
  <c r="L103" i="3"/>
  <c r="K103" i="3"/>
  <c r="J103" i="3"/>
  <c r="S99" i="3"/>
  <c r="R99" i="3"/>
  <c r="Q99" i="3"/>
  <c r="P99" i="3"/>
  <c r="O99" i="3"/>
  <c r="N99" i="3"/>
  <c r="M99" i="3"/>
  <c r="L99" i="3"/>
  <c r="K99" i="3"/>
  <c r="J99" i="3"/>
  <c r="I99" i="3"/>
  <c r="H99" i="3"/>
  <c r="G99" i="3"/>
  <c r="F99" i="3"/>
  <c r="S95" i="3"/>
  <c r="R95" i="3"/>
  <c r="Q95" i="3"/>
  <c r="P95" i="3"/>
  <c r="O95" i="3"/>
  <c r="N95" i="3"/>
  <c r="E25" i="2" s="1"/>
  <c r="M95" i="3"/>
  <c r="L95" i="3"/>
  <c r="K95" i="3"/>
  <c r="J95" i="3"/>
  <c r="S91" i="3"/>
  <c r="R91" i="3"/>
  <c r="Q91" i="3"/>
  <c r="P91" i="3"/>
  <c r="O91" i="3"/>
  <c r="N91" i="3"/>
  <c r="M91" i="3"/>
  <c r="L91" i="3"/>
  <c r="K91" i="3"/>
  <c r="J91" i="3"/>
  <c r="I91" i="3"/>
  <c r="H91" i="3"/>
  <c r="G91" i="3"/>
  <c r="F91" i="3"/>
  <c r="S84" i="3"/>
  <c r="S72" i="22" s="1"/>
  <c r="R84" i="3"/>
  <c r="R72" i="22" s="1"/>
  <c r="Q84" i="3"/>
  <c r="Q72" i="22" s="1"/>
  <c r="P84" i="3"/>
  <c r="P72" i="22" s="1"/>
  <c r="O84" i="3"/>
  <c r="O72" i="22" s="1"/>
  <c r="N84" i="3"/>
  <c r="N72" i="22" s="1"/>
  <c r="M84" i="3"/>
  <c r="M72" i="22" s="1"/>
  <c r="L84" i="3"/>
  <c r="L72" i="22" s="1"/>
  <c r="K84" i="3"/>
  <c r="K72" i="22" s="1"/>
  <c r="J84" i="3"/>
  <c r="J72" i="22" s="1"/>
  <c r="I84" i="3"/>
  <c r="I72" i="22" s="1"/>
  <c r="H84" i="3"/>
  <c r="H72" i="22" s="1"/>
  <c r="G84" i="3"/>
  <c r="G72" i="22" s="1"/>
  <c r="F84" i="3"/>
  <c r="F72" i="22" s="1"/>
  <c r="S80" i="3"/>
  <c r="S68" i="22" s="1"/>
  <c r="R80" i="3"/>
  <c r="R68" i="22" s="1"/>
  <c r="Q80" i="3"/>
  <c r="Q68" i="22" s="1"/>
  <c r="P80" i="3"/>
  <c r="P68" i="22" s="1"/>
  <c r="O80" i="3"/>
  <c r="O68" i="22" s="1"/>
  <c r="N80" i="3"/>
  <c r="N68" i="22" s="1"/>
  <c r="M80" i="3"/>
  <c r="M68" i="22" s="1"/>
  <c r="L80" i="3"/>
  <c r="L68" i="22" s="1"/>
  <c r="K80" i="3"/>
  <c r="K68" i="22" s="1"/>
  <c r="J80" i="3"/>
  <c r="J68" i="22" s="1"/>
  <c r="I74" i="3"/>
  <c r="H74" i="3"/>
  <c r="G74" i="3"/>
  <c r="F74" i="3"/>
  <c r="E74" i="3"/>
  <c r="S73" i="3"/>
  <c r="R73" i="3"/>
  <c r="Q73" i="3"/>
  <c r="P73" i="3"/>
  <c r="O73" i="3"/>
  <c r="N73" i="3"/>
  <c r="M73" i="3"/>
  <c r="L73" i="3"/>
  <c r="K73" i="3"/>
  <c r="J73" i="3"/>
  <c r="I73" i="3"/>
  <c r="H73" i="3"/>
  <c r="G73" i="3"/>
  <c r="F73" i="3"/>
  <c r="E73" i="3"/>
  <c r="S69" i="3"/>
  <c r="R69" i="3"/>
  <c r="Q69" i="3"/>
  <c r="P69" i="3"/>
  <c r="O69" i="3"/>
  <c r="N69" i="3"/>
  <c r="M69" i="3"/>
  <c r="L69" i="3"/>
  <c r="K69" i="3"/>
  <c r="J69" i="3"/>
  <c r="I69" i="3"/>
  <c r="H69" i="3"/>
  <c r="G69" i="3"/>
  <c r="F69" i="3"/>
  <c r="S65" i="3"/>
  <c r="R65" i="3"/>
  <c r="Q65" i="3"/>
  <c r="P65" i="3"/>
  <c r="O65" i="3"/>
  <c r="N65" i="3"/>
  <c r="M65" i="3"/>
  <c r="L65" i="3"/>
  <c r="K65" i="3"/>
  <c r="J65" i="3"/>
  <c r="I65" i="3"/>
  <c r="H65" i="3"/>
  <c r="G65" i="3"/>
  <c r="F65" i="3"/>
  <c r="S61" i="3"/>
  <c r="R61" i="3"/>
  <c r="Q61" i="3"/>
  <c r="P61" i="3"/>
  <c r="O61" i="3"/>
  <c r="N61" i="3"/>
  <c r="M61" i="3"/>
  <c r="L61" i="3"/>
  <c r="K61" i="3"/>
  <c r="J61" i="3"/>
  <c r="I61" i="3"/>
  <c r="H61" i="3"/>
  <c r="G61" i="3"/>
  <c r="F61" i="3"/>
  <c r="S57" i="3"/>
  <c r="R57" i="3"/>
  <c r="Q57" i="3"/>
  <c r="P57" i="3"/>
  <c r="O57" i="3"/>
  <c r="N57" i="3"/>
  <c r="M57" i="3"/>
  <c r="L57" i="3"/>
  <c r="K57" i="3"/>
  <c r="J57" i="3"/>
  <c r="J208" i="3" s="1"/>
  <c r="I57" i="3"/>
  <c r="H57" i="3"/>
  <c r="G57" i="3"/>
  <c r="F57" i="3"/>
  <c r="S53" i="3"/>
  <c r="R53" i="3"/>
  <c r="Q53" i="3"/>
  <c r="P53" i="3"/>
  <c r="O53" i="3"/>
  <c r="N53" i="3"/>
  <c r="M53" i="3"/>
  <c r="L53" i="3"/>
  <c r="K53" i="3"/>
  <c r="J53" i="3"/>
  <c r="I53" i="3"/>
  <c r="H53" i="3"/>
  <c r="G53" i="3"/>
  <c r="F53" i="3"/>
  <c r="S44" i="3"/>
  <c r="S32" i="22" s="1"/>
  <c r="R44" i="3"/>
  <c r="R32" i="22" s="1"/>
  <c r="Q44" i="3"/>
  <c r="Q32" i="22" s="1"/>
  <c r="P44" i="3"/>
  <c r="P32" i="22" s="1"/>
  <c r="O44" i="3"/>
  <c r="O32" i="22" s="1"/>
  <c r="N44" i="3"/>
  <c r="N32" i="22" s="1"/>
  <c r="M44" i="3"/>
  <c r="M32" i="22" s="1"/>
  <c r="L44" i="3"/>
  <c r="L32" i="22" s="1"/>
  <c r="K44" i="3"/>
  <c r="K32" i="22" s="1"/>
  <c r="J44" i="3"/>
  <c r="E33" i="3"/>
  <c r="E31" i="3"/>
  <c r="E26" i="3"/>
  <c r="E24" i="3"/>
  <c r="G5" i="3"/>
  <c r="G9" i="29" s="1"/>
  <c r="F5" i="3"/>
  <c r="F9" i="29" s="1"/>
  <c r="E5" i="3"/>
  <c r="B42" i="2" s="1"/>
  <c r="E4" i="3"/>
  <c r="E8" i="29" s="1"/>
  <c r="B54" i="2"/>
  <c r="B53" i="2"/>
  <c r="D47" i="2"/>
  <c r="C47" i="2"/>
  <c r="B47" i="2"/>
  <c r="D46" i="2"/>
  <c r="C46" i="2"/>
  <c r="B46" i="2"/>
  <c r="D45" i="2"/>
  <c r="C45" i="2"/>
  <c r="B45" i="2"/>
  <c r="D44" i="2"/>
  <c r="C44" i="2"/>
  <c r="B44" i="2"/>
  <c r="D43" i="2"/>
  <c r="C43" i="2"/>
  <c r="B43" i="2"/>
  <c r="C42" i="2"/>
  <c r="B30" i="2"/>
  <c r="B29" i="2"/>
  <c r="E28" i="2"/>
  <c r="C28" i="2"/>
  <c r="B28" i="2"/>
  <c r="F27" i="2"/>
  <c r="D27" i="2"/>
  <c r="C27" i="2"/>
  <c r="B27" i="2"/>
  <c r="F26" i="2"/>
  <c r="E26" i="2"/>
  <c r="D26" i="2"/>
  <c r="C26" i="2"/>
  <c r="B26" i="2"/>
  <c r="F25" i="2"/>
  <c r="D25" i="2"/>
  <c r="C25" i="2"/>
  <c r="B24" i="2"/>
  <c r="B23" i="2"/>
  <c r="B22" i="2"/>
  <c r="B19" i="2"/>
  <c r="B18" i="2"/>
  <c r="C16" i="2"/>
  <c r="B16" i="2"/>
  <c r="C15" i="2"/>
  <c r="B15" i="2"/>
  <c r="B14" i="2"/>
  <c r="B6" i="2"/>
  <c r="F21" i="23" l="1"/>
  <c r="F240" i="3"/>
  <c r="F47" i="23" s="1"/>
  <c r="F235" i="3"/>
  <c r="J15" i="23"/>
  <c r="K208" i="3"/>
  <c r="G37" i="25"/>
  <c r="G36" i="19"/>
  <c r="G176" i="3"/>
  <c r="H37" i="25"/>
  <c r="H36" i="19"/>
  <c r="H176" i="3"/>
  <c r="J30" i="29"/>
  <c r="J11" i="23"/>
  <c r="J57" i="22"/>
  <c r="J211" i="3"/>
  <c r="G28" i="29"/>
  <c r="G9" i="23"/>
  <c r="G49" i="22"/>
  <c r="K30" i="29"/>
  <c r="K11" i="23"/>
  <c r="K57" i="22"/>
  <c r="E8" i="31"/>
  <c r="E10" i="21"/>
  <c r="E11" i="22"/>
  <c r="B5" i="9"/>
  <c r="B15" i="7"/>
  <c r="O378" i="3"/>
  <c r="E11" i="18"/>
  <c r="S378" i="3"/>
  <c r="J378" i="3"/>
  <c r="Q378" i="3"/>
  <c r="C9" i="12"/>
  <c r="R378" i="3"/>
  <c r="P378" i="3"/>
  <c r="N378" i="3"/>
  <c r="M378" i="3"/>
  <c r="K378" i="3"/>
  <c r="L378" i="3"/>
  <c r="F26" i="29"/>
  <c r="F7" i="23"/>
  <c r="F41" i="22"/>
  <c r="N26" i="29"/>
  <c r="N7" i="23"/>
  <c r="N41" i="22"/>
  <c r="H27" i="29"/>
  <c r="H8" i="23"/>
  <c r="H45" i="22"/>
  <c r="P27" i="29"/>
  <c r="P8" i="23"/>
  <c r="P45" i="22"/>
  <c r="J28" i="29"/>
  <c r="J9" i="23"/>
  <c r="J49" i="22"/>
  <c r="J209" i="3"/>
  <c r="R28" i="29"/>
  <c r="R9" i="23"/>
  <c r="R49" i="22"/>
  <c r="L29" i="29"/>
  <c r="L10" i="23"/>
  <c r="L53" i="22"/>
  <c r="F30" i="29"/>
  <c r="F11" i="23"/>
  <c r="F57" i="22"/>
  <c r="N30" i="29"/>
  <c r="N11" i="23"/>
  <c r="N57" i="22"/>
  <c r="G31" i="29"/>
  <c r="G12" i="23"/>
  <c r="G61" i="22"/>
  <c r="O31" i="29"/>
  <c r="O12" i="23"/>
  <c r="O61" i="22"/>
  <c r="H13" i="23"/>
  <c r="H62" i="22"/>
  <c r="H32" i="29"/>
  <c r="H79" i="22"/>
  <c r="P32" i="29"/>
  <c r="P79" i="22"/>
  <c r="Q33" i="29"/>
  <c r="Q83" i="22"/>
  <c r="K34" i="29"/>
  <c r="K10" i="24"/>
  <c r="K87" i="22"/>
  <c r="S34" i="29"/>
  <c r="S10" i="24"/>
  <c r="S87" i="22"/>
  <c r="Q35" i="29"/>
  <c r="Q14" i="24"/>
  <c r="Q91" i="22"/>
  <c r="O36" i="29"/>
  <c r="O96" i="22"/>
  <c r="E18" i="31"/>
  <c r="E123" i="22"/>
  <c r="E27" i="18"/>
  <c r="C32" i="12"/>
  <c r="S321" i="3"/>
  <c r="K321" i="3"/>
  <c r="R321" i="3"/>
  <c r="J321" i="3"/>
  <c r="Q321" i="3"/>
  <c r="P321" i="3"/>
  <c r="M321" i="3"/>
  <c r="N321" i="3"/>
  <c r="L321" i="3"/>
  <c r="O321" i="3"/>
  <c r="H10" i="25"/>
  <c r="H7" i="20"/>
  <c r="H9" i="19"/>
  <c r="D6" i="10"/>
  <c r="H354" i="3"/>
  <c r="H145" i="3"/>
  <c r="G227" i="3"/>
  <c r="G34" i="23" s="1"/>
  <c r="G228" i="3"/>
  <c r="G35" i="23" s="1"/>
  <c r="E9" i="29"/>
  <c r="H434" i="3"/>
  <c r="H49" i="29" s="1"/>
  <c r="H426" i="3"/>
  <c r="H432" i="3"/>
  <c r="H47" i="29" s="1"/>
  <c r="H439" i="3"/>
  <c r="H430" i="3"/>
  <c r="H45" i="29" s="1"/>
  <c r="H437" i="3"/>
  <c r="H52" i="29" s="1"/>
  <c r="H425" i="3"/>
  <c r="H40" i="29" s="1"/>
  <c r="H442" i="3"/>
  <c r="H57" i="29" s="1"/>
  <c r="H436" i="3"/>
  <c r="H51" i="29" s="1"/>
  <c r="H424" i="3"/>
  <c r="H39" i="29" s="1"/>
  <c r="H441" i="3"/>
  <c r="H56" i="29" s="1"/>
  <c r="H435" i="3"/>
  <c r="H50" i="29" s="1"/>
  <c r="H440" i="3"/>
  <c r="H433" i="3"/>
  <c r="H48" i="29" s="1"/>
  <c r="H431" i="3"/>
  <c r="H46" i="29" s="1"/>
  <c r="H428" i="3"/>
  <c r="H43" i="29" s="1"/>
  <c r="H438" i="3"/>
  <c r="H53" i="29" s="1"/>
  <c r="H429" i="3"/>
  <c r="H427" i="3"/>
  <c r="H42" i="29" s="1"/>
  <c r="K26" i="29"/>
  <c r="K7" i="23"/>
  <c r="K41" i="22"/>
  <c r="I29" i="29"/>
  <c r="I10" i="23"/>
  <c r="I53" i="22"/>
  <c r="S30" i="29"/>
  <c r="S11" i="23"/>
  <c r="S57" i="22"/>
  <c r="E13" i="23"/>
  <c r="E62" i="22"/>
  <c r="G26" i="29"/>
  <c r="G7" i="23"/>
  <c r="G41" i="22"/>
  <c r="O26" i="29"/>
  <c r="O7" i="23"/>
  <c r="O41" i="22"/>
  <c r="I27" i="29"/>
  <c r="I8" i="23"/>
  <c r="I45" i="22"/>
  <c r="K28" i="29"/>
  <c r="K9" i="23"/>
  <c r="K49" i="22"/>
  <c r="M29" i="29"/>
  <c r="M10" i="23"/>
  <c r="M53" i="22"/>
  <c r="G30" i="29"/>
  <c r="G11" i="23"/>
  <c r="G57" i="22"/>
  <c r="O30" i="29"/>
  <c r="O11" i="23"/>
  <c r="O57" i="22"/>
  <c r="P31" i="29"/>
  <c r="P12" i="23"/>
  <c r="P61" i="22"/>
  <c r="I13" i="23"/>
  <c r="I62" i="22"/>
  <c r="I32" i="29"/>
  <c r="I79" i="22"/>
  <c r="Q32" i="29"/>
  <c r="Q79" i="22"/>
  <c r="J33" i="29"/>
  <c r="J83" i="22"/>
  <c r="R33" i="29"/>
  <c r="R83" i="22"/>
  <c r="L34" i="29"/>
  <c r="L10" i="24"/>
  <c r="L87" i="22"/>
  <c r="J35" i="29"/>
  <c r="J14" i="24"/>
  <c r="J91" i="22"/>
  <c r="O464" i="3"/>
  <c r="O14" i="28" s="1"/>
  <c r="R35" i="29"/>
  <c r="R14" i="24"/>
  <c r="R91" i="22"/>
  <c r="P36" i="29"/>
  <c r="P96" i="22"/>
  <c r="I10" i="25"/>
  <c r="I7" i="20"/>
  <c r="E35" i="5"/>
  <c r="I9" i="19"/>
  <c r="E6" i="10"/>
  <c r="I354" i="3"/>
  <c r="I145" i="3"/>
  <c r="I32" i="25"/>
  <c r="I31" i="19"/>
  <c r="H38" i="25"/>
  <c r="H37" i="19"/>
  <c r="S26" i="29"/>
  <c r="S7" i="23"/>
  <c r="S41" i="22"/>
  <c r="M32" i="29"/>
  <c r="M79" i="22"/>
  <c r="P34" i="29"/>
  <c r="P10" i="24"/>
  <c r="P87" i="22"/>
  <c r="H16" i="25"/>
  <c r="H15" i="19"/>
  <c r="H9" i="20"/>
  <c r="D8" i="10"/>
  <c r="H267" i="3"/>
  <c r="H356" i="3"/>
  <c r="H38" i="20" s="1"/>
  <c r="H158" i="3"/>
  <c r="Q27" i="29"/>
  <c r="Q8" i="23"/>
  <c r="Q45" i="22"/>
  <c r="H31" i="29"/>
  <c r="H12" i="23"/>
  <c r="H61" i="22"/>
  <c r="D42" i="2"/>
  <c r="E42" i="2" s="1"/>
  <c r="E28" i="3"/>
  <c r="H26" i="29"/>
  <c r="H7" i="23"/>
  <c r="H41" i="22"/>
  <c r="P26" i="29"/>
  <c r="P7" i="23"/>
  <c r="P41" i="22"/>
  <c r="J27" i="29"/>
  <c r="J8" i="23"/>
  <c r="J45" i="22"/>
  <c r="R27" i="29"/>
  <c r="R8" i="23"/>
  <c r="R45" i="22"/>
  <c r="L28" i="29"/>
  <c r="L9" i="23"/>
  <c r="L49" i="22"/>
  <c r="F29" i="29"/>
  <c r="F10" i="23"/>
  <c r="F53" i="22"/>
  <c r="N29" i="29"/>
  <c r="N10" i="23"/>
  <c r="N53" i="22"/>
  <c r="H30" i="29"/>
  <c r="H11" i="23"/>
  <c r="H57" i="22"/>
  <c r="P30" i="29"/>
  <c r="P11" i="23"/>
  <c r="P57" i="22"/>
  <c r="I31" i="29"/>
  <c r="I12" i="23"/>
  <c r="I61" i="22"/>
  <c r="Q31" i="29"/>
  <c r="Q12" i="23"/>
  <c r="Q61" i="22"/>
  <c r="J32" i="29"/>
  <c r="J79" i="22"/>
  <c r="R32" i="29"/>
  <c r="R79" i="22"/>
  <c r="K33" i="29"/>
  <c r="K83" i="22"/>
  <c r="S33" i="29"/>
  <c r="S83" i="22"/>
  <c r="M34" i="29"/>
  <c r="M10" i="24"/>
  <c r="M87" i="22"/>
  <c r="K35" i="29"/>
  <c r="K14" i="24"/>
  <c r="K91" i="22"/>
  <c r="S35" i="29"/>
  <c r="S14" i="24"/>
  <c r="S91" i="22"/>
  <c r="Q36" i="29"/>
  <c r="Q96" i="22"/>
  <c r="E14" i="25"/>
  <c r="E13" i="19"/>
  <c r="I38" i="25"/>
  <c r="I37" i="19"/>
  <c r="E41" i="25"/>
  <c r="E40" i="19"/>
  <c r="E232" i="3"/>
  <c r="E39" i="23" s="1"/>
  <c r="E24" i="29"/>
  <c r="E20" i="22"/>
  <c r="E19" i="18"/>
  <c r="E10" i="31"/>
  <c r="E13" i="22"/>
  <c r="E12" i="21"/>
  <c r="E13" i="18"/>
  <c r="C11" i="12"/>
  <c r="B19" i="7"/>
  <c r="S28" i="29"/>
  <c r="S9" i="23"/>
  <c r="S49" i="22"/>
  <c r="E22" i="29"/>
  <c r="E18" i="22"/>
  <c r="E17" i="18"/>
  <c r="B6" i="9"/>
  <c r="G6" i="9" s="1"/>
  <c r="I26" i="29"/>
  <c r="I7" i="23"/>
  <c r="I41" i="22"/>
  <c r="Q26" i="29"/>
  <c r="Q7" i="23"/>
  <c r="Q41" i="22"/>
  <c r="K27" i="29"/>
  <c r="K8" i="23"/>
  <c r="K45" i="22"/>
  <c r="S27" i="29"/>
  <c r="S8" i="23"/>
  <c r="S45" i="22"/>
  <c r="M28" i="29"/>
  <c r="M9" i="23"/>
  <c r="M49" i="22"/>
  <c r="G29" i="29"/>
  <c r="G10" i="23"/>
  <c r="G53" i="22"/>
  <c r="O29" i="29"/>
  <c r="O10" i="23"/>
  <c r="O53" i="22"/>
  <c r="I30" i="29"/>
  <c r="I11" i="23"/>
  <c r="I57" i="22"/>
  <c r="Q30" i="29"/>
  <c r="Q11" i="23"/>
  <c r="Q57" i="22"/>
  <c r="J31" i="29"/>
  <c r="J12" i="23"/>
  <c r="J61" i="22"/>
  <c r="R31" i="29"/>
  <c r="R12" i="23"/>
  <c r="R61" i="22"/>
  <c r="K32" i="29"/>
  <c r="K79" i="22"/>
  <c r="S32" i="29"/>
  <c r="S79" i="22"/>
  <c r="L33" i="29"/>
  <c r="L83" i="22"/>
  <c r="F34" i="29"/>
  <c r="F10" i="24"/>
  <c r="F87" i="22"/>
  <c r="N34" i="29"/>
  <c r="N10" i="24"/>
  <c r="N87" i="22"/>
  <c r="L35" i="29"/>
  <c r="L14" i="24"/>
  <c r="L91" i="22"/>
  <c r="J36" i="29"/>
  <c r="J96" i="22"/>
  <c r="R36" i="29"/>
  <c r="R96" i="22"/>
  <c r="F14" i="25"/>
  <c r="F13" i="19"/>
  <c r="F149" i="3"/>
  <c r="E19" i="23"/>
  <c r="E363" i="3"/>
  <c r="E9" i="30" s="1"/>
  <c r="E231" i="3"/>
  <c r="E38" i="23" s="1"/>
  <c r="E165" i="3"/>
  <c r="F215" i="3"/>
  <c r="F22" i="23" s="1"/>
  <c r="E216" i="3"/>
  <c r="G21" i="23"/>
  <c r="G240" i="3"/>
  <c r="G47" i="23" s="1"/>
  <c r="G235" i="3"/>
  <c r="F102" i="25"/>
  <c r="F52" i="24"/>
  <c r="J26" i="29"/>
  <c r="J7" i="23"/>
  <c r="J41" i="22"/>
  <c r="J207" i="3"/>
  <c r="R30" i="29"/>
  <c r="R11" i="23"/>
  <c r="R57" i="22"/>
  <c r="L32" i="29"/>
  <c r="L79" i="22"/>
  <c r="M33" i="29"/>
  <c r="M83" i="22"/>
  <c r="G34" i="29"/>
  <c r="G10" i="24"/>
  <c r="G87" i="22"/>
  <c r="O34" i="29"/>
  <c r="O10" i="24"/>
  <c r="O87" i="22"/>
  <c r="M35" i="29"/>
  <c r="M14" i="24"/>
  <c r="M91" i="22"/>
  <c r="K36" i="29"/>
  <c r="K96" i="22"/>
  <c r="S36" i="29"/>
  <c r="S96" i="22"/>
  <c r="B13" i="9"/>
  <c r="J11" i="25"/>
  <c r="J10" i="19"/>
  <c r="J8" i="11"/>
  <c r="E16" i="25"/>
  <c r="E15" i="19"/>
  <c r="E9" i="20"/>
  <c r="E158" i="3"/>
  <c r="F40" i="25"/>
  <c r="F39" i="19"/>
  <c r="F307" i="3"/>
  <c r="G41" i="25"/>
  <c r="G40" i="19"/>
  <c r="G232" i="3"/>
  <c r="G39" i="23" s="1"/>
  <c r="M27" i="29"/>
  <c r="M8" i="23"/>
  <c r="M45" i="22"/>
  <c r="N33" i="29"/>
  <c r="N83" i="22"/>
  <c r="L36" i="29"/>
  <c r="L96" i="22"/>
  <c r="E10" i="25"/>
  <c r="E7" i="20"/>
  <c r="E9" i="19"/>
  <c r="E145" i="3"/>
  <c r="E267" i="3" s="1"/>
  <c r="K144" i="3"/>
  <c r="G40" i="25"/>
  <c r="G39" i="19"/>
  <c r="G307" i="3"/>
  <c r="H41" i="25"/>
  <c r="H40" i="19"/>
  <c r="H232" i="3"/>
  <c r="H39" i="23" s="1"/>
  <c r="M66" i="25"/>
  <c r="M64" i="19"/>
  <c r="M34" i="11"/>
  <c r="L27" i="29"/>
  <c r="L8" i="23"/>
  <c r="L45" i="22"/>
  <c r="F28" i="29"/>
  <c r="F9" i="23"/>
  <c r="F49" i="22"/>
  <c r="H29" i="29"/>
  <c r="H10" i="23"/>
  <c r="H53" i="22"/>
  <c r="S31" i="29"/>
  <c r="S12" i="23"/>
  <c r="S61" i="22"/>
  <c r="Q29" i="29"/>
  <c r="Q10" i="23"/>
  <c r="Q53" i="22"/>
  <c r="N35" i="29"/>
  <c r="N14" i="24"/>
  <c r="N91" i="22"/>
  <c r="D28" i="2"/>
  <c r="L26" i="29"/>
  <c r="L7" i="23"/>
  <c r="L41" i="22"/>
  <c r="F27" i="29"/>
  <c r="F8" i="23"/>
  <c r="F45" i="22"/>
  <c r="N27" i="29"/>
  <c r="N8" i="23"/>
  <c r="N45" i="22"/>
  <c r="H28" i="29"/>
  <c r="H9" i="23"/>
  <c r="H49" i="22"/>
  <c r="P28" i="29"/>
  <c r="P9" i="23"/>
  <c r="P49" i="22"/>
  <c r="J29" i="29"/>
  <c r="J10" i="23"/>
  <c r="J53" i="22"/>
  <c r="J210" i="3"/>
  <c r="R29" i="29"/>
  <c r="R10" i="23"/>
  <c r="R53" i="22"/>
  <c r="L30" i="29"/>
  <c r="L11" i="23"/>
  <c r="L57" i="22"/>
  <c r="E31" i="29"/>
  <c r="E12" i="23"/>
  <c r="E61" i="22"/>
  <c r="M31" i="29"/>
  <c r="M12" i="23"/>
  <c r="M61" i="22"/>
  <c r="F13" i="23"/>
  <c r="F62" i="22"/>
  <c r="F32" i="29"/>
  <c r="F79" i="22"/>
  <c r="N32" i="29"/>
  <c r="N79" i="22"/>
  <c r="O33" i="29"/>
  <c r="O83" i="22"/>
  <c r="I34" i="29"/>
  <c r="I10" i="24"/>
  <c r="I87" i="22"/>
  <c r="Q34" i="29"/>
  <c r="Q10" i="24"/>
  <c r="Q87" i="22"/>
  <c r="O35" i="29"/>
  <c r="O14" i="24"/>
  <c r="O91" i="22"/>
  <c r="M36" i="29"/>
  <c r="M96" i="22"/>
  <c r="K112" i="3"/>
  <c r="F10" i="25"/>
  <c r="F7" i="20"/>
  <c r="F9" i="19"/>
  <c r="B6" i="10"/>
  <c r="F354" i="3"/>
  <c r="F145" i="3"/>
  <c r="I14" i="25"/>
  <c r="I13" i="19"/>
  <c r="I149" i="3"/>
  <c r="F23" i="25"/>
  <c r="F22" i="19"/>
  <c r="E37" i="25"/>
  <c r="E36" i="19"/>
  <c r="H179" i="3"/>
  <c r="F176" i="3"/>
  <c r="N66" i="25"/>
  <c r="N64" i="19"/>
  <c r="N34" i="11"/>
  <c r="F33" i="28"/>
  <c r="F18" i="21"/>
  <c r="F33" i="20"/>
  <c r="F33" i="17"/>
  <c r="F353" i="3"/>
  <c r="R26" i="29"/>
  <c r="R7" i="23"/>
  <c r="R41" i="22"/>
  <c r="N28" i="29"/>
  <c r="N9" i="23"/>
  <c r="N49" i="22"/>
  <c r="P29" i="29"/>
  <c r="P10" i="23"/>
  <c r="P53" i="22"/>
  <c r="K31" i="29"/>
  <c r="K12" i="23"/>
  <c r="K61" i="22"/>
  <c r="O28" i="29"/>
  <c r="O9" i="23"/>
  <c r="O49" i="22"/>
  <c r="L31" i="29"/>
  <c r="L12" i="23"/>
  <c r="L61" i="22"/>
  <c r="H34" i="29"/>
  <c r="H10" i="24"/>
  <c r="H87" i="22"/>
  <c r="J32" i="22"/>
  <c r="J226" i="3"/>
  <c r="M26" i="29"/>
  <c r="M7" i="23"/>
  <c r="M41" i="22"/>
  <c r="G27" i="29"/>
  <c r="G8" i="23"/>
  <c r="G45" i="22"/>
  <c r="O27" i="29"/>
  <c r="O8" i="23"/>
  <c r="O45" i="22"/>
  <c r="I28" i="29"/>
  <c r="I9" i="23"/>
  <c r="I49" i="22"/>
  <c r="Q28" i="29"/>
  <c r="Q9" i="23"/>
  <c r="Q49" i="22"/>
  <c r="K29" i="29"/>
  <c r="K10" i="23"/>
  <c r="K53" i="22"/>
  <c r="S29" i="29"/>
  <c r="S10" i="23"/>
  <c r="S53" i="22"/>
  <c r="M30" i="29"/>
  <c r="M11" i="23"/>
  <c r="M57" i="22"/>
  <c r="F31" i="29"/>
  <c r="F12" i="23"/>
  <c r="F61" i="22"/>
  <c r="N31" i="29"/>
  <c r="N12" i="23"/>
  <c r="N61" i="22"/>
  <c r="G13" i="23"/>
  <c r="G62" i="22"/>
  <c r="G32" i="29"/>
  <c r="G79" i="22"/>
  <c r="O32" i="29"/>
  <c r="O79" i="22"/>
  <c r="H95" i="3"/>
  <c r="P33" i="29"/>
  <c r="P83" i="22"/>
  <c r="J34" i="29"/>
  <c r="J10" i="24"/>
  <c r="J87" i="22"/>
  <c r="R34" i="29"/>
  <c r="R10" i="24"/>
  <c r="R87" i="22"/>
  <c r="P35" i="29"/>
  <c r="P14" i="24"/>
  <c r="P91" i="22"/>
  <c r="N36" i="29"/>
  <c r="N96" i="22"/>
  <c r="E120" i="22"/>
  <c r="C31" i="12"/>
  <c r="G10" i="25"/>
  <c r="G7" i="20"/>
  <c r="G9" i="19"/>
  <c r="C6" i="10"/>
  <c r="G354" i="3"/>
  <c r="G145" i="3"/>
  <c r="G179" i="3" s="1"/>
  <c r="G23" i="25"/>
  <c r="G22" i="19"/>
  <c r="F38" i="25"/>
  <c r="F37" i="19"/>
  <c r="H103" i="25"/>
  <c r="H53" i="24"/>
  <c r="G32" i="25"/>
  <c r="G31" i="19"/>
  <c r="I39" i="25"/>
  <c r="I38" i="19"/>
  <c r="G48" i="25"/>
  <c r="G47" i="19"/>
  <c r="Q66" i="25"/>
  <c r="Q64" i="19"/>
  <c r="Q34" i="11"/>
  <c r="H19" i="23"/>
  <c r="D9" i="10"/>
  <c r="H363" i="3"/>
  <c r="H9" i="30" s="1"/>
  <c r="K258" i="3"/>
  <c r="L257" i="3"/>
  <c r="E39" i="24"/>
  <c r="E89" i="25"/>
  <c r="E328" i="3"/>
  <c r="E329" i="3"/>
  <c r="G94" i="25"/>
  <c r="G44" i="24"/>
  <c r="O96" i="25"/>
  <c r="O46" i="24"/>
  <c r="I13" i="28"/>
  <c r="G463" i="3"/>
  <c r="G13" i="28" s="1"/>
  <c r="H32" i="25"/>
  <c r="H31" i="19"/>
  <c r="E38" i="25"/>
  <c r="E37" i="19"/>
  <c r="H48" i="25"/>
  <c r="H47" i="19"/>
  <c r="J66" i="25"/>
  <c r="J64" i="19"/>
  <c r="J34" i="11"/>
  <c r="R66" i="25"/>
  <c r="R64" i="19"/>
  <c r="R34" i="11"/>
  <c r="I19" i="23"/>
  <c r="E9" i="10"/>
  <c r="F216" i="3"/>
  <c r="J84" i="25"/>
  <c r="J34" i="24"/>
  <c r="R84" i="25"/>
  <c r="R34" i="24"/>
  <c r="F89" i="25"/>
  <c r="F39" i="24"/>
  <c r="F329" i="3"/>
  <c r="F328" i="3"/>
  <c r="G91" i="25"/>
  <c r="G41" i="24"/>
  <c r="H28" i="20"/>
  <c r="H30" i="17"/>
  <c r="H33" i="28"/>
  <c r="H33" i="20"/>
  <c r="H18" i="21"/>
  <c r="H33" i="17"/>
  <c r="I11" i="28"/>
  <c r="G461" i="3"/>
  <c r="G11" i="28" s="1"/>
  <c r="I48" i="25"/>
  <c r="I47" i="19"/>
  <c r="K66" i="25"/>
  <c r="K64" i="19"/>
  <c r="K34" i="11"/>
  <c r="S66" i="25"/>
  <c r="S64" i="19"/>
  <c r="S34" i="11"/>
  <c r="G23" i="23"/>
  <c r="G298" i="3"/>
  <c r="G302" i="3" s="1"/>
  <c r="F225" i="3"/>
  <c r="F32" i="23" s="1"/>
  <c r="F227" i="3"/>
  <c r="F34" i="23" s="1"/>
  <c r="K256" i="3"/>
  <c r="K262" i="3"/>
  <c r="F86" i="25"/>
  <c r="F36" i="24"/>
  <c r="F350" i="3"/>
  <c r="G90" i="25"/>
  <c r="G40" i="24"/>
  <c r="G25" i="20"/>
  <c r="G29" i="17"/>
  <c r="H91" i="25"/>
  <c r="H41" i="24"/>
  <c r="I94" i="25"/>
  <c r="I44" i="24"/>
  <c r="I337" i="3"/>
  <c r="H95" i="25"/>
  <c r="H45" i="24"/>
  <c r="I35" i="28"/>
  <c r="I20" i="21"/>
  <c r="I35" i="20"/>
  <c r="H35" i="28"/>
  <c r="H20" i="21"/>
  <c r="H35" i="20"/>
  <c r="F37" i="25"/>
  <c r="F36" i="19"/>
  <c r="G38" i="25"/>
  <c r="G37" i="19"/>
  <c r="E173" i="3"/>
  <c r="E176" i="3" s="1"/>
  <c r="F41" i="25"/>
  <c r="F40" i="19"/>
  <c r="F232" i="3"/>
  <c r="F39" i="23" s="1"/>
  <c r="J62" i="25"/>
  <c r="J61" i="19"/>
  <c r="L66" i="25"/>
  <c r="L64" i="19"/>
  <c r="L34" i="11"/>
  <c r="H216" i="3"/>
  <c r="E224" i="3"/>
  <c r="E31" i="23" s="1"/>
  <c r="G225" i="3"/>
  <c r="G32" i="23" s="1"/>
  <c r="H231" i="3"/>
  <c r="H38" i="23" s="1"/>
  <c r="G238" i="3"/>
  <c r="G45" i="23" s="1"/>
  <c r="F239" i="3"/>
  <c r="F46" i="23" s="1"/>
  <c r="K254" i="3"/>
  <c r="K259" i="3"/>
  <c r="L255" i="3"/>
  <c r="L84" i="25"/>
  <c r="L34" i="24"/>
  <c r="F85" i="25"/>
  <c r="F35" i="24"/>
  <c r="J94" i="25"/>
  <c r="J44" i="24"/>
  <c r="E100" i="25"/>
  <c r="E50" i="24"/>
  <c r="E340" i="3"/>
  <c r="F339" i="3"/>
  <c r="E32" i="28"/>
  <c r="E17" i="21"/>
  <c r="E32" i="20"/>
  <c r="E32" i="17"/>
  <c r="E352" i="3"/>
  <c r="I20" i="11"/>
  <c r="I45" i="11"/>
  <c r="F224" i="3"/>
  <c r="F31" i="23" s="1"/>
  <c r="F229" i="3"/>
  <c r="F36" i="23" s="1"/>
  <c r="L254" i="3"/>
  <c r="L259" i="3"/>
  <c r="M84" i="25"/>
  <c r="M34" i="24"/>
  <c r="G85" i="25"/>
  <c r="G35" i="24"/>
  <c r="G351" i="3"/>
  <c r="G340" i="3"/>
  <c r="H86" i="25"/>
  <c r="H36" i="24"/>
  <c r="H350" i="3"/>
  <c r="F100" i="25"/>
  <c r="F50" i="24"/>
  <c r="G339" i="3"/>
  <c r="H102" i="25"/>
  <c r="H52" i="24"/>
  <c r="G32" i="28"/>
  <c r="G32" i="20"/>
  <c r="G17" i="21"/>
  <c r="G32" i="17"/>
  <c r="M254" i="3"/>
  <c r="I86" i="25"/>
  <c r="I36" i="24"/>
  <c r="I350" i="3"/>
  <c r="L96" i="25"/>
  <c r="L46" i="24"/>
  <c r="H47" i="24"/>
  <c r="H97" i="25"/>
  <c r="H101" i="25"/>
  <c r="H51" i="24"/>
  <c r="D10" i="10"/>
  <c r="I102" i="25"/>
  <c r="I52" i="24"/>
  <c r="G352" i="3"/>
  <c r="G14" i="25"/>
  <c r="G13" i="19"/>
  <c r="H23" i="25"/>
  <c r="H22" i="19"/>
  <c r="I37" i="25"/>
  <c r="I36" i="19"/>
  <c r="J38" i="25"/>
  <c r="J37" i="19"/>
  <c r="H40" i="25"/>
  <c r="H39" i="19"/>
  <c r="H307" i="3"/>
  <c r="H308" i="3" s="1"/>
  <c r="I41" i="25"/>
  <c r="I40" i="19"/>
  <c r="E181" i="3"/>
  <c r="O66" i="25"/>
  <c r="O64" i="19"/>
  <c r="F19" i="23"/>
  <c r="F363" i="3"/>
  <c r="F9" i="30" s="1"/>
  <c r="B9" i="10"/>
  <c r="H214" i="3"/>
  <c r="J227" i="3"/>
  <c r="H229" i="3"/>
  <c r="H36" i="23" s="1"/>
  <c r="N253" i="3"/>
  <c r="I298" i="3"/>
  <c r="I103" i="25"/>
  <c r="I53" i="24"/>
  <c r="H14" i="25"/>
  <c r="H13" i="19"/>
  <c r="G149" i="3"/>
  <c r="I23" i="25"/>
  <c r="I22" i="19"/>
  <c r="F32" i="25"/>
  <c r="F31" i="19"/>
  <c r="I173" i="3"/>
  <c r="I176" i="3"/>
  <c r="F48" i="25"/>
  <c r="F47" i="19"/>
  <c r="J65" i="25"/>
  <c r="J63" i="19"/>
  <c r="J31" i="11"/>
  <c r="P66" i="25"/>
  <c r="P64" i="19"/>
  <c r="P34" i="11"/>
  <c r="G19" i="23"/>
  <c r="C9" i="10"/>
  <c r="G363" i="3"/>
  <c r="G9" i="30" s="1"/>
  <c r="I214" i="3"/>
  <c r="I224" i="3"/>
  <c r="I229" i="3"/>
  <c r="E44" i="23"/>
  <c r="E239" i="3"/>
  <c r="E46" i="23" s="1"/>
  <c r="N96" i="25"/>
  <c r="N46" i="24"/>
  <c r="J97" i="25"/>
  <c r="J47" i="24"/>
  <c r="H53" i="11"/>
  <c r="H373" i="3" s="1"/>
  <c r="H19" i="30" s="1"/>
  <c r="K84" i="25"/>
  <c r="K34" i="24"/>
  <c r="S84" i="25"/>
  <c r="S34" i="24"/>
  <c r="G86" i="25"/>
  <c r="G36" i="24"/>
  <c r="H94" i="25"/>
  <c r="H44" i="24"/>
  <c r="I95" i="25"/>
  <c r="I45" i="24"/>
  <c r="M96" i="25"/>
  <c r="M46" i="24"/>
  <c r="I97" i="25"/>
  <c r="I47" i="24"/>
  <c r="I28" i="20"/>
  <c r="I30" i="17"/>
  <c r="E41" i="20"/>
  <c r="E370" i="3"/>
  <c r="E16" i="30" s="1"/>
  <c r="G9" i="28"/>
  <c r="E470" i="3"/>
  <c r="G465" i="3"/>
  <c r="G15" i="28" s="1"/>
  <c r="F27" i="7"/>
  <c r="G27" i="7" s="1"/>
  <c r="F29" i="7"/>
  <c r="G29" i="7" s="1"/>
  <c r="B28" i="8"/>
  <c r="F30" i="7"/>
  <c r="G30" i="7" s="1"/>
  <c r="I33" i="28"/>
  <c r="I18" i="21"/>
  <c r="I33" i="20"/>
  <c r="I33" i="17"/>
  <c r="E413" i="3"/>
  <c r="J9" i="28"/>
  <c r="J465" i="3"/>
  <c r="J15" i="28" s="1"/>
  <c r="N84" i="25"/>
  <c r="N34" i="24"/>
  <c r="H85" i="25"/>
  <c r="H35" i="24"/>
  <c r="G89" i="25"/>
  <c r="G39" i="24"/>
  <c r="H90" i="25"/>
  <c r="H40" i="24"/>
  <c r="H25" i="20"/>
  <c r="H29" i="17"/>
  <c r="I91" i="25"/>
  <c r="I41" i="24"/>
  <c r="H96" i="25"/>
  <c r="H46" i="24"/>
  <c r="P96" i="25"/>
  <c r="P46" i="24"/>
  <c r="G100" i="25"/>
  <c r="G50" i="24"/>
  <c r="I101" i="25"/>
  <c r="I51" i="24"/>
  <c r="E10" i="10"/>
  <c r="F29" i="20"/>
  <c r="F31" i="17"/>
  <c r="B10" i="6"/>
  <c r="B15" i="6"/>
  <c r="F12" i="28"/>
  <c r="H462" i="3"/>
  <c r="H12" i="28" s="1"/>
  <c r="E14" i="28"/>
  <c r="H464" i="3"/>
  <c r="G464" i="3"/>
  <c r="O84" i="25"/>
  <c r="O34" i="24"/>
  <c r="I85" i="25"/>
  <c r="I35" i="24"/>
  <c r="H89" i="25"/>
  <c r="H39" i="24"/>
  <c r="I90" i="25"/>
  <c r="I40" i="24"/>
  <c r="I25" i="20"/>
  <c r="I29" i="17"/>
  <c r="E95" i="25"/>
  <c r="E45" i="24"/>
  <c r="I96" i="25"/>
  <c r="I46" i="24"/>
  <c r="Q96" i="25"/>
  <c r="Q46" i="24"/>
  <c r="H100" i="25"/>
  <c r="H50" i="24"/>
  <c r="J101" i="25"/>
  <c r="J51" i="24"/>
  <c r="H10" i="10"/>
  <c r="I10" i="10" s="1"/>
  <c r="G29" i="20"/>
  <c r="C11" i="10"/>
  <c r="G31" i="17"/>
  <c r="E35" i="28"/>
  <c r="E20" i="21"/>
  <c r="E35" i="20"/>
  <c r="H460" i="3"/>
  <c r="H10" i="28" s="1"/>
  <c r="J466" i="3"/>
  <c r="P84" i="25"/>
  <c r="P34" i="24"/>
  <c r="J323" i="3"/>
  <c r="I89" i="25"/>
  <c r="I39" i="24"/>
  <c r="F95" i="25"/>
  <c r="F45" i="24"/>
  <c r="J96" i="25"/>
  <c r="J46" i="24"/>
  <c r="R96" i="25"/>
  <c r="R46" i="24"/>
  <c r="H337" i="3"/>
  <c r="I100" i="25"/>
  <c r="I50" i="24"/>
  <c r="F28" i="20"/>
  <c r="F30" i="17"/>
  <c r="H29" i="20"/>
  <c r="D11" i="10"/>
  <c r="H31" i="17"/>
  <c r="I10" i="28"/>
  <c r="G460" i="3"/>
  <c r="G466" i="3" s="1"/>
  <c r="L14" i="28"/>
  <c r="I464" i="3"/>
  <c r="Q84" i="25"/>
  <c r="Q34" i="24"/>
  <c r="F94" i="25"/>
  <c r="F44" i="24"/>
  <c r="G95" i="25"/>
  <c r="G45" i="24"/>
  <c r="K96" i="25"/>
  <c r="K46" i="24"/>
  <c r="S96" i="25"/>
  <c r="S46" i="24"/>
  <c r="G28" i="20"/>
  <c r="G30" i="17"/>
  <c r="I29" i="20"/>
  <c r="I31" i="17"/>
  <c r="E11" i="10"/>
  <c r="E33" i="28"/>
  <c r="E33" i="20"/>
  <c r="E18" i="21"/>
  <c r="E33" i="17"/>
  <c r="J380" i="3"/>
  <c r="G53" i="11"/>
  <c r="G373" i="3" s="1"/>
  <c r="G19" i="30" s="1"/>
  <c r="F9" i="28"/>
  <c r="H459" i="3"/>
  <c r="E46" i="11"/>
  <c r="E53" i="11" s="1"/>
  <c r="E373" i="3" s="1"/>
  <c r="F13" i="28"/>
  <c r="H463" i="3"/>
  <c r="H13" i="28" s="1"/>
  <c r="K14" i="28"/>
  <c r="F464" i="3"/>
  <c r="J464" i="3"/>
  <c r="F39" i="11"/>
  <c r="F41" i="11" s="1"/>
  <c r="F49" i="11" s="1"/>
  <c r="F53" i="11" s="1"/>
  <c r="F373" i="3" s="1"/>
  <c r="F19" i="30" s="1"/>
  <c r="H39" i="11"/>
  <c r="H41" i="11" s="1"/>
  <c r="H49" i="11" s="1"/>
  <c r="G4" i="13"/>
  <c r="G7" i="13" s="1"/>
  <c r="C20" i="13"/>
  <c r="C23" i="13" s="1"/>
  <c r="E28" i="13"/>
  <c r="E31" i="13" s="1"/>
  <c r="G36" i="13"/>
  <c r="G39" i="13" s="1"/>
  <c r="G22" i="24" l="1"/>
  <c r="G317" i="3"/>
  <c r="G164" i="3"/>
  <c r="G46" i="25"/>
  <c r="G45" i="19"/>
  <c r="E12" i="20"/>
  <c r="E19" i="20"/>
  <c r="E19" i="30"/>
  <c r="B52" i="2"/>
  <c r="E43" i="25"/>
  <c r="E42" i="19"/>
  <c r="E177" i="3"/>
  <c r="G16" i="28"/>
  <c r="C9" i="4"/>
  <c r="E474" i="3"/>
  <c r="D37" i="12"/>
  <c r="I16" i="25"/>
  <c r="I9" i="20"/>
  <c r="I15" i="19"/>
  <c r="E8" i="10"/>
  <c r="I267" i="3"/>
  <c r="I356" i="3"/>
  <c r="I38" i="20" s="1"/>
  <c r="I158" i="3"/>
  <c r="I95" i="3"/>
  <c r="H54" i="29"/>
  <c r="B10" i="2"/>
  <c r="E45" i="2"/>
  <c r="N83" i="25"/>
  <c r="N33" i="24"/>
  <c r="N199" i="3"/>
  <c r="N336" i="3"/>
  <c r="R9" i="26"/>
  <c r="R9" i="27"/>
  <c r="R215" i="5"/>
  <c r="K15" i="23"/>
  <c r="L208" i="3"/>
  <c r="H21" i="23"/>
  <c r="H235" i="3"/>
  <c r="H240" i="3"/>
  <c r="H47" i="23" s="1"/>
  <c r="J14" i="28"/>
  <c r="B9" i="6"/>
  <c r="H14" i="28"/>
  <c r="I31" i="23"/>
  <c r="J224" i="3"/>
  <c r="F43" i="25"/>
  <c r="F42" i="19"/>
  <c r="F177" i="3"/>
  <c r="M83" i="25"/>
  <c r="M33" i="24"/>
  <c r="M336" i="3"/>
  <c r="M199" i="3"/>
  <c r="F14" i="28"/>
  <c r="E27" i="9"/>
  <c r="H9" i="28"/>
  <c r="H465" i="3"/>
  <c r="H15" i="28" s="1"/>
  <c r="H466" i="3"/>
  <c r="H467" i="3" s="1"/>
  <c r="H17" i="28" s="1"/>
  <c r="J16" i="28"/>
  <c r="B12" i="6"/>
  <c r="E469" i="3"/>
  <c r="E19" i="28" s="1"/>
  <c r="I21" i="23"/>
  <c r="I240" i="3"/>
  <c r="I47" i="23" s="1"/>
  <c r="I235" i="3"/>
  <c r="G101" i="25"/>
  <c r="G51" i="24"/>
  <c r="C10" i="10"/>
  <c r="G341" i="3"/>
  <c r="E102" i="25"/>
  <c r="E52" i="24"/>
  <c r="F32" i="28"/>
  <c r="F17" i="21"/>
  <c r="F32" i="20"/>
  <c r="F32" i="17"/>
  <c r="F352" i="3"/>
  <c r="L258" i="3"/>
  <c r="M257" i="3"/>
  <c r="J33" i="23"/>
  <c r="K226" i="3"/>
  <c r="H46" i="25"/>
  <c r="H45" i="19"/>
  <c r="K100" i="22"/>
  <c r="L112" i="3"/>
  <c r="F16" i="25"/>
  <c r="F15" i="19"/>
  <c r="F9" i="20"/>
  <c r="F356" i="3"/>
  <c r="F38" i="20" s="1"/>
  <c r="B8" i="10"/>
  <c r="F267" i="3"/>
  <c r="F158" i="3"/>
  <c r="F95" i="3"/>
  <c r="J35" i="5"/>
  <c r="I35" i="5"/>
  <c r="H44" i="29"/>
  <c r="E44" i="2"/>
  <c r="H41" i="29"/>
  <c r="E43" i="2"/>
  <c r="P83" i="25"/>
  <c r="P33" i="24"/>
  <c r="P336" i="3"/>
  <c r="P199" i="3"/>
  <c r="Q9" i="27"/>
  <c r="Q9" i="26"/>
  <c r="Q215" i="5"/>
  <c r="J18" i="23"/>
  <c r="K211" i="3"/>
  <c r="G43" i="25"/>
  <c r="G42" i="19"/>
  <c r="G177" i="3"/>
  <c r="E39" i="28"/>
  <c r="E23" i="21"/>
  <c r="E414" i="3"/>
  <c r="I36" i="23"/>
  <c r="E23" i="23"/>
  <c r="E298" i="3"/>
  <c r="G33" i="28"/>
  <c r="G18" i="21"/>
  <c r="G33" i="20"/>
  <c r="G33" i="17"/>
  <c r="G353" i="3"/>
  <c r="E15" i="22"/>
  <c r="E14" i="21"/>
  <c r="E10" i="17"/>
  <c r="B20" i="7"/>
  <c r="E34" i="3"/>
  <c r="H25" i="25"/>
  <c r="H24" i="19"/>
  <c r="H36" i="20"/>
  <c r="I14" i="28"/>
  <c r="C27" i="9"/>
  <c r="D27" i="9" s="1"/>
  <c r="F27" i="9" s="1"/>
  <c r="I46" i="11"/>
  <c r="I53" i="11" s="1"/>
  <c r="I373" i="3" s="1"/>
  <c r="I19" i="30" s="1"/>
  <c r="I39" i="11"/>
  <c r="I41" i="11" s="1"/>
  <c r="I49" i="11" s="1"/>
  <c r="L256" i="3"/>
  <c r="L262" i="3"/>
  <c r="M255" i="3"/>
  <c r="H23" i="23"/>
  <c r="H298" i="3"/>
  <c r="G36" i="20"/>
  <c r="F12" i="25"/>
  <c r="F8" i="20"/>
  <c r="F11" i="19"/>
  <c r="F269" i="3"/>
  <c r="F14" i="20" s="1"/>
  <c r="F160" i="3"/>
  <c r="F159" i="3"/>
  <c r="F150" i="3"/>
  <c r="F157" i="3"/>
  <c r="F178" i="3"/>
  <c r="G308" i="3"/>
  <c r="E25" i="25"/>
  <c r="E24" i="19"/>
  <c r="E32" i="25"/>
  <c r="E31" i="19"/>
  <c r="H19" i="20"/>
  <c r="H12" i="20"/>
  <c r="Q83" i="25"/>
  <c r="Q33" i="24"/>
  <c r="Q336" i="3"/>
  <c r="Q199" i="3"/>
  <c r="J16" i="23"/>
  <c r="K209" i="3"/>
  <c r="L9" i="27"/>
  <c r="L9" i="26"/>
  <c r="L215" i="5"/>
  <c r="J9" i="27"/>
  <c r="J9" i="26"/>
  <c r="E215" i="5"/>
  <c r="I215" i="5"/>
  <c r="H215" i="5"/>
  <c r="G215" i="5"/>
  <c r="F215" i="5"/>
  <c r="J215" i="5"/>
  <c r="J377" i="3"/>
  <c r="G14" i="28"/>
  <c r="G467" i="3"/>
  <c r="G17" i="28" s="1"/>
  <c r="I43" i="25"/>
  <c r="I42" i="19"/>
  <c r="I177" i="3"/>
  <c r="G102" i="25"/>
  <c r="G52" i="24"/>
  <c r="F101" i="25"/>
  <c r="F51" i="24"/>
  <c r="B10" i="10"/>
  <c r="F341" i="3"/>
  <c r="E20" i="28"/>
  <c r="E472" i="3"/>
  <c r="I18" i="24"/>
  <c r="I20" i="20"/>
  <c r="I166" i="3"/>
  <c r="E34" i="28"/>
  <c r="E19" i="21"/>
  <c r="E34" i="20"/>
  <c r="K171" i="3"/>
  <c r="K195" i="3"/>
  <c r="E40" i="25"/>
  <c r="E39" i="19"/>
  <c r="E307" i="3"/>
  <c r="F308" i="3" s="1"/>
  <c r="E179" i="3"/>
  <c r="J83" i="25"/>
  <c r="J33" i="24"/>
  <c r="J325" i="3"/>
  <c r="J336" i="3"/>
  <c r="J199" i="3"/>
  <c r="K9" i="27"/>
  <c r="K9" i="26"/>
  <c r="K215" i="5"/>
  <c r="S9" i="27"/>
  <c r="S9" i="26"/>
  <c r="C4" i="9"/>
  <c r="C35" i="6"/>
  <c r="D30" i="6"/>
  <c r="A17" i="4"/>
  <c r="D34" i="6"/>
  <c r="C31" i="6"/>
  <c r="A15" i="4"/>
  <c r="S215" i="5"/>
  <c r="D33" i="6"/>
  <c r="D31" i="6"/>
  <c r="D35" i="6"/>
  <c r="C33" i="6"/>
  <c r="A18" i="4"/>
  <c r="A16" i="4"/>
  <c r="C34" i="6"/>
  <c r="A14" i="4"/>
  <c r="B6" i="6"/>
  <c r="E382" i="3"/>
  <c r="D32" i="6"/>
  <c r="C32" i="6"/>
  <c r="C30" i="6"/>
  <c r="C17" i="2"/>
  <c r="G12" i="25"/>
  <c r="G8" i="20"/>
  <c r="G11" i="19"/>
  <c r="G150" i="3"/>
  <c r="G269" i="3"/>
  <c r="G14" i="20" s="1"/>
  <c r="G178" i="3"/>
  <c r="G157" i="3"/>
  <c r="G159" i="3"/>
  <c r="G160" i="3"/>
  <c r="F35" i="28"/>
  <c r="F20" i="21"/>
  <c r="F35" i="20"/>
  <c r="G10" i="28"/>
  <c r="E471" i="3"/>
  <c r="E21" i="28" s="1"/>
  <c r="C15" i="6"/>
  <c r="O253" i="3"/>
  <c r="N254" i="3"/>
  <c r="G34" i="28"/>
  <c r="G19" i="21"/>
  <c r="G34" i="20"/>
  <c r="H32" i="28"/>
  <c r="H17" i="21"/>
  <c r="H32" i="20"/>
  <c r="H32" i="17"/>
  <c r="H352" i="3"/>
  <c r="K260" i="3"/>
  <c r="F90" i="25"/>
  <c r="F40" i="24"/>
  <c r="F25" i="20"/>
  <c r="F29" i="17"/>
  <c r="F23" i="23"/>
  <c r="F298" i="3"/>
  <c r="E91" i="25"/>
  <c r="E41" i="24"/>
  <c r="H33" i="29"/>
  <c r="H83" i="22"/>
  <c r="F36" i="20"/>
  <c r="J17" i="23"/>
  <c r="K210" i="3"/>
  <c r="G42" i="23"/>
  <c r="G241" i="3"/>
  <c r="G48" i="23" s="1"/>
  <c r="G249" i="3"/>
  <c r="G80" i="3"/>
  <c r="G68" i="22" s="1"/>
  <c r="I12" i="25"/>
  <c r="I8" i="20"/>
  <c r="I11" i="19"/>
  <c r="E4" i="5"/>
  <c r="I269" i="3"/>
  <c r="I14" i="20" s="1"/>
  <c r="I159" i="3"/>
  <c r="I160" i="3"/>
  <c r="I157" i="3"/>
  <c r="I150" i="3"/>
  <c r="I178" i="3"/>
  <c r="R83" i="25"/>
  <c r="R33" i="24"/>
  <c r="R336" i="3"/>
  <c r="R199" i="3"/>
  <c r="M9" i="27"/>
  <c r="M9" i="26"/>
  <c r="M215" i="5"/>
  <c r="F42" i="23"/>
  <c r="F241" i="3"/>
  <c r="F48" i="23" s="1"/>
  <c r="F249" i="3"/>
  <c r="F80" i="3"/>
  <c r="F68" i="22" s="1"/>
  <c r="G18" i="24"/>
  <c r="G20" i="20"/>
  <c r="G166" i="3"/>
  <c r="H300" i="3"/>
  <c r="H99" i="25"/>
  <c r="H49" i="24"/>
  <c r="H364" i="3"/>
  <c r="H10" i="30" s="1"/>
  <c r="C10" i="6"/>
  <c r="G16" i="25"/>
  <c r="G9" i="20"/>
  <c r="C8" i="10"/>
  <c r="G356" i="3"/>
  <c r="G38" i="20" s="1"/>
  <c r="G15" i="19"/>
  <c r="G267" i="3"/>
  <c r="G95" i="3"/>
  <c r="G158" i="3"/>
  <c r="L171" i="3"/>
  <c r="L195" i="3"/>
  <c r="F91" i="25"/>
  <c r="F41" i="24"/>
  <c r="I302" i="3"/>
  <c r="E90" i="25"/>
  <c r="E40" i="24"/>
  <c r="E25" i="20"/>
  <c r="E29" i="17"/>
  <c r="K11" i="25"/>
  <c r="K10" i="19"/>
  <c r="K8" i="11"/>
  <c r="L144" i="3"/>
  <c r="O83" i="25"/>
  <c r="O33" i="24"/>
  <c r="O336" i="3"/>
  <c r="O199" i="3"/>
  <c r="K83" i="25"/>
  <c r="K33" i="24"/>
  <c r="K336" i="3"/>
  <c r="K199" i="3"/>
  <c r="N9" i="26"/>
  <c r="N9" i="27"/>
  <c r="N215" i="5"/>
  <c r="O9" i="27"/>
  <c r="O9" i="26"/>
  <c r="O215" i="5"/>
  <c r="I40" i="25"/>
  <c r="I39" i="19"/>
  <c r="I307" i="3"/>
  <c r="I308" i="3" s="1"/>
  <c r="I179" i="3"/>
  <c r="I99" i="25"/>
  <c r="I49" i="24"/>
  <c r="I364" i="3"/>
  <c r="I10" i="30" s="1"/>
  <c r="J12" i="26"/>
  <c r="J381" i="3"/>
  <c r="J13" i="26" s="1"/>
  <c r="J85" i="25"/>
  <c r="J35" i="24"/>
  <c r="K323" i="3"/>
  <c r="J324" i="3"/>
  <c r="J341" i="3"/>
  <c r="J34" i="23"/>
  <c r="K227" i="3"/>
  <c r="E48" i="25"/>
  <c r="E47" i="19"/>
  <c r="I32" i="28"/>
  <c r="I32" i="20"/>
  <c r="I17" i="21"/>
  <c r="I32" i="17"/>
  <c r="I352" i="3"/>
  <c r="L260" i="3"/>
  <c r="E12" i="25"/>
  <c r="E8" i="20"/>
  <c r="E11" i="19"/>
  <c r="E159" i="3"/>
  <c r="E160" i="3"/>
  <c r="E178" i="3"/>
  <c r="E95" i="3"/>
  <c r="E150" i="3"/>
  <c r="F179" i="3"/>
  <c r="J212" i="3"/>
  <c r="K207" i="3"/>
  <c r="I36" i="20"/>
  <c r="H55" i="29"/>
  <c r="E46" i="2"/>
  <c r="H12" i="25"/>
  <c r="H8" i="20"/>
  <c r="H11" i="19"/>
  <c r="H150" i="3"/>
  <c r="H269" i="3"/>
  <c r="H14" i="20" s="1"/>
  <c r="H160" i="3"/>
  <c r="H157" i="3"/>
  <c r="H178" i="3"/>
  <c r="H159" i="3"/>
  <c r="L83" i="25"/>
  <c r="L33" i="24"/>
  <c r="L336" i="3"/>
  <c r="L199" i="3"/>
  <c r="S83" i="25"/>
  <c r="S33" i="24"/>
  <c r="S336" i="3"/>
  <c r="S199" i="3"/>
  <c r="P9" i="26"/>
  <c r="P9" i="27"/>
  <c r="P215" i="5"/>
  <c r="B22" i="7"/>
  <c r="B23" i="7" s="1"/>
  <c r="B21" i="7"/>
  <c r="H43" i="25"/>
  <c r="H42" i="19"/>
  <c r="H177" i="3"/>
  <c r="J19" i="23" l="1"/>
  <c r="J215" i="3"/>
  <c r="J22" i="23" s="1"/>
  <c r="J165" i="3"/>
  <c r="J222" i="3"/>
  <c r="J214" i="3"/>
  <c r="C22" i="2"/>
  <c r="J216" i="3"/>
  <c r="G25" i="25"/>
  <c r="G24" i="19"/>
  <c r="I44" i="25"/>
  <c r="I43" i="19"/>
  <c r="I362" i="3"/>
  <c r="I8" i="30" s="1"/>
  <c r="F17" i="25"/>
  <c r="F10" i="20"/>
  <c r="F16" i="19"/>
  <c r="F152" i="3"/>
  <c r="I33" i="29"/>
  <c r="I83" i="22"/>
  <c r="B25" i="2"/>
  <c r="H44" i="25"/>
  <c r="H43" i="19"/>
  <c r="H362" i="3"/>
  <c r="H8" i="30" s="1"/>
  <c r="S67" i="25"/>
  <c r="S65" i="19"/>
  <c r="S32" i="11"/>
  <c r="H26" i="25"/>
  <c r="H25" i="19"/>
  <c r="E17" i="25"/>
  <c r="E10" i="20"/>
  <c r="E16" i="19"/>
  <c r="E152" i="3"/>
  <c r="K34" i="23"/>
  <c r="L227" i="3"/>
  <c r="G12" i="20"/>
  <c r="G19" i="20"/>
  <c r="K17" i="23"/>
  <c r="L210" i="3"/>
  <c r="F18" i="24"/>
  <c r="F20" i="20"/>
  <c r="F166" i="3"/>
  <c r="G300" i="3"/>
  <c r="F302" i="3"/>
  <c r="G27" i="25"/>
  <c r="G26" i="19"/>
  <c r="F103" i="25"/>
  <c r="F53" i="24"/>
  <c r="K16" i="23"/>
  <c r="L209" i="3"/>
  <c r="F26" i="25"/>
  <c r="F25" i="19"/>
  <c r="H18" i="24"/>
  <c r="H20" i="20"/>
  <c r="I300" i="3"/>
  <c r="H166" i="3"/>
  <c r="H302" i="3"/>
  <c r="P98" i="25"/>
  <c r="P48" i="24"/>
  <c r="N257" i="3"/>
  <c r="M258" i="3"/>
  <c r="N98" i="25"/>
  <c r="N48" i="24"/>
  <c r="I25" i="25"/>
  <c r="I24" i="19"/>
  <c r="J158" i="3"/>
  <c r="E24" i="28"/>
  <c r="G165" i="5"/>
  <c r="E165" i="5"/>
  <c r="K67" i="25"/>
  <c r="K65" i="19"/>
  <c r="K32" i="11"/>
  <c r="R98" i="25"/>
  <c r="R48" i="24"/>
  <c r="F46" i="25"/>
  <c r="F45" i="19"/>
  <c r="K98" i="25"/>
  <c r="K48" i="24"/>
  <c r="L11" i="25"/>
  <c r="L10" i="19"/>
  <c r="L8" i="11"/>
  <c r="M144" i="3"/>
  <c r="G33" i="29"/>
  <c r="G83" i="22"/>
  <c r="J4" i="5"/>
  <c r="I4" i="5"/>
  <c r="H34" i="28"/>
  <c r="H19" i="21"/>
  <c r="H34" i="20"/>
  <c r="E18" i="24"/>
  <c r="E20" i="20"/>
  <c r="F300" i="3"/>
  <c r="E166" i="3"/>
  <c r="E302" i="3"/>
  <c r="G44" i="25"/>
  <c r="G43" i="19"/>
  <c r="G362" i="3"/>
  <c r="G8" i="30" s="1"/>
  <c r="P67" i="25"/>
  <c r="P65" i="19"/>
  <c r="P32" i="11"/>
  <c r="I42" i="23"/>
  <c r="I241" i="3"/>
  <c r="I48" i="23" s="1"/>
  <c r="I249" i="3"/>
  <c r="J235" i="3"/>
  <c r="I80" i="3"/>
  <c r="I68" i="22" s="1"/>
  <c r="F44" i="25"/>
  <c r="F43" i="19"/>
  <c r="F362" i="3"/>
  <c r="F8" i="30" s="1"/>
  <c r="S98" i="25"/>
  <c r="S48" i="24"/>
  <c r="H45" i="25"/>
  <c r="H44" i="19"/>
  <c r="E33" i="29"/>
  <c r="E83" i="22"/>
  <c r="I34" i="28"/>
  <c r="I34" i="20"/>
  <c r="I19" i="21"/>
  <c r="I22" i="24"/>
  <c r="I317" i="3"/>
  <c r="I164" i="3"/>
  <c r="I45" i="25"/>
  <c r="I44" i="19"/>
  <c r="J178" i="3"/>
  <c r="P253" i="3"/>
  <c r="O254" i="3"/>
  <c r="G26" i="25"/>
  <c r="G25" i="19"/>
  <c r="E46" i="25"/>
  <c r="E45" i="19"/>
  <c r="F27" i="25"/>
  <c r="F26" i="19"/>
  <c r="F33" i="29"/>
  <c r="F83" i="22"/>
  <c r="L100" i="22"/>
  <c r="M112" i="3"/>
  <c r="H42" i="23"/>
  <c r="H241" i="3"/>
  <c r="H48" i="23" s="1"/>
  <c r="H249" i="3"/>
  <c r="H80" i="3"/>
  <c r="H68" i="22" s="1"/>
  <c r="N67" i="25"/>
  <c r="N65" i="19"/>
  <c r="N32" i="11"/>
  <c r="E45" i="25"/>
  <c r="E44" i="19"/>
  <c r="I33" i="25"/>
  <c r="I32" i="19"/>
  <c r="Q67" i="25"/>
  <c r="Q65" i="19"/>
  <c r="Q32" i="11"/>
  <c r="M262" i="3"/>
  <c r="N255" i="3"/>
  <c r="M256" i="3"/>
  <c r="M260" i="3" s="1"/>
  <c r="M259" i="3"/>
  <c r="K18" i="23"/>
  <c r="L211" i="3"/>
  <c r="F25" i="25"/>
  <c r="F24" i="19"/>
  <c r="J31" i="23"/>
  <c r="K224" i="3"/>
  <c r="H27" i="25"/>
  <c r="H26" i="19"/>
  <c r="E27" i="25"/>
  <c r="E26" i="19"/>
  <c r="J86" i="25"/>
  <c r="J36" i="24"/>
  <c r="O98" i="25"/>
  <c r="O48" i="24"/>
  <c r="G33" i="25"/>
  <c r="G32" i="19"/>
  <c r="G45" i="25"/>
  <c r="G44" i="19"/>
  <c r="Q98" i="25"/>
  <c r="Q48" i="24"/>
  <c r="F12" i="20"/>
  <c r="F19" i="20"/>
  <c r="M67" i="25"/>
  <c r="M65" i="19"/>
  <c r="M32" i="11"/>
  <c r="L15" i="23"/>
  <c r="M208" i="3"/>
  <c r="E44" i="25"/>
  <c r="E362" i="3"/>
  <c r="E8" i="30" s="1"/>
  <c r="E43" i="19"/>
  <c r="J103" i="25"/>
  <c r="J53" i="24"/>
  <c r="O67" i="25"/>
  <c r="O65" i="19"/>
  <c r="O32" i="11"/>
  <c r="H20" i="24"/>
  <c r="H301" i="3"/>
  <c r="I17" i="25"/>
  <c r="I10" i="20"/>
  <c r="I16" i="19"/>
  <c r="I152" i="3"/>
  <c r="G35" i="28"/>
  <c r="G35" i="20"/>
  <c r="G20" i="21"/>
  <c r="F34" i="28"/>
  <c r="F34" i="20"/>
  <c r="F19" i="21"/>
  <c r="G103" i="25"/>
  <c r="G53" i="24"/>
  <c r="I19" i="20"/>
  <c r="I12" i="20"/>
  <c r="L67" i="25"/>
  <c r="L65" i="19"/>
  <c r="L32" i="11"/>
  <c r="K85" i="25"/>
  <c r="K35" i="24"/>
  <c r="K324" i="3"/>
  <c r="L323" i="3"/>
  <c r="I27" i="25"/>
  <c r="I26" i="19"/>
  <c r="J67" i="25"/>
  <c r="J65" i="19"/>
  <c r="J32" i="11"/>
  <c r="J8" i="27"/>
  <c r="J8" i="26"/>
  <c r="K377" i="3"/>
  <c r="E24" i="21"/>
  <c r="B7" i="6"/>
  <c r="C7" i="6" s="1"/>
  <c r="B39" i="2"/>
  <c r="C12" i="6"/>
  <c r="M98" i="25"/>
  <c r="M48" i="24"/>
  <c r="G31" i="25"/>
  <c r="G30" i="19"/>
  <c r="G180" i="3"/>
  <c r="G244" i="3"/>
  <c r="E26" i="25"/>
  <c r="E25" i="19"/>
  <c r="I46" i="25"/>
  <c r="I45" i="19"/>
  <c r="J179" i="3"/>
  <c r="L62" i="25"/>
  <c r="L61" i="19"/>
  <c r="L33" i="11"/>
  <c r="L98" i="25"/>
  <c r="L48" i="24"/>
  <c r="H17" i="25"/>
  <c r="H10" i="20"/>
  <c r="H16" i="19"/>
  <c r="H152" i="3"/>
  <c r="K212" i="3"/>
  <c r="L207" i="3"/>
  <c r="L38" i="25"/>
  <c r="L37" i="19"/>
  <c r="R67" i="25"/>
  <c r="R65" i="19"/>
  <c r="R32" i="11"/>
  <c r="I26" i="25"/>
  <c r="I25" i="19"/>
  <c r="J159" i="3"/>
  <c r="G17" i="25"/>
  <c r="G10" i="20"/>
  <c r="G16" i="19"/>
  <c r="G152" i="3"/>
  <c r="E14" i="26"/>
  <c r="B7" i="9"/>
  <c r="B8" i="9"/>
  <c r="E415" i="3"/>
  <c r="C18" i="2"/>
  <c r="E383" i="3"/>
  <c r="J98" i="25"/>
  <c r="J48" i="24"/>
  <c r="K62" i="25"/>
  <c r="K61" i="19"/>
  <c r="K33" i="11"/>
  <c r="F45" i="25"/>
  <c r="F44" i="19"/>
  <c r="E15" i="21"/>
  <c r="E21" i="22"/>
  <c r="E11" i="17"/>
  <c r="B4" i="9"/>
  <c r="B17" i="2"/>
  <c r="K33" i="23"/>
  <c r="L226" i="3"/>
  <c r="G79" i="25"/>
  <c r="G29" i="24"/>
  <c r="G318" i="3"/>
  <c r="D19" i="6"/>
  <c r="C6" i="6"/>
  <c r="C19" i="6"/>
  <c r="B19" i="6"/>
  <c r="C8" i="6"/>
  <c r="C13" i="6"/>
  <c r="J87" i="25"/>
  <c r="J37" i="24"/>
  <c r="K325" i="3"/>
  <c r="J326" i="3"/>
  <c r="K38" i="25"/>
  <c r="K37" i="19"/>
  <c r="E22" i="28"/>
  <c r="E473" i="3"/>
  <c r="H16" i="28"/>
  <c r="E480" i="3"/>
  <c r="E30" i="28" s="1"/>
  <c r="C9" i="6"/>
  <c r="C21" i="6" l="1"/>
  <c r="C20" i="6"/>
  <c r="K19" i="23"/>
  <c r="K215" i="3"/>
  <c r="K22" i="23" s="1"/>
  <c r="K222" i="3"/>
  <c r="K214" i="3"/>
  <c r="K165" i="3"/>
  <c r="K216" i="3"/>
  <c r="G47" i="25"/>
  <c r="G46" i="19"/>
  <c r="M15" i="23"/>
  <c r="N208" i="3"/>
  <c r="J25" i="25"/>
  <c r="J24" i="19"/>
  <c r="K158" i="3"/>
  <c r="J29" i="23"/>
  <c r="J219" i="3"/>
  <c r="J174" i="3"/>
  <c r="J225" i="3"/>
  <c r="J32" i="23" s="1"/>
  <c r="J221" i="3"/>
  <c r="J220" i="3"/>
  <c r="J27" i="23" s="1"/>
  <c r="J194" i="3"/>
  <c r="K87" i="25"/>
  <c r="K37" i="24"/>
  <c r="K326" i="3"/>
  <c r="L325" i="3"/>
  <c r="B9" i="9"/>
  <c r="H19" i="25"/>
  <c r="H18" i="19"/>
  <c r="H153" i="3"/>
  <c r="K8" i="27"/>
  <c r="K8" i="26"/>
  <c r="L377" i="3"/>
  <c r="L85" i="25"/>
  <c r="L35" i="24"/>
  <c r="L324" i="3"/>
  <c r="M323" i="3"/>
  <c r="L18" i="23"/>
  <c r="M211" i="3"/>
  <c r="E33" i="25"/>
  <c r="E32" i="19"/>
  <c r="F22" i="24"/>
  <c r="F317" i="3"/>
  <c r="F164" i="3"/>
  <c r="J32" i="25"/>
  <c r="J31" i="19"/>
  <c r="I79" i="25"/>
  <c r="I29" i="24"/>
  <c r="I318" i="3"/>
  <c r="D20" i="6"/>
  <c r="D21" i="6"/>
  <c r="J46" i="25"/>
  <c r="J45" i="19"/>
  <c r="K179" i="3"/>
  <c r="K86" i="25"/>
  <c r="K36" i="24"/>
  <c r="I19" i="25"/>
  <c r="I18" i="19"/>
  <c r="I153" i="3"/>
  <c r="Q253" i="3"/>
  <c r="P254" i="3"/>
  <c r="F20" i="24"/>
  <c r="F301" i="3"/>
  <c r="L16" i="23"/>
  <c r="M209" i="3"/>
  <c r="G20" i="24"/>
  <c r="G301" i="3"/>
  <c r="L34" i="23"/>
  <c r="M227" i="3"/>
  <c r="J231" i="3"/>
  <c r="J38" i="23" s="1"/>
  <c r="J26" i="25"/>
  <c r="J25" i="19"/>
  <c r="K159" i="3"/>
  <c r="E22" i="24"/>
  <c r="E317" i="3"/>
  <c r="E164" i="3"/>
  <c r="G80" i="25"/>
  <c r="G30" i="24"/>
  <c r="G19" i="25"/>
  <c r="G18" i="19"/>
  <c r="G153" i="3"/>
  <c r="M195" i="3"/>
  <c r="M171" i="3"/>
  <c r="J45" i="25"/>
  <c r="J44" i="19"/>
  <c r="K178" i="3"/>
  <c r="H22" i="24"/>
  <c r="H317" i="3"/>
  <c r="H164" i="3"/>
  <c r="F33" i="25"/>
  <c r="F32" i="19"/>
  <c r="F19" i="25"/>
  <c r="F18" i="19"/>
  <c r="F153" i="3"/>
  <c r="M207" i="3"/>
  <c r="L212" i="3"/>
  <c r="J88" i="25"/>
  <c r="J38" i="24"/>
  <c r="E23" i="28"/>
  <c r="G164" i="5"/>
  <c r="F164" i="5" s="1"/>
  <c r="E164" i="5"/>
  <c r="E411" i="3"/>
  <c r="H33" i="25"/>
  <c r="H32" i="19"/>
  <c r="E19" i="25"/>
  <c r="E18" i="19"/>
  <c r="E153" i="3"/>
  <c r="J23" i="23"/>
  <c r="J298" i="3"/>
  <c r="G51" i="23"/>
  <c r="E15" i="26"/>
  <c r="B12" i="9"/>
  <c r="G13" i="9" s="1"/>
  <c r="K31" i="23"/>
  <c r="L224" i="3"/>
  <c r="O255" i="3"/>
  <c r="N256" i="3"/>
  <c r="N260" i="3" s="1"/>
  <c r="N262" i="3"/>
  <c r="N259" i="3"/>
  <c r="M11" i="25"/>
  <c r="M10" i="19"/>
  <c r="M8" i="11"/>
  <c r="N144" i="3"/>
  <c r="I20" i="24"/>
  <c r="I301" i="3"/>
  <c r="E40" i="28"/>
  <c r="E25" i="21"/>
  <c r="B21" i="6"/>
  <c r="B20" i="6"/>
  <c r="L33" i="23"/>
  <c r="M226" i="3"/>
  <c r="H21" i="24"/>
  <c r="H21" i="20"/>
  <c r="M100" i="22"/>
  <c r="N112" i="3"/>
  <c r="I31" i="25"/>
  <c r="I30" i="19"/>
  <c r="I180" i="3"/>
  <c r="I244" i="3"/>
  <c r="J42" i="23"/>
  <c r="K235" i="3"/>
  <c r="J241" i="3"/>
  <c r="J48" i="23" s="1"/>
  <c r="J141" i="3"/>
  <c r="F165" i="5"/>
  <c r="O257" i="3"/>
  <c r="N258" i="3"/>
  <c r="L17" i="23"/>
  <c r="M210" i="3"/>
  <c r="J21" i="23"/>
  <c r="J240" i="3"/>
  <c r="J47" i="23" s="1"/>
  <c r="J151" i="3"/>
  <c r="K88" i="25" l="1"/>
  <c r="K38" i="24"/>
  <c r="M38" i="25"/>
  <c r="M37" i="19"/>
  <c r="E79" i="25"/>
  <c r="E29" i="24"/>
  <c r="E318" i="3"/>
  <c r="J26" i="23"/>
  <c r="J223" i="3"/>
  <c r="J30" i="23" s="1"/>
  <c r="K29" i="23"/>
  <c r="K225" i="3"/>
  <c r="K32" i="23" s="1"/>
  <c r="K221" i="3"/>
  <c r="K220" i="3"/>
  <c r="K27" i="23" s="1"/>
  <c r="K194" i="3"/>
  <c r="K219" i="3"/>
  <c r="K174" i="3"/>
  <c r="K170" i="3" s="1"/>
  <c r="I21" i="24"/>
  <c r="I21" i="20"/>
  <c r="H31" i="25"/>
  <c r="H30" i="19"/>
  <c r="H180" i="3"/>
  <c r="H244" i="3"/>
  <c r="M62" i="25"/>
  <c r="M61" i="19"/>
  <c r="M33" i="11"/>
  <c r="G21" i="24"/>
  <c r="G21" i="20"/>
  <c r="R253" i="3"/>
  <c r="Q254" i="3"/>
  <c r="M18" i="23"/>
  <c r="N211" i="3"/>
  <c r="K231" i="3"/>
  <c r="K38" i="23" s="1"/>
  <c r="L31" i="23"/>
  <c r="M224" i="3"/>
  <c r="E20" i="25"/>
  <c r="E11" i="20"/>
  <c r="E19" i="19"/>
  <c r="E25" i="17"/>
  <c r="E311" i="3"/>
  <c r="E155" i="3"/>
  <c r="M34" i="23"/>
  <c r="N227" i="3"/>
  <c r="L8" i="27"/>
  <c r="L8" i="26"/>
  <c r="M377" i="3"/>
  <c r="I51" i="23"/>
  <c r="N195" i="3"/>
  <c r="N171" i="3"/>
  <c r="L19" i="23"/>
  <c r="L231" i="3"/>
  <c r="L38" i="23" s="1"/>
  <c r="L222" i="3"/>
  <c r="L214" i="3"/>
  <c r="L215" i="3"/>
  <c r="L22" i="23" s="1"/>
  <c r="L165" i="3"/>
  <c r="D22" i="2"/>
  <c r="L216" i="3"/>
  <c r="H79" i="25"/>
  <c r="H29" i="24"/>
  <c r="H318" i="3"/>
  <c r="G20" i="25"/>
  <c r="G11" i="20"/>
  <c r="G19" i="19"/>
  <c r="G25" i="17"/>
  <c r="G358" i="3"/>
  <c r="G311" i="3"/>
  <c r="G155" i="3"/>
  <c r="K26" i="25"/>
  <c r="K25" i="19"/>
  <c r="L159" i="3"/>
  <c r="I20" i="25"/>
  <c r="I11" i="20"/>
  <c r="I19" i="19"/>
  <c r="I25" i="17"/>
  <c r="I311" i="3"/>
  <c r="I358" i="3"/>
  <c r="I155" i="3"/>
  <c r="F31" i="25"/>
  <c r="F30" i="19"/>
  <c r="F244" i="3"/>
  <c r="F180" i="3"/>
  <c r="H20" i="25"/>
  <c r="H11" i="20"/>
  <c r="H19" i="19"/>
  <c r="H25" i="17"/>
  <c r="H311" i="3"/>
  <c r="H358" i="3"/>
  <c r="H155" i="3"/>
  <c r="J61" i="25"/>
  <c r="J60" i="19"/>
  <c r="J18" i="11"/>
  <c r="J41" i="25"/>
  <c r="J40" i="19"/>
  <c r="J232" i="3"/>
  <c r="J39" i="23" s="1"/>
  <c r="K46" i="25"/>
  <c r="K45" i="19"/>
  <c r="L179" i="3"/>
  <c r="M33" i="23"/>
  <c r="N226" i="3"/>
  <c r="P257" i="3"/>
  <c r="O258" i="3"/>
  <c r="I47" i="25"/>
  <c r="I46" i="19"/>
  <c r="J180" i="3"/>
  <c r="N11" i="25"/>
  <c r="N10" i="19"/>
  <c r="N8" i="11"/>
  <c r="O144" i="3"/>
  <c r="N207" i="3"/>
  <c r="M212" i="3"/>
  <c r="M16" i="23"/>
  <c r="N209" i="3"/>
  <c r="F79" i="25"/>
  <c r="F29" i="24"/>
  <c r="F318" i="3"/>
  <c r="M85" i="25"/>
  <c r="M35" i="24"/>
  <c r="M324" i="3"/>
  <c r="N323" i="3"/>
  <c r="K25" i="25"/>
  <c r="K24" i="19"/>
  <c r="L158" i="3"/>
  <c r="K23" i="23"/>
  <c r="K298" i="3"/>
  <c r="K42" i="23"/>
  <c r="K241" i="3"/>
  <c r="K48" i="23" s="1"/>
  <c r="L235" i="3"/>
  <c r="K141" i="3"/>
  <c r="J28" i="23"/>
  <c r="J228" i="3"/>
  <c r="K32" i="25"/>
  <c r="K31" i="19"/>
  <c r="E31" i="25"/>
  <c r="E30" i="19"/>
  <c r="E180" i="3"/>
  <c r="E244" i="3"/>
  <c r="E51" i="23" s="1"/>
  <c r="N15" i="23"/>
  <c r="O208" i="3"/>
  <c r="M17" i="23"/>
  <c r="N210" i="3"/>
  <c r="E38" i="28"/>
  <c r="E23" i="17"/>
  <c r="C7" i="2"/>
  <c r="C37" i="2"/>
  <c r="F20" i="25"/>
  <c r="F11" i="20"/>
  <c r="F19" i="19"/>
  <c r="F25" i="17"/>
  <c r="F358" i="3"/>
  <c r="F311" i="3"/>
  <c r="F155" i="3"/>
  <c r="L86" i="25"/>
  <c r="L36" i="24"/>
  <c r="J18" i="25"/>
  <c r="J17" i="19"/>
  <c r="J299" i="3"/>
  <c r="J19" i="24" s="1"/>
  <c r="H9" i="10"/>
  <c r="I9" i="10" s="1"/>
  <c r="J186" i="3"/>
  <c r="J300" i="3"/>
  <c r="J8" i="25"/>
  <c r="J7" i="19"/>
  <c r="J5" i="11"/>
  <c r="J237" i="3"/>
  <c r="P255" i="3"/>
  <c r="O262" i="3"/>
  <c r="O256" i="3"/>
  <c r="O260" i="3" s="1"/>
  <c r="O259" i="3"/>
  <c r="J18" i="24"/>
  <c r="J20" i="20"/>
  <c r="J166" i="3"/>
  <c r="J302" i="3"/>
  <c r="K45" i="25"/>
  <c r="K44" i="19"/>
  <c r="L178" i="3"/>
  <c r="F21" i="24"/>
  <c r="F21" i="20"/>
  <c r="I80" i="25"/>
  <c r="I30" i="24"/>
  <c r="J318" i="3"/>
  <c r="N100" i="22"/>
  <c r="O112" i="3"/>
  <c r="L87" i="25"/>
  <c r="L37" i="24"/>
  <c r="M325" i="3"/>
  <c r="L326" i="3"/>
  <c r="J170" i="3"/>
  <c r="K21" i="23"/>
  <c r="K240" i="3"/>
  <c r="K47" i="23" s="1"/>
  <c r="K151" i="3"/>
  <c r="K300" i="3" s="1"/>
  <c r="K20" i="24" l="1"/>
  <c r="K301" i="3"/>
  <c r="K368" i="3"/>
  <c r="K14" i="30" s="1"/>
  <c r="K190" i="3"/>
  <c r="K37" i="25"/>
  <c r="K36" i="19"/>
  <c r="K8" i="25"/>
  <c r="K7" i="19"/>
  <c r="K5" i="11"/>
  <c r="K237" i="3"/>
  <c r="E47" i="25"/>
  <c r="E46" i="19"/>
  <c r="H22" i="25"/>
  <c r="H21" i="19"/>
  <c r="G40" i="20"/>
  <c r="G359" i="3"/>
  <c r="K61" i="25"/>
  <c r="K60" i="19"/>
  <c r="K18" i="11"/>
  <c r="J22" i="24"/>
  <c r="N16" i="23"/>
  <c r="O209" i="3"/>
  <c r="Q257" i="3"/>
  <c r="P258" i="3"/>
  <c r="H40" i="20"/>
  <c r="H359" i="3"/>
  <c r="R254" i="3"/>
  <c r="S253" i="3"/>
  <c r="F47" i="25"/>
  <c r="F46" i="19"/>
  <c r="H51" i="23"/>
  <c r="H245" i="3"/>
  <c r="J37" i="25"/>
  <c r="J36" i="19"/>
  <c r="Q255" i="3"/>
  <c r="P256" i="3"/>
  <c r="P262" i="3"/>
  <c r="P259" i="3"/>
  <c r="J33" i="25"/>
  <c r="J32" i="19"/>
  <c r="F40" i="20"/>
  <c r="F359" i="3"/>
  <c r="N85" i="25"/>
  <c r="N35" i="24"/>
  <c r="N324" i="3"/>
  <c r="O323" i="3"/>
  <c r="N33" i="23"/>
  <c r="O226" i="3"/>
  <c r="L32" i="25"/>
  <c r="L31" i="19"/>
  <c r="N34" i="23"/>
  <c r="O227" i="3"/>
  <c r="M31" i="23"/>
  <c r="N224" i="3"/>
  <c r="K28" i="23"/>
  <c r="K228" i="3"/>
  <c r="M8" i="26"/>
  <c r="M8" i="27"/>
  <c r="N377" i="3"/>
  <c r="J53" i="25"/>
  <c r="J52" i="19"/>
  <c r="L42" i="23"/>
  <c r="M235" i="3"/>
  <c r="L241" i="3"/>
  <c r="L48" i="23" s="1"/>
  <c r="L141" i="3"/>
  <c r="F51" i="23"/>
  <c r="F245" i="3"/>
  <c r="G245" i="3"/>
  <c r="L23" i="23"/>
  <c r="L298" i="3"/>
  <c r="H47" i="25"/>
  <c r="H46" i="19"/>
  <c r="L38" i="24"/>
  <c r="L88" i="25"/>
  <c r="M87" i="25"/>
  <c r="M37" i="24"/>
  <c r="M326" i="3"/>
  <c r="N325" i="3"/>
  <c r="J44" i="23"/>
  <c r="J238" i="3"/>
  <c r="J45" i="23" s="1"/>
  <c r="J239" i="3"/>
  <c r="J46" i="23" s="1"/>
  <c r="N17" i="23"/>
  <c r="O210" i="3"/>
  <c r="M86" i="25"/>
  <c r="M36" i="24"/>
  <c r="M19" i="23"/>
  <c r="M231" i="3"/>
  <c r="M38" i="23" s="1"/>
  <c r="M165" i="3"/>
  <c r="M222" i="3"/>
  <c r="M214" i="3"/>
  <c r="M215" i="3"/>
  <c r="M22" i="23" s="1"/>
  <c r="M216" i="3"/>
  <c r="I22" i="25"/>
  <c r="I21" i="19"/>
  <c r="L26" i="25"/>
  <c r="L25" i="19"/>
  <c r="M159" i="3"/>
  <c r="N38" i="25"/>
  <c r="N37" i="19"/>
  <c r="E80" i="25"/>
  <c r="E30" i="24"/>
  <c r="F22" i="25"/>
  <c r="F21" i="19"/>
  <c r="J155" i="3"/>
  <c r="I40" i="20"/>
  <c r="I359" i="3"/>
  <c r="L21" i="23"/>
  <c r="L240" i="3"/>
  <c r="L47" i="23" s="1"/>
  <c r="L151" i="3"/>
  <c r="N62" i="25"/>
  <c r="N61" i="19"/>
  <c r="N33" i="11"/>
  <c r="E22" i="25"/>
  <c r="E21" i="19"/>
  <c r="J80" i="25"/>
  <c r="J30" i="24"/>
  <c r="K318" i="3"/>
  <c r="K18" i="24"/>
  <c r="K20" i="20"/>
  <c r="L300" i="3"/>
  <c r="K166" i="3"/>
  <c r="K302" i="3"/>
  <c r="N212" i="3"/>
  <c r="O207" i="3"/>
  <c r="L45" i="25"/>
  <c r="L44" i="19"/>
  <c r="M178" i="3"/>
  <c r="O15" i="23"/>
  <c r="P208" i="3"/>
  <c r="J35" i="23"/>
  <c r="J142" i="3"/>
  <c r="O11" i="25"/>
  <c r="O10" i="19"/>
  <c r="O8" i="11"/>
  <c r="P144" i="3"/>
  <c r="J47" i="25"/>
  <c r="J46" i="19"/>
  <c r="K180" i="3"/>
  <c r="J164" i="3"/>
  <c r="H80" i="25"/>
  <c r="H30" i="24"/>
  <c r="I245" i="3"/>
  <c r="N18" i="23"/>
  <c r="O211" i="3"/>
  <c r="J20" i="24"/>
  <c r="J368" i="3"/>
  <c r="J14" i="30" s="1"/>
  <c r="J301" i="3"/>
  <c r="J190" i="3"/>
  <c r="L25" i="25"/>
  <c r="L24" i="19"/>
  <c r="M158" i="3"/>
  <c r="K26" i="23"/>
  <c r="K223" i="3"/>
  <c r="K30" i="23" s="1"/>
  <c r="K18" i="25"/>
  <c r="K17" i="19"/>
  <c r="K299" i="3"/>
  <c r="K19" i="24" s="1"/>
  <c r="K186" i="3"/>
  <c r="O100" i="22"/>
  <c r="P112" i="3"/>
  <c r="O171" i="3"/>
  <c r="O195" i="3"/>
  <c r="F80" i="25"/>
  <c r="F30" i="24"/>
  <c r="L46" i="25"/>
  <c r="L45" i="19"/>
  <c r="M179" i="3"/>
  <c r="G22" i="25"/>
  <c r="G21" i="19"/>
  <c r="L29" i="23"/>
  <c r="L221" i="3"/>
  <c r="L220" i="3"/>
  <c r="L27" i="23" s="1"/>
  <c r="L194" i="3"/>
  <c r="L219" i="3"/>
  <c r="L174" i="3"/>
  <c r="L170" i="3" s="1"/>
  <c r="L225" i="3"/>
  <c r="L32" i="23" s="1"/>
  <c r="K41" i="25"/>
  <c r="K40" i="19"/>
  <c r="K232" i="3"/>
  <c r="K39" i="23" s="1"/>
  <c r="L37" i="25" l="1"/>
  <c r="L36" i="19"/>
  <c r="P15" i="23"/>
  <c r="Q208" i="3"/>
  <c r="M42" i="23"/>
  <c r="N235" i="3"/>
  <c r="M241" i="3"/>
  <c r="M48" i="23" s="1"/>
  <c r="M141" i="3"/>
  <c r="M88" i="25"/>
  <c r="M38" i="24"/>
  <c r="H41" i="20"/>
  <c r="H370" i="3"/>
  <c r="H16" i="30" s="1"/>
  <c r="O38" i="25"/>
  <c r="O37" i="19"/>
  <c r="J21" i="24"/>
  <c r="J21" i="20"/>
  <c r="J31" i="25"/>
  <c r="J30" i="19"/>
  <c r="J365" i="3"/>
  <c r="J11" i="30" s="1"/>
  <c r="J191" i="3"/>
  <c r="J244" i="3"/>
  <c r="J51" i="23" s="1"/>
  <c r="M45" i="25"/>
  <c r="M44" i="19"/>
  <c r="N178" i="3"/>
  <c r="J22" i="25"/>
  <c r="J21" i="19"/>
  <c r="K155" i="3"/>
  <c r="M26" i="25"/>
  <c r="M25" i="19"/>
  <c r="N159" i="3"/>
  <c r="N31" i="23"/>
  <c r="O224" i="3"/>
  <c r="H52" i="23"/>
  <c r="H247" i="3"/>
  <c r="L28" i="23"/>
  <c r="L228" i="3"/>
  <c r="K33" i="25"/>
  <c r="K32" i="19"/>
  <c r="K35" i="23"/>
  <c r="K142" i="3"/>
  <c r="L18" i="24"/>
  <c r="L20" i="20"/>
  <c r="L166" i="3"/>
  <c r="L302" i="3"/>
  <c r="K47" i="25"/>
  <c r="K46" i="19"/>
  <c r="L180" i="3"/>
  <c r="K164" i="3"/>
  <c r="M21" i="23"/>
  <c r="M240" i="3"/>
  <c r="M47" i="23" s="1"/>
  <c r="M151" i="3"/>
  <c r="O17" i="23"/>
  <c r="P210" i="3"/>
  <c r="G52" i="23"/>
  <c r="G247" i="3"/>
  <c r="O85" i="25"/>
  <c r="O35" i="24"/>
  <c r="P323" i="3"/>
  <c r="O324" i="3"/>
  <c r="P195" i="3"/>
  <c r="P171" i="3"/>
  <c r="I52" i="23"/>
  <c r="I247" i="3"/>
  <c r="J247" i="3" s="1"/>
  <c r="K247" i="3" s="1"/>
  <c r="L247" i="3" s="1"/>
  <c r="M247" i="3" s="1"/>
  <c r="N247" i="3" s="1"/>
  <c r="O247" i="3" s="1"/>
  <c r="P247" i="3" s="1"/>
  <c r="Q247" i="3" s="1"/>
  <c r="R247" i="3" s="1"/>
  <c r="S247" i="3" s="1"/>
  <c r="K22" i="24"/>
  <c r="I41" i="20"/>
  <c r="E97" i="5"/>
  <c r="I370" i="3"/>
  <c r="I16" i="30" s="1"/>
  <c r="O62" i="25"/>
  <c r="O61" i="19"/>
  <c r="O33" i="11"/>
  <c r="J57" i="25"/>
  <c r="J56" i="19"/>
  <c r="J17" i="11"/>
  <c r="L26" i="23"/>
  <c r="L223" i="3"/>
  <c r="L30" i="23" s="1"/>
  <c r="M46" i="25"/>
  <c r="M45" i="19"/>
  <c r="N179" i="3"/>
  <c r="M29" i="23"/>
  <c r="M221" i="3"/>
  <c r="M220" i="3"/>
  <c r="M27" i="23" s="1"/>
  <c r="M219" i="3"/>
  <c r="M225" i="3"/>
  <c r="M32" i="23" s="1"/>
  <c r="M174" i="3"/>
  <c r="M170" i="3" s="1"/>
  <c r="M194" i="3"/>
  <c r="F52" i="23"/>
  <c r="F247" i="3"/>
  <c r="O34" i="23"/>
  <c r="P227" i="3"/>
  <c r="N86" i="25"/>
  <c r="N36" i="24"/>
  <c r="R257" i="3"/>
  <c r="Q258" i="3"/>
  <c r="K57" i="25"/>
  <c r="K56" i="19"/>
  <c r="K17" i="11"/>
  <c r="N87" i="25"/>
  <c r="N37" i="24"/>
  <c r="N326" i="3"/>
  <c r="O325" i="3"/>
  <c r="O33" i="23"/>
  <c r="P226" i="3"/>
  <c r="L20" i="24"/>
  <c r="L301" i="3"/>
  <c r="L368" i="3"/>
  <c r="L14" i="30" s="1"/>
  <c r="L190" i="3"/>
  <c r="L41" i="25"/>
  <c r="L40" i="19"/>
  <c r="L232" i="3"/>
  <c r="L39" i="23" s="1"/>
  <c r="P100" i="22"/>
  <c r="Q112" i="3"/>
  <c r="L61" i="25"/>
  <c r="L60" i="19"/>
  <c r="L18" i="11"/>
  <c r="K53" i="25"/>
  <c r="K52" i="19"/>
  <c r="O18" i="23"/>
  <c r="P211" i="3"/>
  <c r="J9" i="25"/>
  <c r="J6" i="11"/>
  <c r="J8" i="19"/>
  <c r="J250" i="3"/>
  <c r="J229" i="3"/>
  <c r="J143" i="3"/>
  <c r="O212" i="3"/>
  <c r="P207" i="3"/>
  <c r="K30" i="24"/>
  <c r="K80" i="25"/>
  <c r="L318" i="3"/>
  <c r="L18" i="25"/>
  <c r="L17" i="19"/>
  <c r="L299" i="3"/>
  <c r="L19" i="24" s="1"/>
  <c r="L186" i="3"/>
  <c r="M32" i="25"/>
  <c r="M31" i="19"/>
  <c r="N8" i="27"/>
  <c r="N8" i="26"/>
  <c r="O377" i="3"/>
  <c r="P260" i="3"/>
  <c r="O16" i="23"/>
  <c r="P209" i="3"/>
  <c r="K44" i="23"/>
  <c r="K238" i="3"/>
  <c r="K45" i="23" s="1"/>
  <c r="K239" i="3"/>
  <c r="K46" i="23" s="1"/>
  <c r="M25" i="25"/>
  <c r="M24" i="19"/>
  <c r="N158" i="3"/>
  <c r="P11" i="25"/>
  <c r="P10" i="19"/>
  <c r="P8" i="11"/>
  <c r="Q144" i="3"/>
  <c r="N19" i="23"/>
  <c r="N165" i="3"/>
  <c r="N222" i="3"/>
  <c r="N215" i="3"/>
  <c r="N22" i="23" s="1"/>
  <c r="N231" i="3"/>
  <c r="N38" i="23" s="1"/>
  <c r="N214" i="3"/>
  <c r="E22" i="2"/>
  <c r="N216" i="3"/>
  <c r="L8" i="25"/>
  <c r="L5" i="11"/>
  <c r="L7" i="19"/>
  <c r="L237" i="3"/>
  <c r="R255" i="3"/>
  <c r="Q256" i="3"/>
  <c r="Q260" i="3" s="1"/>
  <c r="Q262" i="3"/>
  <c r="Q259" i="3"/>
  <c r="S254" i="3"/>
  <c r="G41" i="20"/>
  <c r="G370" i="3"/>
  <c r="G16" i="30" s="1"/>
  <c r="K21" i="24"/>
  <c r="K21" i="20"/>
  <c r="M23" i="23"/>
  <c r="M298" i="3"/>
  <c r="F41" i="20"/>
  <c r="F370" i="3"/>
  <c r="F16" i="30" s="1"/>
  <c r="M37" i="25" l="1"/>
  <c r="M36" i="19"/>
  <c r="J36" i="23"/>
  <c r="J249" i="3"/>
  <c r="J97" i="5"/>
  <c r="I97" i="5"/>
  <c r="O86" i="25"/>
  <c r="O36" i="24"/>
  <c r="M18" i="25"/>
  <c r="M17" i="19"/>
  <c r="M299" i="3"/>
  <c r="M19" i="24" s="1"/>
  <c r="M186" i="3"/>
  <c r="L33" i="25"/>
  <c r="L32" i="19"/>
  <c r="L35" i="23"/>
  <c r="L142" i="3"/>
  <c r="M18" i="24"/>
  <c r="M20" i="20"/>
  <c r="M166" i="3"/>
  <c r="M302" i="3"/>
  <c r="L80" i="25"/>
  <c r="L30" i="24"/>
  <c r="M318" i="3"/>
  <c r="O87" i="25"/>
  <c r="O37" i="24"/>
  <c r="O326" i="3"/>
  <c r="P325" i="3"/>
  <c r="N46" i="25"/>
  <c r="N45" i="19"/>
  <c r="O179" i="3"/>
  <c r="P85" i="25"/>
  <c r="P35" i="24"/>
  <c r="Q323" i="3"/>
  <c r="P324" i="3"/>
  <c r="M300" i="3"/>
  <c r="N42" i="23"/>
  <c r="N241" i="3"/>
  <c r="N48" i="23" s="1"/>
  <c r="O235" i="3"/>
  <c r="N141" i="3"/>
  <c r="L44" i="23"/>
  <c r="L238" i="3"/>
  <c r="L45" i="23" s="1"/>
  <c r="L239" i="3"/>
  <c r="L46" i="23" s="1"/>
  <c r="N29" i="23"/>
  <c r="N221" i="3"/>
  <c r="N220" i="3"/>
  <c r="N27" i="23" s="1"/>
  <c r="N219" i="3"/>
  <c r="N174" i="3"/>
  <c r="N170" i="3" s="1"/>
  <c r="N225" i="3"/>
  <c r="N32" i="23" s="1"/>
  <c r="N194" i="3"/>
  <c r="L57" i="25"/>
  <c r="L56" i="19"/>
  <c r="L17" i="11"/>
  <c r="N23" i="23"/>
  <c r="N298" i="3"/>
  <c r="J58" i="25"/>
  <c r="J57" i="19"/>
  <c r="J24" i="11"/>
  <c r="R258" i="3"/>
  <c r="S257" i="3"/>
  <c r="S258" i="3" s="1"/>
  <c r="M41" i="25"/>
  <c r="M40" i="19"/>
  <c r="M232" i="3"/>
  <c r="M39" i="23" s="1"/>
  <c r="K31" i="25"/>
  <c r="K30" i="19"/>
  <c r="K365" i="3"/>
  <c r="K11" i="30" s="1"/>
  <c r="K191" i="3"/>
  <c r="K244" i="3"/>
  <c r="K51" i="23" s="1"/>
  <c r="K22" i="25"/>
  <c r="K21" i="19"/>
  <c r="L155" i="3"/>
  <c r="P16" i="23"/>
  <c r="Q209" i="3"/>
  <c r="L53" i="25"/>
  <c r="L52" i="19"/>
  <c r="L21" i="24"/>
  <c r="L21" i="20"/>
  <c r="L47" i="25"/>
  <c r="L46" i="19"/>
  <c r="M180" i="3"/>
  <c r="L164" i="3"/>
  <c r="K9" i="25"/>
  <c r="K8" i="19"/>
  <c r="K6" i="11"/>
  <c r="K250" i="3"/>
  <c r="K229" i="3"/>
  <c r="K143" i="3"/>
  <c r="O31" i="23"/>
  <c r="P224" i="3"/>
  <c r="Q15" i="23"/>
  <c r="R208" i="3"/>
  <c r="Q11" i="25"/>
  <c r="Q10" i="19"/>
  <c r="Q8" i="11"/>
  <c r="R144" i="3"/>
  <c r="O8" i="26"/>
  <c r="O8" i="27"/>
  <c r="P377" i="3"/>
  <c r="Q195" i="3"/>
  <c r="Q171" i="3"/>
  <c r="N88" i="25"/>
  <c r="N38" i="24"/>
  <c r="M61" i="25"/>
  <c r="M60" i="19"/>
  <c r="M18" i="11"/>
  <c r="N32" i="25"/>
  <c r="N31" i="19"/>
  <c r="R256" i="3"/>
  <c r="R260" i="3" s="1"/>
  <c r="R262" i="3"/>
  <c r="S255" i="3"/>
  <c r="R259" i="3"/>
  <c r="N21" i="23"/>
  <c r="N240" i="3"/>
  <c r="N47" i="23" s="1"/>
  <c r="N151" i="3"/>
  <c r="N300" i="3" s="1"/>
  <c r="Q207" i="3"/>
  <c r="P212" i="3"/>
  <c r="P18" i="23"/>
  <c r="Q211" i="3"/>
  <c r="Q100" i="22"/>
  <c r="R112" i="3"/>
  <c r="P34" i="23"/>
  <c r="Q227" i="3"/>
  <c r="M26" i="23"/>
  <c r="M223" i="3"/>
  <c r="M30" i="23" s="1"/>
  <c r="N25" i="25"/>
  <c r="N24" i="19"/>
  <c r="O158" i="3"/>
  <c r="O19" i="23"/>
  <c r="O222" i="3"/>
  <c r="O215" i="3"/>
  <c r="O22" i="23" s="1"/>
  <c r="O165" i="3"/>
  <c r="O214" i="3"/>
  <c r="O216" i="3"/>
  <c r="P38" i="25"/>
  <c r="P37" i="19"/>
  <c r="P17" i="23"/>
  <c r="Q210" i="3"/>
  <c r="N26" i="25"/>
  <c r="N25" i="19"/>
  <c r="O159" i="3"/>
  <c r="J10" i="25"/>
  <c r="J9" i="19"/>
  <c r="J7" i="20"/>
  <c r="J245" i="3"/>
  <c r="J145" i="3"/>
  <c r="P33" i="23"/>
  <c r="Q226" i="3"/>
  <c r="M28" i="23"/>
  <c r="P62" i="25"/>
  <c r="P61" i="19"/>
  <c r="P33" i="11"/>
  <c r="L22" i="24"/>
  <c r="N45" i="25"/>
  <c r="N44" i="19"/>
  <c r="O178" i="3"/>
  <c r="M8" i="25"/>
  <c r="M7" i="19"/>
  <c r="M5" i="11"/>
  <c r="M237" i="3"/>
  <c r="N37" i="25" l="1"/>
  <c r="N36" i="19"/>
  <c r="N20" i="24"/>
  <c r="N368" i="3"/>
  <c r="N14" i="30" s="1"/>
  <c r="N301" i="3"/>
  <c r="N190" i="3"/>
  <c r="O29" i="23"/>
  <c r="O220" i="3"/>
  <c r="O27" i="23" s="1"/>
  <c r="O194" i="3"/>
  <c r="O219" i="3"/>
  <c r="O225" i="3"/>
  <c r="O32" i="23" s="1"/>
  <c r="O221" i="3"/>
  <c r="O174" i="3"/>
  <c r="O23" i="23"/>
  <c r="O298" i="3"/>
  <c r="J12" i="25"/>
  <c r="J11" i="19"/>
  <c r="J8" i="20"/>
  <c r="J272" i="3"/>
  <c r="J157" i="3"/>
  <c r="J149" i="3"/>
  <c r="J269" i="3" s="1"/>
  <c r="J14" i="20" s="1"/>
  <c r="J160" i="3"/>
  <c r="J168" i="3"/>
  <c r="J148" i="3"/>
  <c r="J173" i="3"/>
  <c r="O21" i="23"/>
  <c r="O240" i="3"/>
  <c r="O47" i="23" s="1"/>
  <c r="O151" i="3"/>
  <c r="Q62" i="25"/>
  <c r="Q61" i="19"/>
  <c r="Q33" i="11"/>
  <c r="K36" i="23"/>
  <c r="K249" i="3"/>
  <c r="N18" i="24"/>
  <c r="N20" i="20"/>
  <c r="N166" i="3"/>
  <c r="N302" i="3"/>
  <c r="Q85" i="25"/>
  <c r="Q35" i="24"/>
  <c r="R323" i="3"/>
  <c r="Q324" i="3"/>
  <c r="O88" i="25"/>
  <c r="O38" i="24"/>
  <c r="P19" i="23"/>
  <c r="P214" i="3"/>
  <c r="P215" i="3"/>
  <c r="P22" i="23" s="1"/>
  <c r="P165" i="3"/>
  <c r="P222" i="3"/>
  <c r="P231" i="3" s="1"/>
  <c r="P38" i="23" s="1"/>
  <c r="P216" i="3"/>
  <c r="Q38" i="25"/>
  <c r="Q37" i="19"/>
  <c r="O32" i="25"/>
  <c r="O31" i="19"/>
  <c r="R100" i="22"/>
  <c r="S112" i="3"/>
  <c r="S100" i="22" s="1"/>
  <c r="P8" i="27"/>
  <c r="P8" i="26"/>
  <c r="Q377" i="3"/>
  <c r="N41" i="25"/>
  <c r="N40" i="19"/>
  <c r="N232" i="3"/>
  <c r="N39" i="23" s="1"/>
  <c r="N8" i="25"/>
  <c r="N7" i="19"/>
  <c r="N5" i="11"/>
  <c r="N237" i="3"/>
  <c r="M22" i="24"/>
  <c r="O231" i="3"/>
  <c r="O38" i="23" s="1"/>
  <c r="O25" i="25"/>
  <c r="O24" i="19"/>
  <c r="P158" i="3"/>
  <c r="R171" i="3"/>
  <c r="R195" i="3"/>
  <c r="M33" i="25"/>
  <c r="M32" i="19"/>
  <c r="Q34" i="23"/>
  <c r="R227" i="3"/>
  <c r="J52" i="23"/>
  <c r="J248" i="3"/>
  <c r="N26" i="23"/>
  <c r="N223" i="3"/>
  <c r="N30" i="23" s="1"/>
  <c r="M53" i="25"/>
  <c r="M52" i="19"/>
  <c r="O45" i="25"/>
  <c r="O44" i="19"/>
  <c r="P178" i="3"/>
  <c r="M228" i="3"/>
  <c r="Q17" i="23"/>
  <c r="R210" i="3"/>
  <c r="Q18" i="23"/>
  <c r="R211" i="3"/>
  <c r="S256" i="3"/>
  <c r="S260" i="3" s="1"/>
  <c r="S262" i="3"/>
  <c r="S259" i="3"/>
  <c r="R15" i="23"/>
  <c r="S208" i="3"/>
  <c r="S15" i="23" s="1"/>
  <c r="O42" i="23"/>
  <c r="P235" i="3"/>
  <c r="O241" i="3"/>
  <c r="O48" i="23" s="1"/>
  <c r="O141" i="3"/>
  <c r="M80" i="25"/>
  <c r="M30" i="24"/>
  <c r="N318" i="3"/>
  <c r="M44" i="23"/>
  <c r="M238" i="3"/>
  <c r="M45" i="23" s="1"/>
  <c r="M239" i="3"/>
  <c r="M46" i="23" s="1"/>
  <c r="K58" i="25"/>
  <c r="K57" i="19"/>
  <c r="K24" i="11"/>
  <c r="N28" i="23"/>
  <c r="N228" i="3"/>
  <c r="O46" i="25"/>
  <c r="O45" i="19"/>
  <c r="P179" i="3"/>
  <c r="R11" i="25"/>
  <c r="R10" i="19"/>
  <c r="R8" i="11"/>
  <c r="S144" i="3"/>
  <c r="P31" i="23"/>
  <c r="Q224" i="3"/>
  <c r="L31" i="25"/>
  <c r="L30" i="19"/>
  <c r="L365" i="3"/>
  <c r="L11" i="30" s="1"/>
  <c r="L191" i="3"/>
  <c r="L244" i="3"/>
  <c r="L51" i="23" s="1"/>
  <c r="Q16" i="23"/>
  <c r="R209" i="3"/>
  <c r="Q33" i="23"/>
  <c r="R226" i="3"/>
  <c r="R207" i="3"/>
  <c r="Q212" i="3"/>
  <c r="M47" i="25"/>
  <c r="M46" i="19"/>
  <c r="M164" i="3"/>
  <c r="N180" i="3"/>
  <c r="N61" i="25"/>
  <c r="N60" i="19"/>
  <c r="N18" i="11"/>
  <c r="M20" i="24"/>
  <c r="M301" i="3"/>
  <c r="M368" i="3"/>
  <c r="M14" i="30" s="1"/>
  <c r="M190" i="3"/>
  <c r="L9" i="25"/>
  <c r="L8" i="19"/>
  <c r="L250" i="3"/>
  <c r="L6" i="11"/>
  <c r="L229" i="3"/>
  <c r="L143" i="3"/>
  <c r="O26" i="25"/>
  <c r="O25" i="19"/>
  <c r="P159" i="3"/>
  <c r="N18" i="25"/>
  <c r="N17" i="19"/>
  <c r="K9" i="10"/>
  <c r="L9" i="10" s="1"/>
  <c r="N299" i="3"/>
  <c r="N19" i="24" s="1"/>
  <c r="N186" i="3"/>
  <c r="K10" i="25"/>
  <c r="K7" i="20"/>
  <c r="K9" i="19"/>
  <c r="K245" i="3"/>
  <c r="K145" i="3"/>
  <c r="L22" i="25"/>
  <c r="L21" i="19"/>
  <c r="M155" i="3"/>
  <c r="P86" i="25"/>
  <c r="P36" i="24"/>
  <c r="P87" i="25"/>
  <c r="P37" i="24"/>
  <c r="P326" i="3"/>
  <c r="Q325" i="3"/>
  <c r="R212" i="3" l="1"/>
  <c r="S207" i="3"/>
  <c r="R33" i="23"/>
  <c r="S226" i="3"/>
  <c r="P26" i="25"/>
  <c r="P25" i="19"/>
  <c r="Q159" i="3"/>
  <c r="N80" i="25"/>
  <c r="N30" i="24"/>
  <c r="O318" i="3"/>
  <c r="Q87" i="25"/>
  <c r="Q37" i="24"/>
  <c r="Q326" i="3"/>
  <c r="R325" i="3"/>
  <c r="P32" i="25"/>
  <c r="P31" i="19"/>
  <c r="O18" i="25"/>
  <c r="O17" i="19"/>
  <c r="O299" i="3"/>
  <c r="O19" i="24" s="1"/>
  <c r="O186" i="3"/>
  <c r="P88" i="25"/>
  <c r="P38" i="24"/>
  <c r="M31" i="25"/>
  <c r="M30" i="19"/>
  <c r="M365" i="3"/>
  <c r="M11" i="30" s="1"/>
  <c r="M191" i="3"/>
  <c r="M244" i="3"/>
  <c r="M51" i="23" s="1"/>
  <c r="Q31" i="23"/>
  <c r="R224" i="3"/>
  <c r="M35" i="23"/>
  <c r="M142" i="3"/>
  <c r="O41" i="25"/>
  <c r="O40" i="19"/>
  <c r="O232" i="3"/>
  <c r="O39" i="23" s="1"/>
  <c r="N57" i="25"/>
  <c r="N56" i="19"/>
  <c r="N17" i="11"/>
  <c r="M22" i="25"/>
  <c r="M21" i="19"/>
  <c r="N155" i="3"/>
  <c r="R17" i="23"/>
  <c r="S210" i="3"/>
  <c r="S17" i="23" s="1"/>
  <c r="N53" i="25"/>
  <c r="N52" i="19"/>
  <c r="N47" i="25"/>
  <c r="N46" i="19"/>
  <c r="O180" i="3"/>
  <c r="N164" i="3"/>
  <c r="O300" i="3"/>
  <c r="J150" i="3"/>
  <c r="K12" i="25"/>
  <c r="K8" i="20"/>
  <c r="K11" i="19"/>
  <c r="K157" i="3"/>
  <c r="K272" i="3"/>
  <c r="K149" i="3"/>
  <c r="K269" i="3" s="1"/>
  <c r="K14" i="20" s="1"/>
  <c r="K160" i="3"/>
  <c r="K168" i="3"/>
  <c r="K173" i="3"/>
  <c r="K148" i="3"/>
  <c r="L10" i="25"/>
  <c r="L7" i="20"/>
  <c r="L9" i="19"/>
  <c r="L245" i="3"/>
  <c r="L145" i="3"/>
  <c r="M21" i="24"/>
  <c r="M21" i="20"/>
  <c r="R16" i="23"/>
  <c r="S209" i="3"/>
  <c r="S16" i="23" s="1"/>
  <c r="S171" i="3"/>
  <c r="S195" i="3"/>
  <c r="P45" i="25"/>
  <c r="P44" i="19"/>
  <c r="Q178" i="3"/>
  <c r="Q86" i="25"/>
  <c r="Q36" i="24"/>
  <c r="O170" i="3"/>
  <c r="N21" i="24"/>
  <c r="N21" i="20"/>
  <c r="N35" i="23"/>
  <c r="N142" i="3"/>
  <c r="M57" i="25"/>
  <c r="M56" i="19"/>
  <c r="M17" i="11"/>
  <c r="K52" i="23"/>
  <c r="K248" i="3"/>
  <c r="L36" i="23"/>
  <c r="L249" i="3"/>
  <c r="S11" i="25"/>
  <c r="S10" i="19"/>
  <c r="E68" i="5"/>
  <c r="S8" i="11"/>
  <c r="E8" i="5"/>
  <c r="P46" i="25"/>
  <c r="P45" i="19"/>
  <c r="Q179" i="3"/>
  <c r="O8" i="25"/>
  <c r="O5" i="11"/>
  <c r="O7" i="19"/>
  <c r="O237" i="3"/>
  <c r="R62" i="25"/>
  <c r="R61" i="19"/>
  <c r="R33" i="11"/>
  <c r="R85" i="25"/>
  <c r="R35" i="24"/>
  <c r="S323" i="3"/>
  <c r="R324" i="3"/>
  <c r="J40" i="25"/>
  <c r="J39" i="19"/>
  <c r="J188" i="3"/>
  <c r="J283" i="3"/>
  <c r="J278" i="3"/>
  <c r="J273" i="3"/>
  <c r="J288" i="3"/>
  <c r="J192" i="3"/>
  <c r="O28" i="23"/>
  <c r="R34" i="23"/>
  <c r="S227" i="3"/>
  <c r="S34" i="23" s="1"/>
  <c r="R38" i="25"/>
  <c r="R37" i="19"/>
  <c r="P21" i="23"/>
  <c r="P240" i="3"/>
  <c r="P47" i="23" s="1"/>
  <c r="P151" i="3"/>
  <c r="J15" i="25"/>
  <c r="J14" i="19"/>
  <c r="Q19" i="23"/>
  <c r="Q214" i="3"/>
  <c r="Q215" i="3"/>
  <c r="Q22" i="23" s="1"/>
  <c r="Q222" i="3"/>
  <c r="Q165" i="3"/>
  <c r="Q216" i="3"/>
  <c r="L58" i="25"/>
  <c r="L57" i="19"/>
  <c r="L24" i="11"/>
  <c r="R18" i="23"/>
  <c r="S211" i="3"/>
  <c r="S18" i="23" s="1"/>
  <c r="P25" i="25"/>
  <c r="P24" i="19"/>
  <c r="Q158" i="3"/>
  <c r="Q8" i="26"/>
  <c r="Q8" i="27"/>
  <c r="R377" i="3"/>
  <c r="J35" i="25"/>
  <c r="J34" i="19"/>
  <c r="J307" i="3"/>
  <c r="J308" i="3" s="1"/>
  <c r="J187" i="3"/>
  <c r="O26" i="23"/>
  <c r="O223" i="3"/>
  <c r="O30" i="23" s="1"/>
  <c r="N44" i="23"/>
  <c r="N238" i="3"/>
  <c r="N45" i="23" s="1"/>
  <c r="N239" i="3"/>
  <c r="N46" i="23" s="1"/>
  <c r="P23" i="23"/>
  <c r="P298" i="3"/>
  <c r="N22" i="24"/>
  <c r="J27" i="25"/>
  <c r="J26" i="19"/>
  <c r="O61" i="25"/>
  <c r="O60" i="19"/>
  <c r="O18" i="11"/>
  <c r="P42" i="23"/>
  <c r="P241" i="3"/>
  <c r="P48" i="23" s="1"/>
  <c r="Q235" i="3"/>
  <c r="P141" i="3"/>
  <c r="P29" i="23"/>
  <c r="P220" i="3"/>
  <c r="P27" i="23" s="1"/>
  <c r="P194" i="3"/>
  <c r="P219" i="3"/>
  <c r="P225" i="3"/>
  <c r="P32" i="23" s="1"/>
  <c r="P221" i="3"/>
  <c r="P170" i="3"/>
  <c r="P174" i="3"/>
  <c r="N33" i="25"/>
  <c r="N32" i="19"/>
  <c r="J16" i="25"/>
  <c r="J9" i="20"/>
  <c r="J15" i="19"/>
  <c r="H8" i="10"/>
  <c r="I8" i="10" s="1"/>
  <c r="J267" i="3"/>
  <c r="J146" i="3"/>
  <c r="J147" i="3" s="1"/>
  <c r="O18" i="24"/>
  <c r="O20" i="20"/>
  <c r="P300" i="3"/>
  <c r="O166" i="3"/>
  <c r="O302" i="3"/>
  <c r="J14" i="25" l="1"/>
  <c r="J13" i="19"/>
  <c r="O33" i="25"/>
  <c r="O32" i="19"/>
  <c r="J19" i="20"/>
  <c r="J12" i="20"/>
  <c r="P8" i="25"/>
  <c r="P7" i="19"/>
  <c r="P5" i="11"/>
  <c r="P237" i="3"/>
  <c r="Q25" i="25"/>
  <c r="Q24" i="19"/>
  <c r="R158" i="3"/>
  <c r="J274" i="3"/>
  <c r="J275" i="3"/>
  <c r="K27" i="25"/>
  <c r="K26" i="19"/>
  <c r="P18" i="24"/>
  <c r="P20" i="20"/>
  <c r="P166" i="3"/>
  <c r="P302" i="3"/>
  <c r="O22" i="24"/>
  <c r="P41" i="25"/>
  <c r="P40" i="19"/>
  <c r="P232" i="3"/>
  <c r="P39" i="23" s="1"/>
  <c r="Q32" i="25"/>
  <c r="Q31" i="19"/>
  <c r="J284" i="3"/>
  <c r="J285" i="3"/>
  <c r="J286" i="3" s="1"/>
  <c r="Q46" i="25"/>
  <c r="Q45" i="19"/>
  <c r="R179" i="3"/>
  <c r="O37" i="25"/>
  <c r="O36" i="19"/>
  <c r="S38" i="25"/>
  <c r="S37" i="19"/>
  <c r="K150" i="3"/>
  <c r="O20" i="24"/>
  <c r="O368" i="3"/>
  <c r="O14" i="30" s="1"/>
  <c r="O301" i="3"/>
  <c r="O190" i="3"/>
  <c r="O53" i="25"/>
  <c r="O52" i="19"/>
  <c r="Q88" i="25"/>
  <c r="Q38" i="24"/>
  <c r="Q26" i="25"/>
  <c r="Q25" i="19"/>
  <c r="R159" i="3"/>
  <c r="J55" i="25"/>
  <c r="J54" i="19"/>
  <c r="H68" i="5"/>
  <c r="G68" i="5"/>
  <c r="K278" i="3"/>
  <c r="K192" i="3"/>
  <c r="K283" i="3"/>
  <c r="K273" i="3"/>
  <c r="K288" i="3"/>
  <c r="N31" i="25"/>
  <c r="N30" i="19"/>
  <c r="N365" i="3"/>
  <c r="N11" i="30" s="1"/>
  <c r="N191" i="3"/>
  <c r="N244" i="3"/>
  <c r="N51" i="23" s="1"/>
  <c r="P20" i="24"/>
  <c r="P368" i="3"/>
  <c r="P14" i="30" s="1"/>
  <c r="P301" i="3"/>
  <c r="P190" i="3"/>
  <c r="R8" i="27"/>
  <c r="R8" i="26"/>
  <c r="S377" i="3"/>
  <c r="Q29" i="23"/>
  <c r="Q219" i="3"/>
  <c r="Q174" i="3"/>
  <c r="Q225" i="3"/>
  <c r="Q32" i="23" s="1"/>
  <c r="Q221" i="3"/>
  <c r="Q220" i="3"/>
  <c r="Q27" i="23" s="1"/>
  <c r="Q194" i="3"/>
  <c r="O228" i="3"/>
  <c r="O47" i="25"/>
  <c r="O46" i="19"/>
  <c r="P180" i="3"/>
  <c r="O164" i="3"/>
  <c r="N22" i="25"/>
  <c r="N21" i="19"/>
  <c r="O155" i="3"/>
  <c r="M58" i="25"/>
  <c r="M57" i="19"/>
  <c r="M24" i="11"/>
  <c r="P28" i="23"/>
  <c r="Q42" i="23"/>
  <c r="Q241" i="3"/>
  <c r="Q48" i="23" s="1"/>
  <c r="R235" i="3"/>
  <c r="Q141" i="3"/>
  <c r="Q231" i="3"/>
  <c r="Q38" i="23" s="1"/>
  <c r="P18" i="25"/>
  <c r="P17" i="19"/>
  <c r="P299" i="3"/>
  <c r="P19" i="24" s="1"/>
  <c r="P186" i="3"/>
  <c r="K15" i="25"/>
  <c r="K14" i="19"/>
  <c r="O80" i="25"/>
  <c r="O30" i="24"/>
  <c r="P318" i="3"/>
  <c r="S33" i="23"/>
  <c r="J59" i="25"/>
  <c r="J58" i="19"/>
  <c r="J25" i="11"/>
  <c r="J26" i="11" s="1"/>
  <c r="J193" i="3"/>
  <c r="R86" i="25"/>
  <c r="R36" i="24"/>
  <c r="O44" i="23"/>
  <c r="O238" i="3"/>
  <c r="O45" i="23" s="1"/>
  <c r="O239" i="3"/>
  <c r="O46" i="23" s="1"/>
  <c r="N9" i="25"/>
  <c r="N8" i="19"/>
  <c r="N6" i="11"/>
  <c r="N250" i="3"/>
  <c r="N229" i="3"/>
  <c r="N143" i="3"/>
  <c r="Q45" i="25"/>
  <c r="Q44" i="19"/>
  <c r="R178" i="3"/>
  <c r="K40" i="25"/>
  <c r="K39" i="19"/>
  <c r="K188" i="3"/>
  <c r="M9" i="25"/>
  <c r="M8" i="19"/>
  <c r="M6" i="11"/>
  <c r="M250" i="3"/>
  <c r="M229" i="3"/>
  <c r="M143" i="3"/>
  <c r="J13" i="25"/>
  <c r="J12" i="19"/>
  <c r="J289" i="3"/>
  <c r="J290" i="3"/>
  <c r="J291" i="3" s="1"/>
  <c r="S85" i="25"/>
  <c r="S35" i="24"/>
  <c r="S324" i="3"/>
  <c r="L12" i="25"/>
  <c r="L11" i="19"/>
  <c r="L8" i="20"/>
  <c r="L269" i="3"/>
  <c r="L14" i="20" s="1"/>
  <c r="L272" i="3"/>
  <c r="L150" i="3"/>
  <c r="L157" i="3"/>
  <c r="L149" i="3"/>
  <c r="L160" i="3"/>
  <c r="L173" i="3"/>
  <c r="L148" i="3"/>
  <c r="L168" i="3"/>
  <c r="K35" i="25"/>
  <c r="K34" i="19"/>
  <c r="K307" i="3"/>
  <c r="K308" i="3" s="1"/>
  <c r="K187" i="3"/>
  <c r="P37" i="25"/>
  <c r="P36" i="19"/>
  <c r="P26" i="23"/>
  <c r="P223" i="3"/>
  <c r="P30" i="23" s="1"/>
  <c r="P61" i="25"/>
  <c r="P60" i="19"/>
  <c r="P18" i="11"/>
  <c r="Q21" i="23"/>
  <c r="Q240" i="3"/>
  <c r="Q47" i="23" s="1"/>
  <c r="Q151" i="3"/>
  <c r="J54" i="25"/>
  <c r="J53" i="19"/>
  <c r="J17" i="20"/>
  <c r="J27" i="17"/>
  <c r="J19" i="11"/>
  <c r="L52" i="23"/>
  <c r="L248" i="3"/>
  <c r="S212" i="3"/>
  <c r="Q23" i="23"/>
  <c r="Q298" i="3"/>
  <c r="J279" i="3"/>
  <c r="J280" i="3"/>
  <c r="J281" i="3" s="1"/>
  <c r="G8" i="5"/>
  <c r="H8" i="5"/>
  <c r="S62" i="25"/>
  <c r="S61" i="19"/>
  <c r="S33" i="11"/>
  <c r="K16" i="25"/>
  <c r="K9" i="20"/>
  <c r="K15" i="19"/>
  <c r="K267" i="3"/>
  <c r="K146" i="3"/>
  <c r="J17" i="25"/>
  <c r="J10" i="20"/>
  <c r="J16" i="19"/>
  <c r="J152" i="3"/>
  <c r="R31" i="23"/>
  <c r="S224" i="3"/>
  <c r="S31" i="23" s="1"/>
  <c r="R87" i="25"/>
  <c r="R37" i="24"/>
  <c r="S325" i="3"/>
  <c r="R326" i="3"/>
  <c r="R19" i="23"/>
  <c r="R215" i="3"/>
  <c r="R22" i="23" s="1"/>
  <c r="R165" i="3"/>
  <c r="R222" i="3"/>
  <c r="R231" i="3" s="1"/>
  <c r="R38" i="23" s="1"/>
  <c r="R214" i="3"/>
  <c r="R216" i="3"/>
  <c r="L40" i="25" l="1"/>
  <c r="L39" i="19"/>
  <c r="L188" i="3"/>
  <c r="R42" i="23"/>
  <c r="S235" i="3"/>
  <c r="R241" i="3"/>
  <c r="R48" i="23" s="1"/>
  <c r="R141" i="3"/>
  <c r="Q41" i="25"/>
  <c r="Q40" i="19"/>
  <c r="Q232" i="3"/>
  <c r="Q39" i="23" s="1"/>
  <c r="R32" i="25"/>
  <c r="R31" i="19"/>
  <c r="Q18" i="25"/>
  <c r="Q17" i="19"/>
  <c r="Q299" i="3"/>
  <c r="Q19" i="24" s="1"/>
  <c r="Q186" i="3"/>
  <c r="L35" i="25"/>
  <c r="L34" i="19"/>
  <c r="L307" i="3"/>
  <c r="L308" i="3" s="1"/>
  <c r="L187" i="3"/>
  <c r="P53" i="25"/>
  <c r="P52" i="19"/>
  <c r="R26" i="25"/>
  <c r="R25" i="19"/>
  <c r="S159" i="3"/>
  <c r="O21" i="24"/>
  <c r="O21" i="20"/>
  <c r="K19" i="20"/>
  <c r="K12" i="20"/>
  <c r="L15" i="25"/>
  <c r="L14" i="19"/>
  <c r="K55" i="25"/>
  <c r="K54" i="19"/>
  <c r="N36" i="23"/>
  <c r="N249" i="3"/>
  <c r="O35" i="23"/>
  <c r="O142" i="3"/>
  <c r="K59" i="25"/>
  <c r="K25" i="11"/>
  <c r="K26" i="11" s="1"/>
  <c r="K58" i="19"/>
  <c r="K193" i="3"/>
  <c r="R46" i="25"/>
  <c r="R45" i="19"/>
  <c r="S179" i="3"/>
  <c r="R25" i="25"/>
  <c r="R24" i="19"/>
  <c r="S158" i="3"/>
  <c r="P80" i="25"/>
  <c r="P30" i="24"/>
  <c r="Q318" i="3"/>
  <c r="O22" i="25"/>
  <c r="O21" i="19"/>
  <c r="P155" i="3"/>
  <c r="Q61" i="25"/>
  <c r="Q60" i="19"/>
  <c r="Q18" i="11"/>
  <c r="S8" i="27"/>
  <c r="S8" i="26"/>
  <c r="N58" i="25"/>
  <c r="N57" i="19"/>
  <c r="N24" i="11"/>
  <c r="M10" i="25"/>
  <c r="M7" i="20"/>
  <c r="M9" i="19"/>
  <c r="M245" i="3"/>
  <c r="M145" i="3"/>
  <c r="J60" i="25"/>
  <c r="J59" i="19"/>
  <c r="P228" i="3"/>
  <c r="R23" i="23"/>
  <c r="R298" i="3"/>
  <c r="J19" i="25"/>
  <c r="J18" i="19"/>
  <c r="J154" i="3"/>
  <c r="J153" i="3"/>
  <c r="L27" i="25"/>
  <c r="L26" i="19"/>
  <c r="K17" i="25"/>
  <c r="K10" i="20"/>
  <c r="K16" i="19"/>
  <c r="K152" i="3"/>
  <c r="R21" i="23"/>
  <c r="R240" i="3"/>
  <c r="R47" i="23" s="1"/>
  <c r="R151" i="3"/>
  <c r="K54" i="25"/>
  <c r="K53" i="19"/>
  <c r="K17" i="20"/>
  <c r="K27" i="17"/>
  <c r="K19" i="11"/>
  <c r="L16" i="25"/>
  <c r="L9" i="20"/>
  <c r="L15" i="19"/>
  <c r="L267" i="3"/>
  <c r="L147" i="3"/>
  <c r="L146" i="3"/>
  <c r="S86" i="25"/>
  <c r="S36" i="24"/>
  <c r="M36" i="23"/>
  <c r="M249" i="3"/>
  <c r="Q28" i="23"/>
  <c r="R88" i="25"/>
  <c r="R38" i="24"/>
  <c r="R45" i="25"/>
  <c r="R44" i="19"/>
  <c r="S178" i="3"/>
  <c r="O31" i="25"/>
  <c r="O30" i="19"/>
  <c r="O365" i="3"/>
  <c r="O11" i="30" s="1"/>
  <c r="O191" i="3"/>
  <c r="O244" i="3"/>
  <c r="O51" i="23" s="1"/>
  <c r="P57" i="25"/>
  <c r="P56" i="19"/>
  <c r="P17" i="11"/>
  <c r="P44" i="23"/>
  <c r="P238" i="3"/>
  <c r="P45" i="23" s="1"/>
  <c r="P239" i="3"/>
  <c r="P46" i="23" s="1"/>
  <c r="Q18" i="24"/>
  <c r="Q20" i="20"/>
  <c r="Q166" i="3"/>
  <c r="Q302" i="3"/>
  <c r="L17" i="25"/>
  <c r="L10" i="20"/>
  <c r="L16" i="19"/>
  <c r="L152" i="3"/>
  <c r="Q8" i="25"/>
  <c r="Q7" i="19"/>
  <c r="Q5" i="11"/>
  <c r="Q237" i="3"/>
  <c r="P47" i="25"/>
  <c r="P46" i="19"/>
  <c r="Q180" i="3"/>
  <c r="P164" i="3"/>
  <c r="Q170" i="3"/>
  <c r="P21" i="24"/>
  <c r="P21" i="20"/>
  <c r="J287" i="3"/>
  <c r="K284" i="3"/>
  <c r="P22" i="24"/>
  <c r="J276" i="3"/>
  <c r="J265" i="3"/>
  <c r="R29" i="23"/>
  <c r="R219" i="3"/>
  <c r="R174" i="3"/>
  <c r="R170" i="3" s="1"/>
  <c r="R225" i="3"/>
  <c r="R32" i="23" s="1"/>
  <c r="R221" i="3"/>
  <c r="R220" i="3"/>
  <c r="R27" i="23" s="1"/>
  <c r="R194" i="3"/>
  <c r="K13" i="25"/>
  <c r="K12" i="19"/>
  <c r="O57" i="25"/>
  <c r="O56" i="19"/>
  <c r="O17" i="11"/>
  <c r="P33" i="25"/>
  <c r="P32" i="19"/>
  <c r="K274" i="3"/>
  <c r="J277" i="3"/>
  <c r="K279" i="3"/>
  <c r="J282" i="3"/>
  <c r="K280" i="3" s="1"/>
  <c r="K281" i="3" s="1"/>
  <c r="S87" i="25"/>
  <c r="S37" i="24"/>
  <c r="S326" i="3"/>
  <c r="L278" i="3"/>
  <c r="L288" i="3"/>
  <c r="L283" i="3"/>
  <c r="L192" i="3"/>
  <c r="L273" i="3"/>
  <c r="K147" i="3"/>
  <c r="S19" i="23"/>
  <c r="S215" i="3"/>
  <c r="S22" i="23" s="1"/>
  <c r="S222" i="3"/>
  <c r="S214" i="3"/>
  <c r="S165" i="3"/>
  <c r="F22" i="2"/>
  <c r="S216" i="3"/>
  <c r="K289" i="3"/>
  <c r="J292" i="3"/>
  <c r="K290" i="3" s="1"/>
  <c r="K291" i="3" s="1"/>
  <c r="N10" i="25"/>
  <c r="N7" i="20"/>
  <c r="N9" i="19"/>
  <c r="N245" i="3"/>
  <c r="N145" i="3"/>
  <c r="Q26" i="23"/>
  <c r="Q223" i="3"/>
  <c r="Q30" i="23" s="1"/>
  <c r="Q300" i="3"/>
  <c r="L281" i="3" l="1"/>
  <c r="R37" i="25"/>
  <c r="R36" i="19"/>
  <c r="R61" i="25"/>
  <c r="R60" i="19"/>
  <c r="R18" i="11"/>
  <c r="S21" i="23"/>
  <c r="E36" i="5"/>
  <c r="E5" i="5"/>
  <c r="S240" i="3"/>
  <c r="S47" i="23" s="1"/>
  <c r="S151" i="3"/>
  <c r="K14" i="25"/>
  <c r="K13" i="19"/>
  <c r="Q33" i="25"/>
  <c r="Q32" i="19"/>
  <c r="Q20" i="24"/>
  <c r="Q368" i="3"/>
  <c r="Q14" i="30" s="1"/>
  <c r="Q301" i="3"/>
  <c r="Q190" i="3"/>
  <c r="L59" i="25"/>
  <c r="L58" i="19"/>
  <c r="L25" i="11"/>
  <c r="L26" i="11" s="1"/>
  <c r="L193" i="3"/>
  <c r="K282" i="3"/>
  <c r="L280" i="3" s="1"/>
  <c r="L279" i="3"/>
  <c r="S45" i="25"/>
  <c r="S44" i="19"/>
  <c r="O9" i="25"/>
  <c r="O8" i="19"/>
  <c r="O6" i="11"/>
  <c r="O229" i="3"/>
  <c r="O250" i="3"/>
  <c r="O143" i="3"/>
  <c r="R8" i="25"/>
  <c r="R7" i="19"/>
  <c r="R237" i="3"/>
  <c r="R5" i="11"/>
  <c r="S29" i="23"/>
  <c r="S225" i="3"/>
  <c r="S32" i="23" s="1"/>
  <c r="S221" i="3"/>
  <c r="S220" i="3"/>
  <c r="S27" i="23" s="1"/>
  <c r="S194" i="3"/>
  <c r="S219" i="3"/>
  <c r="S174" i="3"/>
  <c r="S170" i="3"/>
  <c r="E38" i="5"/>
  <c r="J293" i="3"/>
  <c r="K275" i="3"/>
  <c r="R41" i="25"/>
  <c r="R40" i="19"/>
  <c r="R232" i="3"/>
  <c r="R39" i="23" s="1"/>
  <c r="L284" i="3"/>
  <c r="L19" i="25"/>
  <c r="L18" i="19"/>
  <c r="L154" i="3"/>
  <c r="L153" i="3"/>
  <c r="P35" i="23"/>
  <c r="P142" i="3"/>
  <c r="S46" i="25"/>
  <c r="S45" i="19"/>
  <c r="L274" i="3"/>
  <c r="R26" i="23"/>
  <c r="R223" i="3"/>
  <c r="R30" i="23" s="1"/>
  <c r="S42" i="23"/>
  <c r="E37" i="5"/>
  <c r="E6" i="5"/>
  <c r="S241" i="3"/>
  <c r="S48" i="23" s="1"/>
  <c r="S141" i="3"/>
  <c r="R18" i="25"/>
  <c r="R17" i="19"/>
  <c r="R299" i="3"/>
  <c r="R19" i="24" s="1"/>
  <c r="R186" i="3"/>
  <c r="Q80" i="25"/>
  <c r="Q30" i="24"/>
  <c r="R318" i="3"/>
  <c r="N12" i="25"/>
  <c r="N8" i="20"/>
  <c r="N11" i="19"/>
  <c r="N269" i="3"/>
  <c r="N14" i="20" s="1"/>
  <c r="N272" i="3"/>
  <c r="N157" i="3"/>
  <c r="N149" i="3"/>
  <c r="N160" i="3"/>
  <c r="N173" i="3"/>
  <c r="N168" i="3"/>
  <c r="N148" i="3"/>
  <c r="L289" i="3"/>
  <c r="K292" i="3"/>
  <c r="L290" i="3" s="1"/>
  <c r="L291" i="3" s="1"/>
  <c r="K285" i="3"/>
  <c r="K286" i="3" s="1"/>
  <c r="J294" i="3"/>
  <c r="J172" i="3" s="1"/>
  <c r="L54" i="25"/>
  <c r="L53" i="19"/>
  <c r="L17" i="20"/>
  <c r="L27" i="17"/>
  <c r="L19" i="11"/>
  <c r="N52" i="23"/>
  <c r="N248" i="3"/>
  <c r="S23" i="23"/>
  <c r="S298" i="3"/>
  <c r="S231" i="3"/>
  <c r="S38" i="23" s="1"/>
  <c r="O58" i="25"/>
  <c r="O57" i="19"/>
  <c r="O24" i="11"/>
  <c r="L13" i="25"/>
  <c r="L12" i="19"/>
  <c r="J20" i="25"/>
  <c r="J19" i="19"/>
  <c r="J11" i="20"/>
  <c r="J25" i="17"/>
  <c r="J311" i="3"/>
  <c r="J12" i="11"/>
  <c r="J312" i="3"/>
  <c r="L14" i="25"/>
  <c r="L13" i="19"/>
  <c r="K19" i="25"/>
  <c r="K18" i="19"/>
  <c r="K153" i="3"/>
  <c r="K154" i="3" s="1"/>
  <c r="J21" i="25"/>
  <c r="J20" i="19"/>
  <c r="J391" i="3"/>
  <c r="J350" i="3"/>
  <c r="J333" i="3"/>
  <c r="J156" i="3"/>
  <c r="J184" i="3"/>
  <c r="C23" i="2"/>
  <c r="J316" i="3"/>
  <c r="J338" i="3"/>
  <c r="M12" i="25"/>
  <c r="M8" i="20"/>
  <c r="M11" i="19"/>
  <c r="M272" i="3"/>
  <c r="M157" i="3"/>
  <c r="M150" i="3"/>
  <c r="M149" i="3"/>
  <c r="M160" i="3"/>
  <c r="M148" i="3"/>
  <c r="M168" i="3"/>
  <c r="M173" i="3"/>
  <c r="K60" i="25"/>
  <c r="K59" i="19"/>
  <c r="P22" i="25"/>
  <c r="P21" i="19"/>
  <c r="Q155" i="3"/>
  <c r="S26" i="25"/>
  <c r="S25" i="19"/>
  <c r="S32" i="25"/>
  <c r="S31" i="19"/>
  <c r="J185" i="3"/>
  <c r="J10" i="11"/>
  <c r="J15" i="11" s="1"/>
  <c r="J20" i="11" s="1"/>
  <c r="J266" i="3"/>
  <c r="Q37" i="25"/>
  <c r="Q36" i="19"/>
  <c r="Q22" i="24"/>
  <c r="Q228" i="3"/>
  <c r="L12" i="20"/>
  <c r="L19" i="20"/>
  <c r="M52" i="23"/>
  <c r="M248" i="3"/>
  <c r="S25" i="25"/>
  <c r="S24" i="19"/>
  <c r="L55" i="25"/>
  <c r="L54" i="19"/>
  <c r="S88" i="25"/>
  <c r="S38" i="24"/>
  <c r="E40" i="5"/>
  <c r="E9" i="5"/>
  <c r="Q44" i="23"/>
  <c r="Q238" i="3"/>
  <c r="Q45" i="23" s="1"/>
  <c r="Q239" i="3"/>
  <c r="Q46" i="23" s="1"/>
  <c r="R28" i="23"/>
  <c r="R228" i="3"/>
  <c r="P31" i="25"/>
  <c r="P30" i="19"/>
  <c r="P365" i="3"/>
  <c r="P11" i="30" s="1"/>
  <c r="P191" i="3"/>
  <c r="P244" i="3"/>
  <c r="P51" i="23" s="1"/>
  <c r="Q53" i="25"/>
  <c r="Q52" i="19"/>
  <c r="Q47" i="25"/>
  <c r="Q46" i="19"/>
  <c r="Q164" i="3"/>
  <c r="R180" i="3"/>
  <c r="R300" i="3"/>
  <c r="R18" i="24"/>
  <c r="R20" i="20"/>
  <c r="S300" i="3"/>
  <c r="R166" i="3"/>
  <c r="R302" i="3"/>
  <c r="K21" i="25" l="1"/>
  <c r="K20" i="19"/>
  <c r="K350" i="3"/>
  <c r="K184" i="3"/>
  <c r="K333" i="3"/>
  <c r="K156" i="3"/>
  <c r="K338" i="3"/>
  <c r="S20" i="24"/>
  <c r="S301" i="3"/>
  <c r="S368" i="3"/>
  <c r="S14" i="30" s="1"/>
  <c r="S190" i="3"/>
  <c r="R20" i="24"/>
  <c r="R368" i="3"/>
  <c r="R14" i="30" s="1"/>
  <c r="R301" i="3"/>
  <c r="R190" i="3"/>
  <c r="R47" i="25"/>
  <c r="R46" i="19"/>
  <c r="S180" i="3"/>
  <c r="R164" i="3"/>
  <c r="H9" i="5"/>
  <c r="G9" i="5"/>
  <c r="R33" i="25"/>
  <c r="R32" i="19"/>
  <c r="R35" i="23"/>
  <c r="R142" i="3"/>
  <c r="M35" i="25"/>
  <c r="M34" i="19"/>
  <c r="M307" i="3"/>
  <c r="M308" i="3" s="1"/>
  <c r="M187" i="3"/>
  <c r="J32" i="28"/>
  <c r="J17" i="21"/>
  <c r="J32" i="20"/>
  <c r="J32" i="17"/>
  <c r="J352" i="3"/>
  <c r="J39" i="25"/>
  <c r="J38" i="19"/>
  <c r="J196" i="3"/>
  <c r="N16" i="25"/>
  <c r="N15" i="19"/>
  <c r="N9" i="20"/>
  <c r="K8" i="10"/>
  <c r="L8" i="10" s="1"/>
  <c r="N267" i="3"/>
  <c r="N146" i="3"/>
  <c r="R80" i="25"/>
  <c r="R30" i="24"/>
  <c r="S318" i="3"/>
  <c r="L20" i="25"/>
  <c r="L11" i="20"/>
  <c r="L19" i="19"/>
  <c r="L12" i="11"/>
  <c r="L25" i="17"/>
  <c r="L312" i="3"/>
  <c r="L311" i="3"/>
  <c r="Q57" i="25"/>
  <c r="Q56" i="19"/>
  <c r="Q17" i="11"/>
  <c r="Q22" i="25"/>
  <c r="Q21" i="19"/>
  <c r="R155" i="3"/>
  <c r="S8" i="25"/>
  <c r="S7" i="19"/>
  <c r="S5" i="11"/>
  <c r="E66" i="5"/>
  <c r="S237" i="3"/>
  <c r="S28" i="23"/>
  <c r="M27" i="25"/>
  <c r="M26" i="19"/>
  <c r="J95" i="25"/>
  <c r="J45" i="24"/>
  <c r="J337" i="3"/>
  <c r="J12" i="27"/>
  <c r="J392" i="3"/>
  <c r="N150" i="3"/>
  <c r="J369" i="3"/>
  <c r="J15" i="30" s="1"/>
  <c r="J167" i="3"/>
  <c r="L282" i="3"/>
  <c r="M280" i="3" s="1"/>
  <c r="M281" i="3" s="1"/>
  <c r="M279" i="3"/>
  <c r="S18" i="25"/>
  <c r="S17" i="19"/>
  <c r="E70" i="5"/>
  <c r="S299" i="3"/>
  <c r="S19" i="24" s="1"/>
  <c r="S186" i="3"/>
  <c r="L21" i="25"/>
  <c r="L20" i="19"/>
  <c r="L350" i="3"/>
  <c r="L333" i="3"/>
  <c r="L184" i="3"/>
  <c r="L156" i="3"/>
  <c r="D23" i="2"/>
  <c r="L338" i="3"/>
  <c r="K265" i="3"/>
  <c r="O10" i="25"/>
  <c r="O7" i="20"/>
  <c r="O9" i="19"/>
  <c r="O245" i="3"/>
  <c r="O145" i="3"/>
  <c r="Q21" i="24"/>
  <c r="Q21" i="20"/>
  <c r="Q35" i="23"/>
  <c r="Q142" i="3"/>
  <c r="J52" i="25"/>
  <c r="J51" i="19"/>
  <c r="M16" i="25"/>
  <c r="M9" i="20"/>
  <c r="M15" i="19"/>
  <c r="M267" i="3"/>
  <c r="M146" i="3"/>
  <c r="M147" i="3" s="1"/>
  <c r="J100" i="25"/>
  <c r="J50" i="24"/>
  <c r="K339" i="3"/>
  <c r="J340" i="3"/>
  <c r="L292" i="3"/>
  <c r="M290" i="3" s="1"/>
  <c r="M291" i="3" s="1"/>
  <c r="N288" i="3"/>
  <c r="N273" i="3"/>
  <c r="N283" i="3"/>
  <c r="N278" i="3"/>
  <c r="N192" i="3"/>
  <c r="H38" i="5"/>
  <c r="G38" i="5"/>
  <c r="O36" i="23"/>
  <c r="O249" i="3"/>
  <c r="M15" i="25"/>
  <c r="M14" i="19"/>
  <c r="K20" i="25"/>
  <c r="K11" i="20"/>
  <c r="K25" i="17"/>
  <c r="K19" i="19"/>
  <c r="K12" i="11"/>
  <c r="K311" i="3"/>
  <c r="K312" i="3"/>
  <c r="P58" i="25"/>
  <c r="P57" i="19"/>
  <c r="P24" i="11"/>
  <c r="M17" i="25"/>
  <c r="M16" i="19"/>
  <c r="M10" i="20"/>
  <c r="M152" i="3"/>
  <c r="J78" i="25"/>
  <c r="J28" i="24"/>
  <c r="J327" i="3"/>
  <c r="N15" i="25"/>
  <c r="N14" i="19"/>
  <c r="R53" i="25"/>
  <c r="R52" i="19"/>
  <c r="H6" i="5"/>
  <c r="G6" i="5"/>
  <c r="M284" i="3"/>
  <c r="S37" i="25"/>
  <c r="S36" i="19"/>
  <c r="L60" i="25"/>
  <c r="L59" i="19"/>
  <c r="H5" i="5"/>
  <c r="G5" i="5"/>
  <c r="F5" i="5"/>
  <c r="J5" i="5"/>
  <c r="N35" i="25"/>
  <c r="N34" i="19"/>
  <c r="N307" i="3"/>
  <c r="N308" i="3" s="1"/>
  <c r="N187" i="3"/>
  <c r="H37" i="5"/>
  <c r="G37" i="5"/>
  <c r="K287" i="3"/>
  <c r="S41" i="25"/>
  <c r="S40" i="19"/>
  <c r="S232" i="3"/>
  <c r="S39" i="23" s="1"/>
  <c r="H36" i="5"/>
  <c r="G36" i="5"/>
  <c r="F36" i="5"/>
  <c r="J36" i="5"/>
  <c r="J51" i="25"/>
  <c r="J50" i="19"/>
  <c r="J189" i="3"/>
  <c r="N40" i="25"/>
  <c r="N39" i="19"/>
  <c r="N188" i="3"/>
  <c r="P9" i="25"/>
  <c r="P8" i="19"/>
  <c r="P6" i="11"/>
  <c r="P229" i="3"/>
  <c r="P250" i="3"/>
  <c r="P143" i="3"/>
  <c r="S26" i="23"/>
  <c r="S223" i="3"/>
  <c r="S30" i="23" s="1"/>
  <c r="R44" i="23"/>
  <c r="R238" i="3"/>
  <c r="R45" i="23" s="1"/>
  <c r="R239" i="3"/>
  <c r="R46" i="23" s="1"/>
  <c r="K276" i="3"/>
  <c r="Q31" i="25"/>
  <c r="Q30" i="19"/>
  <c r="Q365" i="3"/>
  <c r="Q11" i="30" s="1"/>
  <c r="Q191" i="3"/>
  <c r="Q244" i="3"/>
  <c r="Q51" i="23" s="1"/>
  <c r="H40" i="5"/>
  <c r="G40" i="5"/>
  <c r="M278" i="3"/>
  <c r="M288" i="3"/>
  <c r="M289" i="3" s="1"/>
  <c r="M273" i="3"/>
  <c r="M274" i="3" s="1"/>
  <c r="M283" i="3"/>
  <c r="M192" i="3"/>
  <c r="R22" i="24"/>
  <c r="M40" i="25"/>
  <c r="M39" i="19"/>
  <c r="M188" i="3"/>
  <c r="M269" i="3"/>
  <c r="M14" i="20" s="1"/>
  <c r="J23" i="25"/>
  <c r="J22" i="19"/>
  <c r="S18" i="24"/>
  <c r="S20" i="20"/>
  <c r="S166" i="3"/>
  <c r="S302" i="3"/>
  <c r="N27" i="25"/>
  <c r="N26" i="19"/>
  <c r="S61" i="25"/>
  <c r="S60" i="19"/>
  <c r="S18" i="11"/>
  <c r="N274" i="3" l="1"/>
  <c r="M292" i="3"/>
  <c r="N290" i="3" s="1"/>
  <c r="N291" i="3" s="1"/>
  <c r="N289" i="3"/>
  <c r="M14" i="25"/>
  <c r="M13" i="19"/>
  <c r="M59" i="25"/>
  <c r="M58" i="19"/>
  <c r="M25" i="11"/>
  <c r="M26" i="11" s="1"/>
  <c r="M193" i="3"/>
  <c r="Q58" i="25"/>
  <c r="Q57" i="19"/>
  <c r="Q24" i="11"/>
  <c r="S22" i="24"/>
  <c r="J56" i="25"/>
  <c r="J55" i="19"/>
  <c r="O52" i="23"/>
  <c r="O248" i="3"/>
  <c r="L23" i="25"/>
  <c r="L22" i="19"/>
  <c r="J13" i="27"/>
  <c r="E129" i="5"/>
  <c r="S228" i="3"/>
  <c r="R31" i="25"/>
  <c r="R30" i="19"/>
  <c r="R191" i="3"/>
  <c r="R365" i="3"/>
  <c r="R11" i="30" s="1"/>
  <c r="R244" i="3"/>
  <c r="R51" i="23" s="1"/>
  <c r="S57" i="25"/>
  <c r="S56" i="19"/>
  <c r="S17" i="11"/>
  <c r="K51" i="25"/>
  <c r="K50" i="19"/>
  <c r="J6" i="5"/>
  <c r="F6" i="5"/>
  <c r="J99" i="25"/>
  <c r="J49" i="24"/>
  <c r="J175" i="3"/>
  <c r="R9" i="25"/>
  <c r="R6" i="11"/>
  <c r="R8" i="19"/>
  <c r="R250" i="3"/>
  <c r="R229" i="3"/>
  <c r="R143" i="3"/>
  <c r="S21" i="24"/>
  <c r="S21" i="20"/>
  <c r="M13" i="25"/>
  <c r="M12" i="19"/>
  <c r="J34" i="28"/>
  <c r="J19" i="21"/>
  <c r="J34" i="20"/>
  <c r="J37" i="5"/>
  <c r="F37" i="5"/>
  <c r="L285" i="3"/>
  <c r="L286" i="3" s="1"/>
  <c r="K294" i="3"/>
  <c r="K172" i="3" s="1"/>
  <c r="M19" i="20"/>
  <c r="M12" i="20"/>
  <c r="Q9" i="25"/>
  <c r="Q8" i="19"/>
  <c r="Q6" i="11"/>
  <c r="Q250" i="3"/>
  <c r="Q229" i="3"/>
  <c r="Q143" i="3"/>
  <c r="L51" i="25"/>
  <c r="L50" i="19"/>
  <c r="S53" i="25"/>
  <c r="S52" i="19"/>
  <c r="J34" i="25"/>
  <c r="J33" i="19"/>
  <c r="J317" i="3"/>
  <c r="S44" i="23"/>
  <c r="S238" i="3"/>
  <c r="S45" i="23" s="1"/>
  <c r="S239" i="3"/>
  <c r="S46" i="23" s="1"/>
  <c r="P36" i="23"/>
  <c r="P249" i="3"/>
  <c r="R22" i="25"/>
  <c r="R21" i="19"/>
  <c r="S155" i="3"/>
  <c r="S80" i="25"/>
  <c r="S30" i="24"/>
  <c r="J89" i="25"/>
  <c r="J39" i="24"/>
  <c r="L95" i="25"/>
  <c r="L45" i="24"/>
  <c r="J66" i="5"/>
  <c r="I66" i="5"/>
  <c r="N13" i="25"/>
  <c r="N12" i="19"/>
  <c r="R57" i="25"/>
  <c r="R56" i="19"/>
  <c r="R17" i="11"/>
  <c r="K32" i="28"/>
  <c r="K17" i="21"/>
  <c r="K32" i="20"/>
  <c r="K32" i="17"/>
  <c r="K352" i="3"/>
  <c r="N279" i="3"/>
  <c r="M282" i="3"/>
  <c r="N280" i="3" s="1"/>
  <c r="N281" i="3" s="1"/>
  <c r="S47" i="25"/>
  <c r="S46" i="19"/>
  <c r="S164" i="3"/>
  <c r="N284" i="3"/>
  <c r="N59" i="25"/>
  <c r="N58" i="19"/>
  <c r="N25" i="11"/>
  <c r="N26" i="11" s="1"/>
  <c r="N193" i="3"/>
  <c r="J102" i="25"/>
  <c r="J52" i="24"/>
  <c r="J342" i="3"/>
  <c r="K185" i="3"/>
  <c r="K189" i="3" s="1"/>
  <c r="K10" i="11"/>
  <c r="K15" i="11" s="1"/>
  <c r="K20" i="11" s="1"/>
  <c r="K266" i="3"/>
  <c r="N147" i="3"/>
  <c r="R21" i="24"/>
  <c r="R21" i="20"/>
  <c r="K100" i="25"/>
  <c r="K50" i="24"/>
  <c r="L339" i="3"/>
  <c r="K340" i="3"/>
  <c r="K277" i="3"/>
  <c r="K101" i="25"/>
  <c r="K51" i="24"/>
  <c r="E401" i="3"/>
  <c r="K341" i="3"/>
  <c r="K380" i="3"/>
  <c r="K335" i="3"/>
  <c r="K197" i="3"/>
  <c r="L100" i="25"/>
  <c r="L50" i="24"/>
  <c r="L340" i="3"/>
  <c r="M339" i="3"/>
  <c r="L32" i="28"/>
  <c r="L32" i="20"/>
  <c r="L17" i="21"/>
  <c r="L32" i="17"/>
  <c r="L352" i="3"/>
  <c r="G70" i="5"/>
  <c r="H70" i="5"/>
  <c r="N19" i="20"/>
  <c r="N12" i="20"/>
  <c r="J63" i="25"/>
  <c r="J30" i="11"/>
  <c r="J35" i="11" s="1"/>
  <c r="J39" i="11" s="1"/>
  <c r="J200" i="3"/>
  <c r="J201" i="3" s="1"/>
  <c r="M54" i="25"/>
  <c r="M53" i="19"/>
  <c r="M17" i="20"/>
  <c r="M27" i="17"/>
  <c r="M19" i="11"/>
  <c r="K23" i="25"/>
  <c r="K22" i="19"/>
  <c r="S33" i="25"/>
  <c r="S32" i="19"/>
  <c r="N55" i="25"/>
  <c r="N54" i="19"/>
  <c r="N54" i="25"/>
  <c r="N17" i="20"/>
  <c r="N19" i="11"/>
  <c r="N53" i="19"/>
  <c r="N27" i="17"/>
  <c r="M55" i="25"/>
  <c r="M54" i="19"/>
  <c r="P10" i="25"/>
  <c r="P7" i="20"/>
  <c r="P9" i="19"/>
  <c r="P245" i="3"/>
  <c r="P145" i="3"/>
  <c r="M19" i="25"/>
  <c r="M18" i="19"/>
  <c r="M154" i="3"/>
  <c r="M153" i="3"/>
  <c r="O12" i="25"/>
  <c r="O8" i="20"/>
  <c r="O11" i="19"/>
  <c r="O272" i="3"/>
  <c r="O269" i="3"/>
  <c r="O14" i="20" s="1"/>
  <c r="O150" i="3"/>
  <c r="O157" i="3"/>
  <c r="O149" i="3"/>
  <c r="O160" i="3"/>
  <c r="O168" i="3"/>
  <c r="O173" i="3"/>
  <c r="O148" i="3"/>
  <c r="N17" i="25"/>
  <c r="N16" i="19"/>
  <c r="N10" i="20"/>
  <c r="N152" i="3"/>
  <c r="K95" i="25"/>
  <c r="K45" i="24"/>
  <c r="J69" i="25" l="1"/>
  <c r="J67" i="19"/>
  <c r="J202" i="3"/>
  <c r="K56" i="25"/>
  <c r="K55" i="19"/>
  <c r="K293" i="3"/>
  <c r="L275" i="3"/>
  <c r="O288" i="3"/>
  <c r="O273" i="3"/>
  <c r="O283" i="3"/>
  <c r="O278" i="3"/>
  <c r="O192" i="3"/>
  <c r="O35" i="25"/>
  <c r="O34" i="19"/>
  <c r="O307" i="3"/>
  <c r="O308" i="3" s="1"/>
  <c r="O187" i="3"/>
  <c r="K12" i="26"/>
  <c r="K381" i="3"/>
  <c r="K13" i="26" s="1"/>
  <c r="L101" i="25"/>
  <c r="L51" i="24"/>
  <c r="L341" i="3"/>
  <c r="L335" i="3"/>
  <c r="L380" i="3"/>
  <c r="L197" i="3"/>
  <c r="K34" i="28"/>
  <c r="K34" i="20"/>
  <c r="K19" i="21"/>
  <c r="S22" i="25"/>
  <c r="S21" i="19"/>
  <c r="J79" i="25"/>
  <c r="J29" i="24"/>
  <c r="J319" i="3"/>
  <c r="Q10" i="25"/>
  <c r="Q7" i="20"/>
  <c r="Q9" i="19"/>
  <c r="Q245" i="3"/>
  <c r="Q145" i="3"/>
  <c r="K39" i="25"/>
  <c r="K38" i="19"/>
  <c r="K196" i="3"/>
  <c r="R58" i="25"/>
  <c r="R57" i="19"/>
  <c r="R24" i="11"/>
  <c r="N19" i="25"/>
  <c r="N18" i="19"/>
  <c r="N153" i="3"/>
  <c r="N154" i="3" s="1"/>
  <c r="O16" i="25"/>
  <c r="O9" i="20"/>
  <c r="O15" i="19"/>
  <c r="O267" i="3"/>
  <c r="O146" i="3"/>
  <c r="M20" i="25"/>
  <c r="M11" i="20"/>
  <c r="M19" i="19"/>
  <c r="M25" i="17"/>
  <c r="M12" i="11"/>
  <c r="M311" i="3"/>
  <c r="M312" i="3"/>
  <c r="M101" i="25"/>
  <c r="M51" i="24"/>
  <c r="M380" i="3"/>
  <c r="M341" i="3"/>
  <c r="M335" i="3"/>
  <c r="M197" i="3"/>
  <c r="E24" i="26"/>
  <c r="D37" i="2"/>
  <c r="J104" i="25"/>
  <c r="J54" i="24"/>
  <c r="O284" i="3"/>
  <c r="Q36" i="23"/>
  <c r="Q249" i="3"/>
  <c r="L287" i="3"/>
  <c r="J42" i="25"/>
  <c r="J41" i="19"/>
  <c r="J351" i="3"/>
  <c r="K332" i="3"/>
  <c r="J355" i="3"/>
  <c r="J37" i="20" s="1"/>
  <c r="K316" i="3"/>
  <c r="J357" i="3"/>
  <c r="J39" i="20" s="1"/>
  <c r="J354" i="3"/>
  <c r="J356" i="3"/>
  <c r="J38" i="20" s="1"/>
  <c r="J358" i="3"/>
  <c r="J40" i="20" s="1"/>
  <c r="J347" i="3"/>
  <c r="J176" i="3"/>
  <c r="K391" i="3"/>
  <c r="K52" i="25"/>
  <c r="K51" i="19"/>
  <c r="M21" i="25"/>
  <c r="M20" i="19"/>
  <c r="M333" i="3"/>
  <c r="M350" i="3"/>
  <c r="M156" i="3"/>
  <c r="M184" i="3"/>
  <c r="M338" i="3"/>
  <c r="L102" i="25"/>
  <c r="L52" i="24"/>
  <c r="L342" i="3"/>
  <c r="S31" i="25"/>
  <c r="S30" i="19"/>
  <c r="S365" i="3"/>
  <c r="S11" i="30" s="1"/>
  <c r="S191" i="3"/>
  <c r="S244" i="3"/>
  <c r="S51" i="23" s="1"/>
  <c r="M60" i="25"/>
  <c r="M59" i="19"/>
  <c r="N292" i="3"/>
  <c r="O290" i="3" s="1"/>
  <c r="O291" i="3" s="1"/>
  <c r="O289" i="3"/>
  <c r="O17" i="25"/>
  <c r="O16" i="19"/>
  <c r="O10" i="20"/>
  <c r="O152" i="3"/>
  <c r="J38" i="5"/>
  <c r="F38" i="5"/>
  <c r="R10" i="25"/>
  <c r="R7" i="20"/>
  <c r="R9" i="19"/>
  <c r="R245" i="3"/>
  <c r="R145" i="3"/>
  <c r="S35" i="23"/>
  <c r="S142" i="3"/>
  <c r="L34" i="28"/>
  <c r="L19" i="21"/>
  <c r="L34" i="20"/>
  <c r="R36" i="23"/>
  <c r="R249" i="3"/>
  <c r="H129" i="5"/>
  <c r="G129" i="5"/>
  <c r="J129" i="5"/>
  <c r="F129" i="5"/>
  <c r="O27" i="25"/>
  <c r="O26" i="19"/>
  <c r="K103" i="25"/>
  <c r="K53" i="24"/>
  <c r="P12" i="25"/>
  <c r="P8" i="20"/>
  <c r="P11" i="19"/>
  <c r="P272" i="3"/>
  <c r="P150" i="3"/>
  <c r="P157" i="3"/>
  <c r="P149" i="3"/>
  <c r="P160" i="3"/>
  <c r="P148" i="3"/>
  <c r="P168" i="3"/>
  <c r="P173" i="3"/>
  <c r="K65" i="25"/>
  <c r="K63" i="19"/>
  <c r="K31" i="11"/>
  <c r="O274" i="3"/>
  <c r="N14" i="25"/>
  <c r="N13" i="19"/>
  <c r="N60" i="25"/>
  <c r="N59" i="19"/>
  <c r="O15" i="25"/>
  <c r="O14" i="19"/>
  <c r="J68" i="25"/>
  <c r="J66" i="19"/>
  <c r="O40" i="25"/>
  <c r="O39" i="19"/>
  <c r="O188" i="3"/>
  <c r="P52" i="23"/>
  <c r="P248" i="3"/>
  <c r="J50" i="11"/>
  <c r="J41" i="11"/>
  <c r="K97" i="25"/>
  <c r="K47" i="24"/>
  <c r="K102" i="25"/>
  <c r="K52" i="24"/>
  <c r="K342" i="3"/>
  <c r="N282" i="3"/>
  <c r="O280" i="3" s="1"/>
  <c r="O281" i="3" s="1"/>
  <c r="O279" i="3"/>
  <c r="N21" i="25" l="1"/>
  <c r="N20" i="19"/>
  <c r="N333" i="3"/>
  <c r="N350" i="3"/>
  <c r="N184" i="3"/>
  <c r="N156" i="3"/>
  <c r="E23" i="2"/>
  <c r="N338" i="3"/>
  <c r="R52" i="23"/>
  <c r="R248" i="3"/>
  <c r="M51" i="25"/>
  <c r="M50" i="19"/>
  <c r="O13" i="25"/>
  <c r="O12" i="19"/>
  <c r="K63" i="25"/>
  <c r="K30" i="11"/>
  <c r="K35" i="11" s="1"/>
  <c r="K39" i="11" s="1"/>
  <c r="K200" i="3"/>
  <c r="P40" i="25"/>
  <c r="P39" i="19"/>
  <c r="P188" i="3"/>
  <c r="P273" i="3"/>
  <c r="P274" i="3" s="1"/>
  <c r="P283" i="3"/>
  <c r="P288" i="3"/>
  <c r="P278" i="3"/>
  <c r="P279" i="3" s="1"/>
  <c r="P192" i="3"/>
  <c r="M23" i="25"/>
  <c r="M22" i="19"/>
  <c r="J36" i="20"/>
  <c r="J359" i="3"/>
  <c r="M285" i="3"/>
  <c r="M286" i="3" s="1"/>
  <c r="L294" i="3"/>
  <c r="L172" i="3" s="1"/>
  <c r="O147" i="3"/>
  <c r="J81" i="25"/>
  <c r="J31" i="24"/>
  <c r="J320" i="3"/>
  <c r="J416" i="3"/>
  <c r="J328" i="3"/>
  <c r="J329" i="3"/>
  <c r="O59" i="25"/>
  <c r="O58" i="19"/>
  <c r="O25" i="11"/>
  <c r="O26" i="11" s="1"/>
  <c r="O193" i="3"/>
  <c r="P17" i="25"/>
  <c r="P10" i="20"/>
  <c r="P16" i="19"/>
  <c r="P152" i="3"/>
  <c r="S58" i="25"/>
  <c r="S57" i="19"/>
  <c r="S24" i="11"/>
  <c r="P35" i="25"/>
  <c r="P34" i="19"/>
  <c r="P307" i="3"/>
  <c r="P308" i="3" s="1"/>
  <c r="P187" i="3"/>
  <c r="M32" i="28"/>
  <c r="M17" i="21"/>
  <c r="M32" i="20"/>
  <c r="M32" i="17"/>
  <c r="M352" i="3"/>
  <c r="M65" i="25"/>
  <c r="M63" i="19"/>
  <c r="M31" i="11"/>
  <c r="O19" i="20"/>
  <c r="O12" i="20"/>
  <c r="N20" i="25"/>
  <c r="N11" i="20"/>
  <c r="N25" i="17"/>
  <c r="N19" i="19"/>
  <c r="N12" i="11"/>
  <c r="N312" i="3"/>
  <c r="N311" i="3"/>
  <c r="L103" i="25"/>
  <c r="L53" i="24"/>
  <c r="K40" i="11"/>
  <c r="J51" i="11"/>
  <c r="J53" i="11" s="1"/>
  <c r="J373" i="3" s="1"/>
  <c r="J19" i="30" s="1"/>
  <c r="O282" i="3"/>
  <c r="P15" i="25"/>
  <c r="P14" i="19"/>
  <c r="P289" i="3"/>
  <c r="O292" i="3"/>
  <c r="P290" i="3" s="1"/>
  <c r="P291" i="3" s="1"/>
  <c r="K78" i="25"/>
  <c r="K28" i="24"/>
  <c r="K327" i="3"/>
  <c r="M97" i="25"/>
  <c r="M47" i="24"/>
  <c r="Q12" i="25"/>
  <c r="Q8" i="20"/>
  <c r="Q11" i="19"/>
  <c r="Q272" i="3"/>
  <c r="Q157" i="3"/>
  <c r="Q149" i="3"/>
  <c r="Q269" i="3" s="1"/>
  <c r="Q14" i="20" s="1"/>
  <c r="Q160" i="3"/>
  <c r="Q148" i="3"/>
  <c r="Q168" i="3"/>
  <c r="Q173" i="3"/>
  <c r="M103" i="25"/>
  <c r="M53" i="24"/>
  <c r="P16" i="25"/>
  <c r="P15" i="19"/>
  <c r="P9" i="20"/>
  <c r="P267" i="3"/>
  <c r="P146" i="3"/>
  <c r="M95" i="25"/>
  <c r="M45" i="24"/>
  <c r="J43" i="25"/>
  <c r="J42" i="19"/>
  <c r="K94" i="25"/>
  <c r="K44" i="24"/>
  <c r="K337" i="3"/>
  <c r="M12" i="26"/>
  <c r="M381" i="3"/>
  <c r="M13" i="26" s="1"/>
  <c r="Q52" i="23"/>
  <c r="Q248" i="3"/>
  <c r="L65" i="25"/>
  <c r="L63" i="19"/>
  <c r="L31" i="11"/>
  <c r="O54" i="25"/>
  <c r="O17" i="20"/>
  <c r="O53" i="19"/>
  <c r="O19" i="11"/>
  <c r="O27" i="17"/>
  <c r="J70" i="25"/>
  <c r="J68" i="19"/>
  <c r="J163" i="3"/>
  <c r="P27" i="25"/>
  <c r="P26" i="19"/>
  <c r="K12" i="27"/>
  <c r="K392" i="3"/>
  <c r="O55" i="25"/>
  <c r="O54" i="19"/>
  <c r="R12" i="25"/>
  <c r="R11" i="19"/>
  <c r="R8" i="20"/>
  <c r="R272" i="3"/>
  <c r="R269" i="3"/>
  <c r="R14" i="20" s="1"/>
  <c r="R157" i="3"/>
  <c r="R150" i="3"/>
  <c r="R149" i="3"/>
  <c r="R160" i="3"/>
  <c r="R148" i="3"/>
  <c r="R173" i="3"/>
  <c r="R168" i="3"/>
  <c r="L12" i="26"/>
  <c r="L381" i="3"/>
  <c r="L13" i="26" s="1"/>
  <c r="L265" i="3"/>
  <c r="L276" i="3"/>
  <c r="S9" i="25"/>
  <c r="S8" i="19"/>
  <c r="S6" i="11"/>
  <c r="E67" i="5"/>
  <c r="E7" i="5"/>
  <c r="S250" i="3"/>
  <c r="S229" i="3"/>
  <c r="S143" i="3"/>
  <c r="L104" i="25"/>
  <c r="L54" i="24"/>
  <c r="K104" i="25"/>
  <c r="K54" i="24"/>
  <c r="J29" i="20"/>
  <c r="J31" i="17"/>
  <c r="H11" i="10"/>
  <c r="I11" i="10" s="1"/>
  <c r="C24" i="2"/>
  <c r="J33" i="28"/>
  <c r="J33" i="20"/>
  <c r="J18" i="21"/>
  <c r="J33" i="17"/>
  <c r="J353" i="3"/>
  <c r="C30" i="2"/>
  <c r="P284" i="3"/>
  <c r="P269" i="3"/>
  <c r="P14" i="20" s="1"/>
  <c r="O19" i="25"/>
  <c r="O18" i="19"/>
  <c r="O154" i="3"/>
  <c r="O153" i="3"/>
  <c r="M100" i="25"/>
  <c r="M50" i="24"/>
  <c r="M340" i="3"/>
  <c r="N339" i="3"/>
  <c r="L97" i="25"/>
  <c r="L47" i="24"/>
  <c r="K369" i="3"/>
  <c r="K15" i="30" s="1"/>
  <c r="K167" i="3"/>
  <c r="S36" i="23" l="1"/>
  <c r="E39" i="5"/>
  <c r="S249" i="3"/>
  <c r="Q27" i="25"/>
  <c r="Q26" i="19"/>
  <c r="R15" i="25"/>
  <c r="R14" i="19"/>
  <c r="S10" i="25"/>
  <c r="S7" i="20"/>
  <c r="S9" i="19"/>
  <c r="E41" i="5"/>
  <c r="S245" i="3"/>
  <c r="S145" i="3"/>
  <c r="L277" i="3"/>
  <c r="R16" i="25"/>
  <c r="R9" i="20"/>
  <c r="R15" i="19"/>
  <c r="R267" i="3"/>
  <c r="R146" i="3"/>
  <c r="P19" i="20"/>
  <c r="P12" i="20"/>
  <c r="P59" i="25"/>
  <c r="P58" i="19"/>
  <c r="P25" i="11"/>
  <c r="P26" i="11" s="1"/>
  <c r="P193" i="3"/>
  <c r="K68" i="25"/>
  <c r="K66" i="19"/>
  <c r="K201" i="3"/>
  <c r="N32" i="28"/>
  <c r="N17" i="21"/>
  <c r="N32" i="20"/>
  <c r="N32" i="17"/>
  <c r="N352" i="3"/>
  <c r="Q40" i="25"/>
  <c r="Q39" i="19"/>
  <c r="Q188" i="3"/>
  <c r="Q283" i="3"/>
  <c r="Q284" i="3" s="1"/>
  <c r="Q288" i="3"/>
  <c r="Q273" i="3"/>
  <c r="Q274" i="3" s="1"/>
  <c r="Q278" i="3"/>
  <c r="Q279" i="3" s="1"/>
  <c r="Q192" i="3"/>
  <c r="P54" i="25"/>
  <c r="P17" i="20"/>
  <c r="P53" i="19"/>
  <c r="P27" i="17"/>
  <c r="P19" i="11"/>
  <c r="O14" i="25"/>
  <c r="O13" i="19"/>
  <c r="K50" i="11"/>
  <c r="K34" i="25"/>
  <c r="K33" i="19"/>
  <c r="K317" i="3"/>
  <c r="O20" i="25"/>
  <c r="O11" i="20"/>
  <c r="O19" i="19"/>
  <c r="O25" i="17"/>
  <c r="O12" i="11"/>
  <c r="O312" i="3"/>
  <c r="O311" i="3"/>
  <c r="J35" i="28"/>
  <c r="J35" i="20"/>
  <c r="J20" i="21"/>
  <c r="K13" i="27"/>
  <c r="E130" i="5"/>
  <c r="Q35" i="25"/>
  <c r="Q34" i="19"/>
  <c r="Q307" i="3"/>
  <c r="Q308" i="3" s="1"/>
  <c r="Q187" i="3"/>
  <c r="K41" i="11"/>
  <c r="K52" i="11"/>
  <c r="M34" i="28"/>
  <c r="M19" i="21"/>
  <c r="M34" i="20"/>
  <c r="L39" i="25"/>
  <c r="L38" i="19"/>
  <c r="L196" i="3"/>
  <c r="O21" i="25"/>
  <c r="O20" i="19"/>
  <c r="O333" i="3"/>
  <c r="O350" i="3"/>
  <c r="O184" i="3"/>
  <c r="O156" i="3"/>
  <c r="O338" i="3"/>
  <c r="H7" i="5"/>
  <c r="G7" i="5"/>
  <c r="F7" i="5"/>
  <c r="J7" i="5"/>
  <c r="Q15" i="25"/>
  <c r="Q14" i="19"/>
  <c r="P292" i="3"/>
  <c r="Q290" i="3" s="1"/>
  <c r="Q291" i="3" s="1"/>
  <c r="Q289" i="3"/>
  <c r="P19" i="25"/>
  <c r="P18" i="19"/>
  <c r="P154" i="3"/>
  <c r="P153" i="3"/>
  <c r="J91" i="25"/>
  <c r="J41" i="24"/>
  <c r="M287" i="3"/>
  <c r="N95" i="25"/>
  <c r="N45" i="24"/>
  <c r="J41" i="20"/>
  <c r="J370" i="3"/>
  <c r="J16" i="30" s="1"/>
  <c r="N100" i="25"/>
  <c r="N50" i="24"/>
  <c r="N340" i="3"/>
  <c r="O339" i="3"/>
  <c r="R17" i="25"/>
  <c r="R10" i="20"/>
  <c r="R16" i="19"/>
  <c r="R152" i="3"/>
  <c r="R35" i="25"/>
  <c r="R34" i="19"/>
  <c r="R307" i="3"/>
  <c r="R308" i="3" s="1"/>
  <c r="R187" i="3"/>
  <c r="J90" i="25"/>
  <c r="J40" i="24"/>
  <c r="J25" i="20"/>
  <c r="J29" i="17"/>
  <c r="B14" i="9"/>
  <c r="P464" i="3"/>
  <c r="P14" i="28" s="1"/>
  <c r="J367" i="3"/>
  <c r="J13" i="30" s="1"/>
  <c r="C29" i="2"/>
  <c r="R40" i="25"/>
  <c r="R39" i="19"/>
  <c r="R188" i="3"/>
  <c r="K99" i="25"/>
  <c r="K49" i="24"/>
  <c r="K175" i="3"/>
  <c r="Q16" i="25"/>
  <c r="Q9" i="20"/>
  <c r="Q15" i="19"/>
  <c r="Q267" i="3"/>
  <c r="Q146" i="3"/>
  <c r="Q147" i="3" s="1"/>
  <c r="P55" i="25"/>
  <c r="P54" i="19"/>
  <c r="L185" i="3"/>
  <c r="L10" i="11"/>
  <c r="L15" i="11" s="1"/>
  <c r="L20" i="11" s="1"/>
  <c r="L266" i="3"/>
  <c r="H67" i="5"/>
  <c r="G67" i="5"/>
  <c r="J67" i="5"/>
  <c r="F67" i="5"/>
  <c r="R283" i="3"/>
  <c r="R278" i="3"/>
  <c r="R273" i="3"/>
  <c r="R288" i="3"/>
  <c r="R192" i="3"/>
  <c r="N101" i="25"/>
  <c r="N51" i="24"/>
  <c r="K10" i="10"/>
  <c r="L10" i="10" s="1"/>
  <c r="N341" i="3"/>
  <c r="N335" i="3"/>
  <c r="N380" i="3"/>
  <c r="N197" i="3"/>
  <c r="P13" i="25"/>
  <c r="P12" i="19"/>
  <c r="J82" i="25"/>
  <c r="J32" i="24"/>
  <c r="N23" i="25"/>
  <c r="N22" i="19"/>
  <c r="J30" i="25"/>
  <c r="J29" i="19"/>
  <c r="J181" i="3"/>
  <c r="K202" i="3"/>
  <c r="J169" i="3"/>
  <c r="M102" i="25"/>
  <c r="M52" i="24"/>
  <c r="M342" i="3"/>
  <c r="R27" i="25"/>
  <c r="R26" i="19"/>
  <c r="P147" i="3"/>
  <c r="Q150" i="3"/>
  <c r="K89" i="25"/>
  <c r="K39" i="24"/>
  <c r="P280" i="3"/>
  <c r="P281" i="3" s="1"/>
  <c r="O60" i="25"/>
  <c r="O59" i="19"/>
  <c r="N51" i="25"/>
  <c r="N50" i="19"/>
  <c r="R284" i="3" l="1"/>
  <c r="Q14" i="25"/>
  <c r="Q13" i="19"/>
  <c r="R274" i="3"/>
  <c r="R279" i="3"/>
  <c r="J48" i="25"/>
  <c r="J47" i="19"/>
  <c r="J372" i="3"/>
  <c r="J18" i="30" s="1"/>
  <c r="Q17" i="25"/>
  <c r="Q16" i="19"/>
  <c r="Q10" i="20"/>
  <c r="Q152" i="3"/>
  <c r="K70" i="25"/>
  <c r="K68" i="19"/>
  <c r="K163" i="3"/>
  <c r="R54" i="25"/>
  <c r="R17" i="20"/>
  <c r="R53" i="19"/>
  <c r="R27" i="17"/>
  <c r="R19" i="11"/>
  <c r="O101" i="25"/>
  <c r="O51" i="24"/>
  <c r="O341" i="3"/>
  <c r="O335" i="3"/>
  <c r="O380" i="3"/>
  <c r="O197" i="3"/>
  <c r="N285" i="3"/>
  <c r="N286" i="3" s="1"/>
  <c r="M294" i="3"/>
  <c r="M172" i="3" s="1"/>
  <c r="R289" i="3"/>
  <c r="Q292" i="3"/>
  <c r="R290" i="3" s="1"/>
  <c r="R291" i="3" s="1"/>
  <c r="O100" i="25"/>
  <c r="O50" i="24"/>
  <c r="O340" i="3"/>
  <c r="P339" i="3"/>
  <c r="H130" i="5"/>
  <c r="G130" i="5"/>
  <c r="F130" i="5"/>
  <c r="J130" i="5"/>
  <c r="K42" i="25"/>
  <c r="K41" i="19"/>
  <c r="K351" i="3"/>
  <c r="L332" i="3"/>
  <c r="L316" i="3"/>
  <c r="K355" i="3"/>
  <c r="K37" i="20" s="1"/>
  <c r="K357" i="3"/>
  <c r="K39" i="20" s="1"/>
  <c r="K354" i="3"/>
  <c r="K356" i="3"/>
  <c r="K38" i="20" s="1"/>
  <c r="L391" i="3"/>
  <c r="K347" i="3"/>
  <c r="K358" i="3"/>
  <c r="K40" i="20" s="1"/>
  <c r="K176" i="3"/>
  <c r="L293" i="3"/>
  <c r="M275" i="3"/>
  <c r="G39" i="5"/>
  <c r="H39" i="5"/>
  <c r="F39" i="5"/>
  <c r="J39" i="5"/>
  <c r="O23" i="25"/>
  <c r="O22" i="19"/>
  <c r="Q59" i="25"/>
  <c r="Q58" i="19"/>
  <c r="Q25" i="11"/>
  <c r="Q26" i="11" s="1"/>
  <c r="Q193" i="3"/>
  <c r="R13" i="25"/>
  <c r="R12" i="19"/>
  <c r="N65" i="25"/>
  <c r="N63" i="19"/>
  <c r="N31" i="11"/>
  <c r="N34" i="28"/>
  <c r="N34" i="20"/>
  <c r="N19" i="21"/>
  <c r="P60" i="25"/>
  <c r="P59" i="19"/>
  <c r="R147" i="3"/>
  <c r="O51" i="25"/>
  <c r="O50" i="19"/>
  <c r="L40" i="11"/>
  <c r="K51" i="11"/>
  <c r="K53" i="11" s="1"/>
  <c r="K373" i="3" s="1"/>
  <c r="K19" i="30" s="1"/>
  <c r="S12" i="25"/>
  <c r="S8" i="20"/>
  <c r="S11" i="19"/>
  <c r="E10" i="5"/>
  <c r="S157" i="3"/>
  <c r="S272" i="3"/>
  <c r="S149" i="3"/>
  <c r="S160" i="3"/>
  <c r="S168" i="3"/>
  <c r="S148" i="3"/>
  <c r="S173" i="3"/>
  <c r="R59" i="25"/>
  <c r="R58" i="19"/>
  <c r="R25" i="11"/>
  <c r="R26" i="11" s="1"/>
  <c r="R193" i="3"/>
  <c r="Q13" i="25"/>
  <c r="Q12" i="19"/>
  <c r="N12" i="26"/>
  <c r="N381" i="3"/>
  <c r="N13" i="26" s="1"/>
  <c r="M104" i="25"/>
  <c r="M54" i="24"/>
  <c r="N97" i="25"/>
  <c r="N47" i="24"/>
  <c r="L52" i="25"/>
  <c r="L51" i="19"/>
  <c r="L189" i="3"/>
  <c r="Q19" i="20"/>
  <c r="Q12" i="20"/>
  <c r="R55" i="25"/>
  <c r="R54" i="19"/>
  <c r="R19" i="25"/>
  <c r="R18" i="19"/>
  <c r="R153" i="3"/>
  <c r="P20" i="25"/>
  <c r="P11" i="20"/>
  <c r="P19" i="19"/>
  <c r="P25" i="17"/>
  <c r="P312" i="3"/>
  <c r="P12" i="11"/>
  <c r="P311" i="3"/>
  <c r="J8" i="5"/>
  <c r="F8" i="5"/>
  <c r="O32" i="28"/>
  <c r="O32" i="20"/>
  <c r="O17" i="21"/>
  <c r="O32" i="17"/>
  <c r="O352" i="3"/>
  <c r="L63" i="25"/>
  <c r="L30" i="11"/>
  <c r="L35" i="11" s="1"/>
  <c r="L39" i="11" s="1"/>
  <c r="L200" i="3"/>
  <c r="Q54" i="25"/>
  <c r="Q17" i="20"/>
  <c r="Q53" i="19"/>
  <c r="Q27" i="17"/>
  <c r="Q19" i="11"/>
  <c r="R19" i="20"/>
  <c r="R12" i="20"/>
  <c r="S52" i="23"/>
  <c r="S248" i="3"/>
  <c r="P14" i="25"/>
  <c r="P13" i="19"/>
  <c r="N102" i="25"/>
  <c r="N52" i="24"/>
  <c r="N342" i="3"/>
  <c r="N103" i="25"/>
  <c r="N53" i="24"/>
  <c r="P21" i="25"/>
  <c r="P20" i="19"/>
  <c r="P350" i="3"/>
  <c r="P333" i="3"/>
  <c r="P156" i="3"/>
  <c r="P184" i="3"/>
  <c r="P338" i="3"/>
  <c r="K79" i="25"/>
  <c r="K29" i="24"/>
  <c r="K319" i="3"/>
  <c r="I41" i="5"/>
  <c r="J41" i="5"/>
  <c r="Q55" i="25"/>
  <c r="Q54" i="19"/>
  <c r="P282" i="3"/>
  <c r="Q280" i="3" s="1"/>
  <c r="Q281" i="3" s="1"/>
  <c r="J36" i="25"/>
  <c r="J16" i="20"/>
  <c r="J35" i="19"/>
  <c r="J26" i="17"/>
  <c r="H5" i="10"/>
  <c r="I5" i="10" s="1"/>
  <c r="J349" i="3"/>
  <c r="J31" i="20" s="1"/>
  <c r="J177" i="3"/>
  <c r="H7" i="10"/>
  <c r="I7" i="10" s="1"/>
  <c r="H6" i="10"/>
  <c r="I6" i="10" s="1"/>
  <c r="L6" i="10" s="1"/>
  <c r="J346" i="3"/>
  <c r="J68" i="5"/>
  <c r="F68" i="5"/>
  <c r="O95" i="25"/>
  <c r="O45" i="24"/>
  <c r="K69" i="25"/>
  <c r="K67" i="19"/>
  <c r="Q282" i="3" l="1"/>
  <c r="R280" i="3" s="1"/>
  <c r="R281" i="3" s="1"/>
  <c r="S16" i="25"/>
  <c r="S9" i="20"/>
  <c r="S15" i="19"/>
  <c r="E69" i="5"/>
  <c r="S267" i="3"/>
  <c r="S146" i="3"/>
  <c r="J28" i="20"/>
  <c r="J30" i="17"/>
  <c r="P32" i="28"/>
  <c r="P17" i="21"/>
  <c r="P32" i="20"/>
  <c r="P32" i="17"/>
  <c r="P352" i="3"/>
  <c r="J44" i="25"/>
  <c r="J43" i="19"/>
  <c r="J362" i="3"/>
  <c r="J8" i="30" s="1"/>
  <c r="P51" i="25"/>
  <c r="P50" i="19"/>
  <c r="S27" i="25"/>
  <c r="S26" i="19"/>
  <c r="R14" i="25"/>
  <c r="R13" i="19"/>
  <c r="L94" i="25"/>
  <c r="L44" i="24"/>
  <c r="L337" i="3"/>
  <c r="N287" i="3"/>
  <c r="R60" i="25"/>
  <c r="R59" i="19"/>
  <c r="F40" i="5"/>
  <c r="J40" i="5"/>
  <c r="E42" i="5" s="1"/>
  <c r="K29" i="20"/>
  <c r="K31" i="17"/>
  <c r="K33" i="28"/>
  <c r="K18" i="21"/>
  <c r="K33" i="20"/>
  <c r="K33" i="17"/>
  <c r="K353" i="3"/>
  <c r="P101" i="25"/>
  <c r="P51" i="24"/>
  <c r="P380" i="3"/>
  <c r="P341" i="3"/>
  <c r="P335" i="3"/>
  <c r="P197" i="3"/>
  <c r="O65" i="25"/>
  <c r="O63" i="19"/>
  <c r="O31" i="11"/>
  <c r="P23" i="25"/>
  <c r="P22" i="19"/>
  <c r="S150" i="3"/>
  <c r="L12" i="27"/>
  <c r="L392" i="3"/>
  <c r="O102" i="25"/>
  <c r="O52" i="24"/>
  <c r="O342" i="3"/>
  <c r="O12" i="26"/>
  <c r="O381" i="3"/>
  <c r="O13" i="26" s="1"/>
  <c r="S278" i="3"/>
  <c r="S279" i="3" s="1"/>
  <c r="S192" i="3"/>
  <c r="S288" i="3"/>
  <c r="S283" i="3"/>
  <c r="S273" i="3"/>
  <c r="S274" i="3" s="1"/>
  <c r="Q60" i="25"/>
  <c r="Q59" i="19"/>
  <c r="O97" i="25"/>
  <c r="O47" i="24"/>
  <c r="L68" i="25"/>
  <c r="L66" i="19"/>
  <c r="L41" i="11"/>
  <c r="L52" i="11"/>
  <c r="J69" i="5"/>
  <c r="F69" i="5"/>
  <c r="K81" i="25"/>
  <c r="K31" i="24"/>
  <c r="K320" i="3"/>
  <c r="K416" i="3"/>
  <c r="K328" i="3"/>
  <c r="K329" i="3"/>
  <c r="N104" i="25"/>
  <c r="N54" i="24"/>
  <c r="F9" i="5"/>
  <c r="J9" i="5"/>
  <c r="E11" i="5" s="1"/>
  <c r="K36" i="20"/>
  <c r="K359" i="3"/>
  <c r="O103" i="25"/>
  <c r="O53" i="24"/>
  <c r="K30" i="25"/>
  <c r="K29" i="19"/>
  <c r="L202" i="3"/>
  <c r="K169" i="3"/>
  <c r="K181" i="3"/>
  <c r="R20" i="25"/>
  <c r="R11" i="20"/>
  <c r="R19" i="19"/>
  <c r="R25" i="17"/>
  <c r="R12" i="11"/>
  <c r="R311" i="3"/>
  <c r="R312" i="3"/>
  <c r="L56" i="25"/>
  <c r="L55" i="19"/>
  <c r="L201" i="3"/>
  <c r="L50" i="11" s="1"/>
  <c r="S40" i="25"/>
  <c r="S39" i="19"/>
  <c r="S188" i="3"/>
  <c r="S269" i="3"/>
  <c r="S14" i="20" s="1"/>
  <c r="M265" i="3"/>
  <c r="M276" i="3"/>
  <c r="O34" i="28"/>
  <c r="O19" i="21"/>
  <c r="O34" i="20"/>
  <c r="R154" i="3"/>
  <c r="S15" i="25"/>
  <c r="S14" i="19"/>
  <c r="I10" i="5"/>
  <c r="J10" i="5"/>
  <c r="L369" i="3"/>
  <c r="L15" i="30" s="1"/>
  <c r="L167" i="3"/>
  <c r="S289" i="3"/>
  <c r="R292" i="3"/>
  <c r="S290" i="3" s="1"/>
  <c r="S291" i="3" s="1"/>
  <c r="S284" i="3"/>
  <c r="P95" i="25"/>
  <c r="P45" i="24"/>
  <c r="P100" i="25"/>
  <c r="P50" i="24"/>
  <c r="Q339" i="3"/>
  <c r="P340" i="3"/>
  <c r="S35" i="25"/>
  <c r="S34" i="19"/>
  <c r="S307" i="3"/>
  <c r="S308" i="3" s="1"/>
  <c r="S187" i="3"/>
  <c r="K43" i="25"/>
  <c r="K42" i="19"/>
  <c r="L78" i="25"/>
  <c r="L28" i="24"/>
  <c r="L327" i="3"/>
  <c r="M39" i="25"/>
  <c r="M38" i="19"/>
  <c r="M196" i="3"/>
  <c r="Q19" i="25"/>
  <c r="Q18" i="19"/>
  <c r="Q154" i="3"/>
  <c r="Q153" i="3"/>
  <c r="R282" i="3" l="1"/>
  <c r="S280" i="3" s="1"/>
  <c r="S281" i="3" s="1"/>
  <c r="S282" i="3" s="1"/>
  <c r="S55" i="25"/>
  <c r="S54" i="19"/>
  <c r="L70" i="25"/>
  <c r="L68" i="19"/>
  <c r="L163" i="3"/>
  <c r="P65" i="25"/>
  <c r="P63" i="19"/>
  <c r="P31" i="11"/>
  <c r="M63" i="25"/>
  <c r="M30" i="11"/>
  <c r="M35" i="11" s="1"/>
  <c r="M200" i="3"/>
  <c r="S54" i="25"/>
  <c r="S53" i="19"/>
  <c r="S17" i="20"/>
  <c r="S27" i="17"/>
  <c r="S19" i="11"/>
  <c r="F70" i="5"/>
  <c r="J70" i="5"/>
  <c r="O104" i="25"/>
  <c r="O54" i="24"/>
  <c r="P103" i="25"/>
  <c r="P53" i="24"/>
  <c r="P12" i="26"/>
  <c r="P381" i="3"/>
  <c r="P13" i="26" s="1"/>
  <c r="S13" i="25"/>
  <c r="S12" i="19"/>
  <c r="S292" i="3"/>
  <c r="L34" i="25"/>
  <c r="L33" i="19"/>
  <c r="L317" i="3"/>
  <c r="K90" i="25"/>
  <c r="K40" i="24"/>
  <c r="K25" i="20"/>
  <c r="K29" i="17"/>
  <c r="K367" i="3"/>
  <c r="K13" i="30" s="1"/>
  <c r="M40" i="11"/>
  <c r="L51" i="11"/>
  <c r="L53" i="11" s="1"/>
  <c r="L373" i="3" s="1"/>
  <c r="L19" i="30" s="1"/>
  <c r="N294" i="3"/>
  <c r="N172" i="3" s="1"/>
  <c r="O285" i="3"/>
  <c r="O286" i="3" s="1"/>
  <c r="P34" i="28"/>
  <c r="P19" i="21"/>
  <c r="P34" i="20"/>
  <c r="S147" i="3"/>
  <c r="Q20" i="25"/>
  <c r="Q11" i="20"/>
  <c r="Q19" i="19"/>
  <c r="Q25" i="17"/>
  <c r="Q12" i="11"/>
  <c r="Q312" i="3"/>
  <c r="Q311" i="3"/>
  <c r="L89" i="25"/>
  <c r="L39" i="24"/>
  <c r="M277" i="3"/>
  <c r="K41" i="20"/>
  <c r="K370" i="3"/>
  <c r="K16" i="30" s="1"/>
  <c r="L13" i="27"/>
  <c r="E131" i="5"/>
  <c r="P97" i="25"/>
  <c r="P47" i="24"/>
  <c r="M185" i="3"/>
  <c r="M10" i="11"/>
  <c r="M15" i="11" s="1"/>
  <c r="M20" i="11" s="1"/>
  <c r="M266" i="3"/>
  <c r="K48" i="25"/>
  <c r="K47" i="19"/>
  <c r="K372" i="3"/>
  <c r="K18" i="30" s="1"/>
  <c r="K82" i="25"/>
  <c r="K32" i="24"/>
  <c r="S59" i="25"/>
  <c r="S25" i="11"/>
  <c r="S26" i="11" s="1"/>
  <c r="S58" i="19"/>
  <c r="S193" i="3"/>
  <c r="K35" i="28"/>
  <c r="K20" i="21"/>
  <c r="K35" i="20"/>
  <c r="L99" i="25"/>
  <c r="L49" i="24"/>
  <c r="L175" i="3"/>
  <c r="S19" i="20"/>
  <c r="S12" i="20"/>
  <c r="L69" i="25"/>
  <c r="L67" i="19"/>
  <c r="K91" i="25"/>
  <c r="K41" i="24"/>
  <c r="Q21" i="25"/>
  <c r="Q20" i="19"/>
  <c r="Q350" i="3"/>
  <c r="Q333" i="3"/>
  <c r="Q156" i="3"/>
  <c r="Q184" i="3"/>
  <c r="Q338" i="3"/>
  <c r="P102" i="25"/>
  <c r="P52" i="24"/>
  <c r="P342" i="3"/>
  <c r="Q101" i="25"/>
  <c r="Q51" i="24"/>
  <c r="Q380" i="3"/>
  <c r="Q341" i="3"/>
  <c r="Q335" i="3"/>
  <c r="Q197" i="3"/>
  <c r="R21" i="25"/>
  <c r="R20" i="19"/>
  <c r="R350" i="3"/>
  <c r="R333" i="3"/>
  <c r="R156" i="3"/>
  <c r="R184" i="3"/>
  <c r="R338" i="3"/>
  <c r="K36" i="25"/>
  <c r="K16" i="20"/>
  <c r="K35" i="19"/>
  <c r="K26" i="17"/>
  <c r="K349" i="3"/>
  <c r="K31" i="20" s="1"/>
  <c r="K177" i="3"/>
  <c r="K346" i="3"/>
  <c r="S17" i="25"/>
  <c r="S10" i="20"/>
  <c r="S16" i="19"/>
  <c r="S152" i="3"/>
  <c r="H69" i="5"/>
  <c r="G69" i="5"/>
  <c r="Q12" i="26" l="1"/>
  <c r="Q381" i="3"/>
  <c r="Q13" i="26" s="1"/>
  <c r="K28" i="20"/>
  <c r="K30" i="17"/>
  <c r="R51" i="25"/>
  <c r="R50" i="19"/>
  <c r="R23" i="25"/>
  <c r="R22" i="19"/>
  <c r="S19" i="25"/>
  <c r="S18" i="19"/>
  <c r="S153" i="3"/>
  <c r="R95" i="25"/>
  <c r="R45" i="24"/>
  <c r="Q103" i="25"/>
  <c r="Q53" i="24"/>
  <c r="Q51" i="25"/>
  <c r="Q50" i="19"/>
  <c r="L42" i="25"/>
  <c r="L41" i="19"/>
  <c r="L351" i="3"/>
  <c r="M332" i="3"/>
  <c r="M316" i="3"/>
  <c r="L355" i="3"/>
  <c r="L37" i="20" s="1"/>
  <c r="L357" i="3"/>
  <c r="L39" i="20" s="1"/>
  <c r="L354" i="3"/>
  <c r="L356" i="3"/>
  <c r="L38" i="20" s="1"/>
  <c r="L358" i="3"/>
  <c r="L40" i="20" s="1"/>
  <c r="L347" i="3"/>
  <c r="M391" i="3"/>
  <c r="L176" i="3"/>
  <c r="M39" i="11"/>
  <c r="S14" i="25"/>
  <c r="S13" i="19"/>
  <c r="M68" i="25"/>
  <c r="M66" i="19"/>
  <c r="R32" i="28"/>
  <c r="R17" i="21"/>
  <c r="R32" i="20"/>
  <c r="R32" i="17"/>
  <c r="R352" i="3"/>
  <c r="M52" i="25"/>
  <c r="M51" i="19"/>
  <c r="M189" i="3"/>
  <c r="Q23" i="25"/>
  <c r="Q22" i="19"/>
  <c r="M293" i="3"/>
  <c r="N275" i="3"/>
  <c r="P104" i="25"/>
  <c r="P54" i="24"/>
  <c r="O287" i="3"/>
  <c r="H131" i="5"/>
  <c r="G131" i="5"/>
  <c r="F131" i="5"/>
  <c r="J131" i="5"/>
  <c r="N39" i="25"/>
  <c r="N38" i="19"/>
  <c r="N196" i="3"/>
  <c r="L79" i="25"/>
  <c r="L29" i="24"/>
  <c r="L319" i="3"/>
  <c r="R100" i="25"/>
  <c r="R50" i="24"/>
  <c r="S339" i="3"/>
  <c r="R340" i="3"/>
  <c r="Q32" i="28"/>
  <c r="Q32" i="20"/>
  <c r="Q17" i="21"/>
  <c r="Q32" i="17"/>
  <c r="Q352" i="3"/>
  <c r="S60" i="25"/>
  <c r="S59" i="19"/>
  <c r="L30" i="25"/>
  <c r="L29" i="19"/>
  <c r="L181" i="3"/>
  <c r="L169" i="3"/>
  <c r="Q95" i="25"/>
  <c r="Q45" i="24"/>
  <c r="K44" i="25"/>
  <c r="K43" i="19"/>
  <c r="K362" i="3"/>
  <c r="K8" i="30" s="1"/>
  <c r="Q65" i="25"/>
  <c r="Q63" i="19"/>
  <c r="Q31" i="11"/>
  <c r="Q97" i="25"/>
  <c r="Q47" i="24"/>
  <c r="Q100" i="25"/>
  <c r="Q50" i="24"/>
  <c r="R339" i="3"/>
  <c r="Q340" i="3"/>
  <c r="M52" i="11"/>
  <c r="M41" i="11"/>
  <c r="R102" i="25" l="1"/>
  <c r="R52" i="24"/>
  <c r="R342" i="3"/>
  <c r="N63" i="25"/>
  <c r="N30" i="11"/>
  <c r="N35" i="11" s="1"/>
  <c r="N200" i="3"/>
  <c r="M12" i="27"/>
  <c r="M392" i="3"/>
  <c r="M94" i="25"/>
  <c r="M44" i="24"/>
  <c r="M337" i="3"/>
  <c r="S101" i="25"/>
  <c r="S51" i="24"/>
  <c r="S380" i="3"/>
  <c r="S341" i="3"/>
  <c r="S335" i="3"/>
  <c r="S197" i="3"/>
  <c r="L33" i="28"/>
  <c r="L18" i="21"/>
  <c r="L33" i="20"/>
  <c r="L33" i="17"/>
  <c r="L353" i="3"/>
  <c r="D30" i="2"/>
  <c r="R34" i="28"/>
  <c r="R19" i="21"/>
  <c r="R34" i="20"/>
  <c r="L29" i="20"/>
  <c r="L31" i="17"/>
  <c r="D24" i="2"/>
  <c r="Q34" i="28"/>
  <c r="Q34" i="20"/>
  <c r="Q19" i="21"/>
  <c r="N265" i="3"/>
  <c r="N276" i="3"/>
  <c r="S20" i="25"/>
  <c r="S11" i="20"/>
  <c r="S25" i="17"/>
  <c r="S12" i="11"/>
  <c r="S19" i="19"/>
  <c r="E71" i="5"/>
  <c r="S311" i="3"/>
  <c r="S312" i="3"/>
  <c r="Q102" i="25"/>
  <c r="Q52" i="24"/>
  <c r="Q342" i="3"/>
  <c r="N40" i="11"/>
  <c r="L36" i="25"/>
  <c r="L35" i="19"/>
  <c r="L16" i="20"/>
  <c r="L26" i="17"/>
  <c r="L349" i="3"/>
  <c r="L31" i="20" s="1"/>
  <c r="L177" i="3"/>
  <c r="L346" i="3"/>
  <c r="L31" i="24"/>
  <c r="L81" i="25"/>
  <c r="L320" i="3"/>
  <c r="L416" i="3"/>
  <c r="L329" i="3"/>
  <c r="L328" i="3"/>
  <c r="M369" i="3"/>
  <c r="M15" i="30" s="1"/>
  <c r="M167" i="3"/>
  <c r="L36" i="20"/>
  <c r="L359" i="3"/>
  <c r="S154" i="3"/>
  <c r="L48" i="25"/>
  <c r="L47" i="19"/>
  <c r="L372" i="3"/>
  <c r="L18" i="30" s="1"/>
  <c r="R101" i="25"/>
  <c r="R51" i="24"/>
  <c r="R380" i="3"/>
  <c r="R197" i="3"/>
  <c r="R341" i="3"/>
  <c r="R335" i="3"/>
  <c r="O294" i="3"/>
  <c r="O172" i="3" s="1"/>
  <c r="P285" i="3"/>
  <c r="P286" i="3" s="1"/>
  <c r="M56" i="25"/>
  <c r="M55" i="19"/>
  <c r="M201" i="3"/>
  <c r="L43" i="25"/>
  <c r="L42" i="19"/>
  <c r="M78" i="25"/>
  <c r="M28" i="24"/>
  <c r="M327" i="3"/>
  <c r="L90" i="25" l="1"/>
  <c r="L40" i="24"/>
  <c r="L25" i="20"/>
  <c r="L29" i="17"/>
  <c r="L367" i="3"/>
  <c r="L13" i="30" s="1"/>
  <c r="D29" i="2"/>
  <c r="S97" i="25"/>
  <c r="S47" i="24"/>
  <c r="M13" i="27"/>
  <c r="E132" i="5"/>
  <c r="R97" i="25"/>
  <c r="R47" i="24"/>
  <c r="R103" i="25"/>
  <c r="R53" i="24"/>
  <c r="L35" i="28"/>
  <c r="L35" i="20"/>
  <c r="L20" i="21"/>
  <c r="S12" i="26"/>
  <c r="S381" i="3"/>
  <c r="S13" i="26" s="1"/>
  <c r="N68" i="25"/>
  <c r="N66" i="19"/>
  <c r="O39" i="25"/>
  <c r="O38" i="19"/>
  <c r="O196" i="3"/>
  <c r="R65" i="25"/>
  <c r="R63" i="19"/>
  <c r="R31" i="11"/>
  <c r="S21" i="25"/>
  <c r="S20" i="19"/>
  <c r="E72" i="5"/>
  <c r="S350" i="3"/>
  <c r="S184" i="3"/>
  <c r="S156" i="3"/>
  <c r="S333" i="3"/>
  <c r="F23" i="2"/>
  <c r="S338" i="3"/>
  <c r="L82" i="25"/>
  <c r="L32" i="24"/>
  <c r="N277" i="3"/>
  <c r="L91" i="25"/>
  <c r="L41" i="24"/>
  <c r="M69" i="25"/>
  <c r="M67" i="19"/>
  <c r="M202" i="3"/>
  <c r="R12" i="26"/>
  <c r="R381" i="3"/>
  <c r="R13" i="26" s="1"/>
  <c r="L41" i="20"/>
  <c r="L370" i="3"/>
  <c r="L16" i="30" s="1"/>
  <c r="H71" i="5"/>
  <c r="G71" i="5"/>
  <c r="J71" i="5"/>
  <c r="E73" i="5" s="1"/>
  <c r="F71" i="5"/>
  <c r="N185" i="3"/>
  <c r="N10" i="11"/>
  <c r="N15" i="11" s="1"/>
  <c r="N20" i="11" s="1"/>
  <c r="N39" i="11" s="1"/>
  <c r="N266" i="3"/>
  <c r="S103" i="25"/>
  <c r="S53" i="24"/>
  <c r="M99" i="25"/>
  <c r="M49" i="24"/>
  <c r="M175" i="3"/>
  <c r="R104" i="25"/>
  <c r="R54" i="24"/>
  <c r="M34" i="25"/>
  <c r="M33" i="19"/>
  <c r="M317" i="3"/>
  <c r="L28" i="20"/>
  <c r="L30" i="17"/>
  <c r="N41" i="11"/>
  <c r="M89" i="25"/>
  <c r="M39" i="24"/>
  <c r="P287" i="3"/>
  <c r="M50" i="11"/>
  <c r="L44" i="25"/>
  <c r="L43" i="19"/>
  <c r="L362" i="3"/>
  <c r="L8" i="30" s="1"/>
  <c r="Q104" i="25"/>
  <c r="Q54" i="24"/>
  <c r="S65" i="25"/>
  <c r="S63" i="19"/>
  <c r="S31" i="11"/>
  <c r="S100" i="25" l="1"/>
  <c r="S50" i="24"/>
  <c r="S340" i="3"/>
  <c r="M79" i="25"/>
  <c r="M29" i="24"/>
  <c r="M319" i="3"/>
  <c r="S95" i="25"/>
  <c r="S45" i="24"/>
  <c r="I72" i="5"/>
  <c r="J72" i="5"/>
  <c r="O63" i="25"/>
  <c r="O30" i="11"/>
  <c r="O35" i="11" s="1"/>
  <c r="O200" i="3"/>
  <c r="S23" i="25"/>
  <c r="S22" i="19"/>
  <c r="N293" i="3"/>
  <c r="O275" i="3"/>
  <c r="S51" i="25"/>
  <c r="S50" i="19"/>
  <c r="P294" i="3"/>
  <c r="P172" i="3" s="1"/>
  <c r="Q285" i="3"/>
  <c r="Q286" i="3" s="1"/>
  <c r="O40" i="11"/>
  <c r="N52" i="25"/>
  <c r="N51" i="19"/>
  <c r="N189" i="3"/>
  <c r="M42" i="25"/>
  <c r="M41" i="19"/>
  <c r="M351" i="3"/>
  <c r="N332" i="3"/>
  <c r="N316" i="3"/>
  <c r="M355" i="3"/>
  <c r="M37" i="20" s="1"/>
  <c r="M357" i="3"/>
  <c r="M39" i="20" s="1"/>
  <c r="M354" i="3"/>
  <c r="M356" i="3"/>
  <c r="M38" i="20" s="1"/>
  <c r="M347" i="3"/>
  <c r="M358" i="3"/>
  <c r="M40" i="20" s="1"/>
  <c r="N391" i="3"/>
  <c r="M176" i="3"/>
  <c r="M70" i="25"/>
  <c r="M68" i="19"/>
  <c r="M163" i="3"/>
  <c r="S32" i="28"/>
  <c r="S17" i="21"/>
  <c r="S32" i="20"/>
  <c r="S32" i="17"/>
  <c r="S352" i="3"/>
  <c r="G132" i="5"/>
  <c r="H132" i="5"/>
  <c r="J132" i="5"/>
  <c r="F132" i="5"/>
  <c r="M33" i="28" l="1"/>
  <c r="M33" i="20"/>
  <c r="M18" i="21"/>
  <c r="M33" i="17"/>
  <c r="M353" i="3"/>
  <c r="N369" i="3"/>
  <c r="N15" i="30" s="1"/>
  <c r="N167" i="3"/>
  <c r="P39" i="25"/>
  <c r="P38" i="19"/>
  <c r="P196" i="3"/>
  <c r="M81" i="25"/>
  <c r="M31" i="24"/>
  <c r="M320" i="3"/>
  <c r="M416" i="3"/>
  <c r="M328" i="3"/>
  <c r="M329" i="3"/>
  <c r="M29" i="20"/>
  <c r="M31" i="17"/>
  <c r="M36" i="20"/>
  <c r="M359" i="3"/>
  <c r="O68" i="25"/>
  <c r="O66" i="19"/>
  <c r="N56" i="25"/>
  <c r="N55" i="19"/>
  <c r="N201" i="3"/>
  <c r="S102" i="25"/>
  <c r="S52" i="24"/>
  <c r="S342" i="3"/>
  <c r="Q287" i="3"/>
  <c r="S34" i="28"/>
  <c r="S34" i="20"/>
  <c r="S19" i="21"/>
  <c r="M43" i="25"/>
  <c r="M42" i="19"/>
  <c r="N78" i="25"/>
  <c r="N28" i="24"/>
  <c r="N327" i="3"/>
  <c r="M30" i="25"/>
  <c r="M29" i="19"/>
  <c r="M181" i="3"/>
  <c r="M169" i="3"/>
  <c r="N202" i="3"/>
  <c r="M51" i="11"/>
  <c r="M53" i="11" s="1"/>
  <c r="M373" i="3" s="1"/>
  <c r="M19" i="30" s="1"/>
  <c r="N52" i="11"/>
  <c r="N12" i="27"/>
  <c r="N392" i="3"/>
  <c r="N94" i="25"/>
  <c r="N44" i="24"/>
  <c r="N337" i="3"/>
  <c r="O265" i="3"/>
  <c r="O276" i="3"/>
  <c r="Q294" i="3" l="1"/>
  <c r="Q172" i="3" s="1"/>
  <c r="R285" i="3"/>
  <c r="R286" i="3" s="1"/>
  <c r="M90" i="25"/>
  <c r="M40" i="24"/>
  <c r="M25" i="20"/>
  <c r="M29" i="17"/>
  <c r="M367" i="3"/>
  <c r="M13" i="30" s="1"/>
  <c r="N34" i="25"/>
  <c r="N33" i="19"/>
  <c r="N317" i="3"/>
  <c r="N99" i="25"/>
  <c r="N49" i="24"/>
  <c r="N175" i="3"/>
  <c r="M36" i="25"/>
  <c r="M16" i="20"/>
  <c r="M35" i="19"/>
  <c r="M26" i="17"/>
  <c r="M349" i="3"/>
  <c r="M31" i="20" s="1"/>
  <c r="M177" i="3"/>
  <c r="M346" i="3"/>
  <c r="S104" i="25"/>
  <c r="S54" i="24"/>
  <c r="M41" i="20"/>
  <c r="M370" i="3"/>
  <c r="M16" i="30" s="1"/>
  <c r="M82" i="25"/>
  <c r="M32" i="24"/>
  <c r="M35" i="28"/>
  <c r="M20" i="21"/>
  <c r="M35" i="20"/>
  <c r="N70" i="25"/>
  <c r="N68" i="19"/>
  <c r="N163" i="3"/>
  <c r="M48" i="25"/>
  <c r="M47" i="19"/>
  <c r="M372" i="3"/>
  <c r="M18" i="30" s="1"/>
  <c r="N69" i="25"/>
  <c r="N67" i="19"/>
  <c r="N50" i="11"/>
  <c r="N13" i="27"/>
  <c r="E133" i="5"/>
  <c r="O277" i="3"/>
  <c r="N89" i="25"/>
  <c r="N39" i="24"/>
  <c r="P63" i="25"/>
  <c r="P30" i="11"/>
  <c r="P35" i="11" s="1"/>
  <c r="P200" i="3"/>
  <c r="O185" i="3"/>
  <c r="O10" i="11"/>
  <c r="O15" i="11" s="1"/>
  <c r="O20" i="11" s="1"/>
  <c r="O39" i="11" s="1"/>
  <c r="O266" i="3"/>
  <c r="M91" i="25"/>
  <c r="M41" i="24"/>
  <c r="H133" i="5" l="1"/>
  <c r="G133" i="5"/>
  <c r="F133" i="5"/>
  <c r="J133" i="5"/>
  <c r="N30" i="25"/>
  <c r="N29" i="19"/>
  <c r="N181" i="3"/>
  <c r="N169" i="3"/>
  <c r="N51" i="11"/>
  <c r="O52" i="11"/>
  <c r="N53" i="11"/>
  <c r="N373" i="3" s="1"/>
  <c r="N19" i="30" s="1"/>
  <c r="N42" i="25"/>
  <c r="N41" i="19"/>
  <c r="O332" i="3"/>
  <c r="N351" i="3"/>
  <c r="O316" i="3"/>
  <c r="N355" i="3"/>
  <c r="N37" i="20" s="1"/>
  <c r="N357" i="3"/>
  <c r="N39" i="20" s="1"/>
  <c r="N354" i="3"/>
  <c r="N356" i="3"/>
  <c r="N38" i="20" s="1"/>
  <c r="N347" i="3"/>
  <c r="N358" i="3"/>
  <c r="N40" i="20" s="1"/>
  <c r="O391" i="3"/>
  <c r="N176" i="3"/>
  <c r="M28" i="20"/>
  <c r="M30" i="17"/>
  <c r="M44" i="25"/>
  <c r="M362" i="3"/>
  <c r="M8" i="30" s="1"/>
  <c r="M43" i="19"/>
  <c r="O41" i="11"/>
  <c r="O293" i="3"/>
  <c r="P275" i="3"/>
  <c r="N79" i="25"/>
  <c r="N29" i="24"/>
  <c r="N319" i="3"/>
  <c r="R287" i="3"/>
  <c r="O52" i="25"/>
  <c r="O51" i="19"/>
  <c r="O189" i="3"/>
  <c r="P68" i="25"/>
  <c r="P66" i="19"/>
  <c r="Q39" i="25"/>
  <c r="Q38" i="19"/>
  <c r="Q196" i="3"/>
  <c r="P40" i="11" l="1"/>
  <c r="O12" i="27"/>
  <c r="O392" i="3"/>
  <c r="N33" i="28"/>
  <c r="N18" i="21"/>
  <c r="N33" i="20"/>
  <c r="N33" i="17"/>
  <c r="N353" i="3"/>
  <c r="E30" i="2"/>
  <c r="Q63" i="25"/>
  <c r="Q30" i="11"/>
  <c r="Q35" i="11" s="1"/>
  <c r="Q200" i="3"/>
  <c r="O94" i="25"/>
  <c r="O44" i="24"/>
  <c r="O337" i="3"/>
  <c r="N48" i="25"/>
  <c r="N47" i="19"/>
  <c r="N372" i="3"/>
  <c r="N18" i="30" s="1"/>
  <c r="N29" i="20"/>
  <c r="N31" i="17"/>
  <c r="K11" i="10"/>
  <c r="L11" i="10" s="1"/>
  <c r="E24" i="2"/>
  <c r="S285" i="3"/>
  <c r="S286" i="3" s="1"/>
  <c r="S287" i="3" s="1"/>
  <c r="S294" i="3" s="1"/>
  <c r="S172" i="3" s="1"/>
  <c r="R294" i="3"/>
  <c r="R172" i="3" s="1"/>
  <c r="O56" i="25"/>
  <c r="O55" i="19"/>
  <c r="O201" i="3"/>
  <c r="N81" i="25"/>
  <c r="N31" i="24"/>
  <c r="N320" i="3"/>
  <c r="N416" i="3"/>
  <c r="N329" i="3"/>
  <c r="N328" i="3"/>
  <c r="N36" i="20"/>
  <c r="N359" i="3"/>
  <c r="P265" i="3"/>
  <c r="P276" i="3"/>
  <c r="O369" i="3"/>
  <c r="O15" i="30" s="1"/>
  <c r="O167" i="3"/>
  <c r="N43" i="25"/>
  <c r="N42" i="19"/>
  <c r="O78" i="25"/>
  <c r="O28" i="24"/>
  <c r="O327" i="3"/>
  <c r="N36" i="25"/>
  <c r="N16" i="20"/>
  <c r="N35" i="19"/>
  <c r="N26" i="17"/>
  <c r="K5" i="10"/>
  <c r="L5" i="10" s="1"/>
  <c r="N177" i="3"/>
  <c r="N349" i="3"/>
  <c r="N31" i="20" s="1"/>
  <c r="K7" i="10"/>
  <c r="L7" i="10" s="1"/>
  <c r="K6" i="10"/>
  <c r="N346" i="3"/>
  <c r="S39" i="25" l="1"/>
  <c r="S38" i="19"/>
  <c r="S196" i="3"/>
  <c r="O99" i="25"/>
  <c r="O49" i="24"/>
  <c r="O175" i="3"/>
  <c r="N41" i="20"/>
  <c r="N370" i="3"/>
  <c r="N16" i="30" s="1"/>
  <c r="O69" i="25"/>
  <c r="O67" i="19"/>
  <c r="O50" i="11"/>
  <c r="O202" i="3"/>
  <c r="Q68" i="25"/>
  <c r="Q66" i="19"/>
  <c r="N90" i="25"/>
  <c r="N40" i="24"/>
  <c r="N25" i="20"/>
  <c r="N29" i="17"/>
  <c r="B15" i="9"/>
  <c r="N367" i="3"/>
  <c r="N13" i="30" s="1"/>
  <c r="E29" i="2"/>
  <c r="O13" i="27"/>
  <c r="P185" i="3"/>
  <c r="P10" i="11"/>
  <c r="P15" i="11" s="1"/>
  <c r="P20" i="11" s="1"/>
  <c r="P39" i="11" s="1"/>
  <c r="P266" i="3"/>
  <c r="N44" i="25"/>
  <c r="N43" i="19"/>
  <c r="N362" i="3"/>
  <c r="N8" i="30" s="1"/>
  <c r="N91" i="25"/>
  <c r="N41" i="24"/>
  <c r="O34" i="25"/>
  <c r="O33" i="19"/>
  <c r="O317" i="3"/>
  <c r="P41" i="11"/>
  <c r="P277" i="3"/>
  <c r="O89" i="25"/>
  <c r="O39" i="24"/>
  <c r="N28" i="20"/>
  <c r="N30" i="17"/>
  <c r="N82" i="25"/>
  <c r="N32" i="24"/>
  <c r="R39" i="25"/>
  <c r="R38" i="19"/>
  <c r="R196" i="3"/>
  <c r="N35" i="28"/>
  <c r="N20" i="21"/>
  <c r="N35" i="20"/>
  <c r="P293" i="3" l="1"/>
  <c r="Q275" i="3"/>
  <c r="O42" i="25"/>
  <c r="O41" i="19"/>
  <c r="O351" i="3"/>
  <c r="P332" i="3"/>
  <c r="P316" i="3"/>
  <c r="O355" i="3"/>
  <c r="O37" i="20" s="1"/>
  <c r="O357" i="3"/>
  <c r="O39" i="20" s="1"/>
  <c r="O354" i="3"/>
  <c r="O356" i="3"/>
  <c r="O38" i="20" s="1"/>
  <c r="O358" i="3"/>
  <c r="O40" i="20" s="1"/>
  <c r="O347" i="3"/>
  <c r="P391" i="3"/>
  <c r="O176" i="3"/>
  <c r="O70" i="25"/>
  <c r="O68" i="19"/>
  <c r="O163" i="3"/>
  <c r="O79" i="25"/>
  <c r="O29" i="24"/>
  <c r="O319" i="3"/>
  <c r="S63" i="25"/>
  <c r="S30" i="11"/>
  <c r="S35" i="11" s="1"/>
  <c r="S200" i="3"/>
  <c r="Q40" i="11"/>
  <c r="R63" i="25"/>
  <c r="R30" i="11"/>
  <c r="R35" i="11" s="1"/>
  <c r="R200" i="3"/>
  <c r="P52" i="25"/>
  <c r="P51" i="19"/>
  <c r="P189" i="3"/>
  <c r="O43" i="25" l="1"/>
  <c r="O42" i="19"/>
  <c r="P78" i="25"/>
  <c r="P28" i="24"/>
  <c r="P327" i="3"/>
  <c r="R68" i="25"/>
  <c r="R66" i="19"/>
  <c r="O81" i="25"/>
  <c r="O31" i="24"/>
  <c r="O320" i="3"/>
  <c r="O416" i="3"/>
  <c r="O328" i="3"/>
  <c r="O329" i="3"/>
  <c r="P12" i="27"/>
  <c r="P392" i="3"/>
  <c r="P94" i="25"/>
  <c r="P44" i="24"/>
  <c r="P337" i="3"/>
  <c r="O33" i="28"/>
  <c r="O18" i="21"/>
  <c r="O33" i="20"/>
  <c r="O33" i="17"/>
  <c r="O353" i="3"/>
  <c r="O29" i="20"/>
  <c r="O31" i="17"/>
  <c r="P56" i="25"/>
  <c r="P55" i="19"/>
  <c r="P201" i="3"/>
  <c r="O30" i="25"/>
  <c r="O29" i="19"/>
  <c r="P202" i="3"/>
  <c r="O181" i="3"/>
  <c r="O169" i="3"/>
  <c r="O51" i="11"/>
  <c r="O53" i="11" s="1"/>
  <c r="O373" i="3" s="1"/>
  <c r="O19" i="30" s="1"/>
  <c r="P52" i="11"/>
  <c r="O36" i="20"/>
  <c r="O359" i="3"/>
  <c r="Q265" i="3"/>
  <c r="Q276" i="3"/>
  <c r="S68" i="25"/>
  <c r="S66" i="19"/>
  <c r="P369" i="3"/>
  <c r="P15" i="30" s="1"/>
  <c r="P167" i="3"/>
  <c r="Q185" i="3" l="1"/>
  <c r="Q10" i="11"/>
  <c r="Q15" i="11" s="1"/>
  <c r="Q20" i="11" s="1"/>
  <c r="Q39" i="11" s="1"/>
  <c r="Q266" i="3"/>
  <c r="O48" i="25"/>
  <c r="O47" i="19"/>
  <c r="O372" i="3"/>
  <c r="O18" i="30" s="1"/>
  <c r="O91" i="25"/>
  <c r="O41" i="24"/>
  <c r="P89" i="25"/>
  <c r="P39" i="24"/>
  <c r="O35" i="28"/>
  <c r="O35" i="20"/>
  <c r="O20" i="21"/>
  <c r="P34" i="25"/>
  <c r="P33" i="19"/>
  <c r="P317" i="3"/>
  <c r="P69" i="25"/>
  <c r="P67" i="19"/>
  <c r="P50" i="11"/>
  <c r="O90" i="25"/>
  <c r="O40" i="24"/>
  <c r="O25" i="20"/>
  <c r="O29" i="17"/>
  <c r="O367" i="3"/>
  <c r="O13" i="30" s="1"/>
  <c r="P70" i="25"/>
  <c r="P68" i="19"/>
  <c r="P163" i="3"/>
  <c r="P13" i="27"/>
  <c r="P99" i="25"/>
  <c r="P49" i="24"/>
  <c r="P175" i="3"/>
  <c r="O82" i="25"/>
  <c r="O32" i="24"/>
  <c r="Q277" i="3"/>
  <c r="O41" i="20"/>
  <c r="O370" i="3"/>
  <c r="O16" i="30" s="1"/>
  <c r="O36" i="25"/>
  <c r="O16" i="20"/>
  <c r="O35" i="19"/>
  <c r="O26" i="17"/>
  <c r="O349" i="3"/>
  <c r="O31" i="20" s="1"/>
  <c r="O177" i="3"/>
  <c r="O346" i="3"/>
  <c r="O28" i="20" l="1"/>
  <c r="O30" i="17"/>
  <c r="O44" i="25"/>
  <c r="O43" i="19"/>
  <c r="O362" i="3"/>
  <c r="O8" i="30" s="1"/>
  <c r="Q293" i="3"/>
  <c r="R275" i="3"/>
  <c r="P79" i="25"/>
  <c r="P29" i="24"/>
  <c r="P319" i="3"/>
  <c r="Q41" i="11"/>
  <c r="P30" i="25"/>
  <c r="P29" i="19"/>
  <c r="P169" i="3"/>
  <c r="P181" i="3"/>
  <c r="P51" i="11"/>
  <c r="P53" i="11" s="1"/>
  <c r="P373" i="3" s="1"/>
  <c r="P19" i="30" s="1"/>
  <c r="Q52" i="11"/>
  <c r="P42" i="25"/>
  <c r="P41" i="19"/>
  <c r="Q332" i="3"/>
  <c r="P351" i="3"/>
  <c r="Q316" i="3"/>
  <c r="P355" i="3"/>
  <c r="P37" i="20" s="1"/>
  <c r="P357" i="3"/>
  <c r="P39" i="20" s="1"/>
  <c r="P354" i="3"/>
  <c r="P356" i="3"/>
  <c r="P38" i="20" s="1"/>
  <c r="P347" i="3"/>
  <c r="P358" i="3"/>
  <c r="P40" i="20" s="1"/>
  <c r="Q391" i="3"/>
  <c r="P176" i="3"/>
  <c r="Q52" i="25"/>
  <c r="Q51" i="19"/>
  <c r="Q189" i="3"/>
  <c r="Q94" i="25" l="1"/>
  <c r="Q44" i="24"/>
  <c r="Q337" i="3"/>
  <c r="Q12" i="27"/>
  <c r="Q392" i="3"/>
  <c r="P33" i="28"/>
  <c r="P33" i="20"/>
  <c r="P18" i="21"/>
  <c r="P33" i="17"/>
  <c r="P353" i="3"/>
  <c r="P36" i="25"/>
  <c r="P16" i="20"/>
  <c r="P35" i="19"/>
  <c r="P26" i="17"/>
  <c r="P349" i="3"/>
  <c r="P31" i="20" s="1"/>
  <c r="P177" i="3"/>
  <c r="P346" i="3"/>
  <c r="R265" i="3"/>
  <c r="R276" i="3"/>
  <c r="Q369" i="3"/>
  <c r="Q15" i="30" s="1"/>
  <c r="Q167" i="3"/>
  <c r="R40" i="11"/>
  <c r="P36" i="20"/>
  <c r="P359" i="3"/>
  <c r="P81" i="25"/>
  <c r="P31" i="24"/>
  <c r="P320" i="3"/>
  <c r="P416" i="3"/>
  <c r="P328" i="3"/>
  <c r="P329" i="3"/>
  <c r="Q56" i="25"/>
  <c r="Q55" i="19"/>
  <c r="Q201" i="3"/>
  <c r="P29" i="20"/>
  <c r="P31" i="17"/>
  <c r="P43" i="25"/>
  <c r="P42" i="19"/>
  <c r="Q28" i="24"/>
  <c r="Q78" i="25"/>
  <c r="Q327" i="3"/>
  <c r="P48" i="25"/>
  <c r="P47" i="19"/>
  <c r="P372" i="3"/>
  <c r="P18" i="30" s="1"/>
  <c r="P44" i="25" l="1"/>
  <c r="P43" i="19"/>
  <c r="P362" i="3"/>
  <c r="P8" i="30" s="1"/>
  <c r="P91" i="25"/>
  <c r="P41" i="24"/>
  <c r="P90" i="25"/>
  <c r="P40" i="24"/>
  <c r="P25" i="20"/>
  <c r="P367" i="3"/>
  <c r="P13" i="30" s="1"/>
  <c r="P29" i="17"/>
  <c r="Q34" i="25"/>
  <c r="Q33" i="19"/>
  <c r="Q317" i="3"/>
  <c r="Q13" i="27"/>
  <c r="P82" i="25"/>
  <c r="P32" i="24"/>
  <c r="R277" i="3"/>
  <c r="Q99" i="25"/>
  <c r="Q49" i="24"/>
  <c r="Q175" i="3"/>
  <c r="Q69" i="25"/>
  <c r="Q67" i="19"/>
  <c r="Q202" i="3"/>
  <c r="Q50" i="11"/>
  <c r="R185" i="3"/>
  <c r="R10" i="11"/>
  <c r="R15" i="11" s="1"/>
  <c r="R20" i="11" s="1"/>
  <c r="R39" i="11" s="1"/>
  <c r="R266" i="3"/>
  <c r="P35" i="28"/>
  <c r="P20" i="21"/>
  <c r="P35" i="20"/>
  <c r="Q89" i="25"/>
  <c r="Q39" i="24"/>
  <c r="P41" i="20"/>
  <c r="P370" i="3"/>
  <c r="P16" i="30" s="1"/>
  <c r="P28" i="20"/>
  <c r="P30" i="17"/>
  <c r="Q42" i="25" l="1"/>
  <c r="Q41" i="19"/>
  <c r="Q351" i="3"/>
  <c r="R332" i="3"/>
  <c r="R316" i="3"/>
  <c r="Q355" i="3"/>
  <c r="Q37" i="20" s="1"/>
  <c r="Q357" i="3"/>
  <c r="Q39" i="20" s="1"/>
  <c r="Q354" i="3"/>
  <c r="Q356" i="3"/>
  <c r="Q38" i="20" s="1"/>
  <c r="Q347" i="3"/>
  <c r="Q358" i="3"/>
  <c r="Q40" i="20" s="1"/>
  <c r="R391" i="3"/>
  <c r="Q176" i="3"/>
  <c r="Q79" i="25"/>
  <c r="Q29" i="24"/>
  <c r="Q319" i="3"/>
  <c r="R41" i="11"/>
  <c r="R52" i="25"/>
  <c r="R51" i="19"/>
  <c r="R189" i="3"/>
  <c r="Q70" i="25"/>
  <c r="Q68" i="19"/>
  <c r="Q163" i="3"/>
  <c r="R293" i="3"/>
  <c r="S275" i="3"/>
  <c r="Q81" i="25" l="1"/>
  <c r="Q31" i="24"/>
  <c r="Q320" i="3"/>
  <c r="Q416" i="3"/>
  <c r="Q328" i="3"/>
  <c r="Q329" i="3"/>
  <c r="Q36" i="20"/>
  <c r="Q359" i="3"/>
  <c r="R369" i="3"/>
  <c r="R15" i="30" s="1"/>
  <c r="R167" i="3"/>
  <c r="R56" i="25"/>
  <c r="R55" i="19"/>
  <c r="R201" i="3"/>
  <c r="Q43" i="25"/>
  <c r="Q42" i="19"/>
  <c r="R78" i="25"/>
  <c r="R28" i="24"/>
  <c r="R327" i="3"/>
  <c r="R12" i="27"/>
  <c r="R392" i="3"/>
  <c r="R94" i="25"/>
  <c r="R44" i="24"/>
  <c r="R337" i="3"/>
  <c r="S265" i="3"/>
  <c r="S276" i="3"/>
  <c r="S277" i="3" s="1"/>
  <c r="S293" i="3" s="1"/>
  <c r="S40" i="11"/>
  <c r="Q33" i="28"/>
  <c r="Q18" i="21"/>
  <c r="Q33" i="20"/>
  <c r="Q353" i="3"/>
  <c r="Q33" i="17"/>
  <c r="Q29" i="20"/>
  <c r="Q31" i="17"/>
  <c r="Q30" i="25"/>
  <c r="Q29" i="19"/>
  <c r="Q169" i="3"/>
  <c r="Q181" i="3"/>
  <c r="R202" i="3"/>
  <c r="Q51" i="11"/>
  <c r="Q53" i="11" s="1"/>
  <c r="Q373" i="3" s="1"/>
  <c r="Q19" i="30" s="1"/>
  <c r="R52" i="11"/>
  <c r="Q41" i="20" l="1"/>
  <c r="Q370" i="3"/>
  <c r="Q16" i="30" s="1"/>
  <c r="Q91" i="25"/>
  <c r="Q41" i="24"/>
  <c r="S185" i="3"/>
  <c r="S10" i="11"/>
  <c r="S15" i="11" s="1"/>
  <c r="S20" i="11" s="1"/>
  <c r="S39" i="11" s="1"/>
  <c r="S266" i="3"/>
  <c r="Q35" i="28"/>
  <c r="Q20" i="21"/>
  <c r="Q35" i="20"/>
  <c r="Q48" i="25"/>
  <c r="Q47" i="19"/>
  <c r="Q372" i="3"/>
  <c r="Q18" i="30" s="1"/>
  <c r="Q36" i="25"/>
  <c r="Q35" i="19"/>
  <c r="Q16" i="20"/>
  <c r="Q26" i="17"/>
  <c r="Q349" i="3"/>
  <c r="Q31" i="20" s="1"/>
  <c r="Q177" i="3"/>
  <c r="Q346" i="3"/>
  <c r="R69" i="25"/>
  <c r="R67" i="19"/>
  <c r="R50" i="11"/>
  <c r="Q90" i="25"/>
  <c r="Q40" i="24"/>
  <c r="Q25" i="20"/>
  <c r="Q29" i="17"/>
  <c r="Q367" i="3"/>
  <c r="Q13" i="30" s="1"/>
  <c r="R99" i="25"/>
  <c r="R49" i="24"/>
  <c r="R175" i="3"/>
  <c r="R13" i="27"/>
  <c r="R70" i="25"/>
  <c r="R68" i="19"/>
  <c r="R163" i="3"/>
  <c r="Q82" i="25"/>
  <c r="Q32" i="24"/>
  <c r="S41" i="11"/>
  <c r="S52" i="11"/>
  <c r="R89" i="25"/>
  <c r="R39" i="24"/>
  <c r="R34" i="25"/>
  <c r="R33" i="19"/>
  <c r="R317" i="3"/>
  <c r="S369" i="3"/>
  <c r="S15" i="30" s="1"/>
  <c r="S167" i="3"/>
  <c r="R79" i="25" l="1"/>
  <c r="R29" i="24"/>
  <c r="R319" i="3"/>
  <c r="R42" i="25"/>
  <c r="R41" i="19"/>
  <c r="R351" i="3"/>
  <c r="S332" i="3"/>
  <c r="S316" i="3"/>
  <c r="R355" i="3"/>
  <c r="R37" i="20" s="1"/>
  <c r="R357" i="3"/>
  <c r="R39" i="20" s="1"/>
  <c r="R354" i="3"/>
  <c r="R356" i="3"/>
  <c r="R38" i="20" s="1"/>
  <c r="R358" i="3"/>
  <c r="R40" i="20" s="1"/>
  <c r="R347" i="3"/>
  <c r="S391" i="3"/>
  <c r="R176" i="3"/>
  <c r="S52" i="25"/>
  <c r="S51" i="19"/>
  <c r="S189" i="3"/>
  <c r="R53" i="11"/>
  <c r="R373" i="3" s="1"/>
  <c r="R19" i="30" s="1"/>
  <c r="Q28" i="20"/>
  <c r="Q30" i="17"/>
  <c r="R30" i="25"/>
  <c r="R29" i="19"/>
  <c r="R181" i="3"/>
  <c r="R169" i="3"/>
  <c r="R51" i="11"/>
  <c r="Q44" i="25"/>
  <c r="Q43" i="19"/>
  <c r="Q362" i="3"/>
  <c r="Q8" i="30" s="1"/>
  <c r="S34" i="25"/>
  <c r="S33" i="19"/>
  <c r="S317" i="3"/>
  <c r="R29" i="20" l="1"/>
  <c r="R31" i="17"/>
  <c r="R33" i="28"/>
  <c r="R33" i="20"/>
  <c r="R18" i="21"/>
  <c r="R33" i="17"/>
  <c r="R353" i="3"/>
  <c r="R36" i="25"/>
  <c r="R35" i="19"/>
  <c r="R16" i="20"/>
  <c r="R26" i="17"/>
  <c r="R349" i="3"/>
  <c r="R31" i="20" s="1"/>
  <c r="R177" i="3"/>
  <c r="R346" i="3"/>
  <c r="S56" i="25"/>
  <c r="S55" i="19"/>
  <c r="S201" i="3"/>
  <c r="R36" i="20"/>
  <c r="R359" i="3"/>
  <c r="R81" i="25"/>
  <c r="R31" i="24"/>
  <c r="R320" i="3"/>
  <c r="R416" i="3"/>
  <c r="R328" i="3"/>
  <c r="R329" i="3"/>
  <c r="S79" i="25"/>
  <c r="S29" i="24"/>
  <c r="S319" i="3"/>
  <c r="R48" i="25"/>
  <c r="R47" i="19"/>
  <c r="R372" i="3"/>
  <c r="R18" i="30" s="1"/>
  <c r="R43" i="25"/>
  <c r="R42" i="19"/>
  <c r="S78" i="25"/>
  <c r="S28" i="24"/>
  <c r="S327" i="3"/>
  <c r="S12" i="27"/>
  <c r="S392" i="3"/>
  <c r="S94" i="25"/>
  <c r="S44" i="24"/>
  <c r="S337" i="3"/>
  <c r="R35" i="28" l="1"/>
  <c r="R35" i="20"/>
  <c r="R20" i="21"/>
  <c r="R91" i="25"/>
  <c r="R41" i="24"/>
  <c r="S13" i="27"/>
  <c r="E134" i="5"/>
  <c r="R82" i="25"/>
  <c r="R32" i="24"/>
  <c r="R28" i="20"/>
  <c r="R30" i="17"/>
  <c r="S69" i="25"/>
  <c r="S67" i="19"/>
  <c r="S50" i="11"/>
  <c r="S202" i="3"/>
  <c r="R90" i="25"/>
  <c r="R40" i="24"/>
  <c r="R25" i="20"/>
  <c r="R29" i="17"/>
  <c r="R367" i="3"/>
  <c r="R13" i="30" s="1"/>
  <c r="R44" i="25"/>
  <c r="R43" i="19"/>
  <c r="R362" i="3"/>
  <c r="R8" i="30" s="1"/>
  <c r="S99" i="25"/>
  <c r="S49" i="24"/>
  <c r="S175" i="3"/>
  <c r="S89" i="25"/>
  <c r="S39" i="24"/>
  <c r="S328" i="3"/>
  <c r="S329" i="3"/>
  <c r="S81" i="25"/>
  <c r="S31" i="24"/>
  <c r="S320" i="3"/>
  <c r="S416" i="3"/>
  <c r="E417" i="3" s="1"/>
  <c r="E21" i="30" s="1"/>
  <c r="R41" i="20"/>
  <c r="R370" i="3"/>
  <c r="R16" i="30" s="1"/>
  <c r="S70" i="25" l="1"/>
  <c r="S68" i="19"/>
  <c r="S163" i="3"/>
  <c r="G134" i="5"/>
  <c r="H134" i="5"/>
  <c r="J134" i="5"/>
  <c r="F134" i="5"/>
  <c r="S91" i="25"/>
  <c r="S41" i="24"/>
  <c r="B17" i="9"/>
  <c r="S42" i="25"/>
  <c r="E33" i="6"/>
  <c r="F33" i="6" s="1"/>
  <c r="G33" i="6" s="1"/>
  <c r="S41" i="19"/>
  <c r="E31" i="6"/>
  <c r="F31" i="6" s="1"/>
  <c r="G31" i="6" s="1"/>
  <c r="E35" i="6"/>
  <c r="F35" i="6" s="1"/>
  <c r="G35" i="6" s="1"/>
  <c r="E34" i="6"/>
  <c r="F34" i="6" s="1"/>
  <c r="G34" i="6" s="1"/>
  <c r="E393" i="3"/>
  <c r="S351" i="3"/>
  <c r="E32" i="6"/>
  <c r="F32" i="6" s="1"/>
  <c r="G32" i="6" s="1"/>
  <c r="E30" i="6"/>
  <c r="F30" i="6" s="1"/>
  <c r="G30" i="6" s="1"/>
  <c r="E384" i="3"/>
  <c r="S355" i="3"/>
  <c r="E18" i="4"/>
  <c r="E14" i="4"/>
  <c r="F18" i="4"/>
  <c r="C18" i="4"/>
  <c r="F16" i="4"/>
  <c r="B16" i="4"/>
  <c r="D17" i="4"/>
  <c r="E15" i="4"/>
  <c r="B15" i="4"/>
  <c r="D14" i="4"/>
  <c r="B17" i="4"/>
  <c r="C14" i="4"/>
  <c r="D18" i="4"/>
  <c r="F17" i="4"/>
  <c r="C17" i="4"/>
  <c r="C15" i="4"/>
  <c r="E16" i="4"/>
  <c r="B14" i="4"/>
  <c r="F15" i="4"/>
  <c r="E17" i="4"/>
  <c r="F14" i="4"/>
  <c r="D15" i="4"/>
  <c r="C16" i="4"/>
  <c r="D16" i="4"/>
  <c r="B18" i="4"/>
  <c r="S357" i="3"/>
  <c r="S354" i="3"/>
  <c r="B5" i="4"/>
  <c r="S356" i="3"/>
  <c r="S358" i="3"/>
  <c r="S347" i="3"/>
  <c r="S176" i="3"/>
  <c r="S90" i="25"/>
  <c r="S40" i="24"/>
  <c r="S25" i="20"/>
  <c r="S29" i="17"/>
  <c r="B16" i="9"/>
  <c r="S367" i="3"/>
  <c r="S13" i="30" s="1"/>
  <c r="F29" i="2"/>
  <c r="S82" i="25"/>
  <c r="S32" i="24"/>
  <c r="S29" i="20" l="1"/>
  <c r="S31" i="17"/>
  <c r="B14" i="6"/>
  <c r="F24" i="2"/>
  <c r="C8" i="4"/>
  <c r="B8" i="4" s="1"/>
  <c r="S43" i="25"/>
  <c r="S42" i="19"/>
  <c r="S37" i="20"/>
  <c r="E99" i="5"/>
  <c r="E16" i="26"/>
  <c r="E385" i="3"/>
  <c r="S40" i="20"/>
  <c r="E102" i="5"/>
  <c r="S38" i="20"/>
  <c r="E100" i="5"/>
  <c r="S33" i="28"/>
  <c r="S18" i="21"/>
  <c r="S33" i="20"/>
  <c r="S33" i="17"/>
  <c r="S353" i="3"/>
  <c r="F30" i="2"/>
  <c r="B9" i="4"/>
  <c r="B36" i="2" s="1"/>
  <c r="C5" i="4"/>
  <c r="B34" i="2"/>
  <c r="S36" i="20"/>
  <c r="E98" i="5"/>
  <c r="S359" i="3"/>
  <c r="E14" i="27"/>
  <c r="E394" i="3"/>
  <c r="S30" i="25"/>
  <c r="S29" i="19"/>
  <c r="S169" i="3"/>
  <c r="S181" i="3"/>
  <c r="S51" i="11"/>
  <c r="S53" i="11" s="1"/>
  <c r="S373" i="3" s="1"/>
  <c r="S19" i="30" s="1"/>
  <c r="S39" i="20"/>
  <c r="E101" i="5"/>
  <c r="S35" i="28" l="1"/>
  <c r="S20" i="21"/>
  <c r="S35" i="20"/>
  <c r="B10" i="4"/>
  <c r="B35" i="2"/>
  <c r="E15" i="27"/>
  <c r="E135" i="5"/>
  <c r="B10" i="9"/>
  <c r="E395" i="3"/>
  <c r="H102" i="5"/>
  <c r="G102" i="5"/>
  <c r="G101" i="5"/>
  <c r="H101" i="5"/>
  <c r="S41" i="20"/>
  <c r="E103" i="5"/>
  <c r="S370" i="3"/>
  <c r="S16" i="30" s="1"/>
  <c r="S48" i="25"/>
  <c r="S47" i="19"/>
  <c r="S372" i="3"/>
  <c r="S18" i="30" s="1"/>
  <c r="E17" i="26"/>
  <c r="E386" i="3"/>
  <c r="C14" i="6"/>
  <c r="B11" i="6"/>
  <c r="C11" i="6" s="1"/>
  <c r="S36" i="25"/>
  <c r="S35" i="19"/>
  <c r="S16" i="20"/>
  <c r="S26" i="17"/>
  <c r="S349" i="3"/>
  <c r="S31" i="20" s="1"/>
  <c r="S177" i="3"/>
  <c r="S346" i="3"/>
  <c r="H98" i="5"/>
  <c r="G98" i="5"/>
  <c r="F98" i="5"/>
  <c r="J98" i="5"/>
  <c r="D5" i="4"/>
  <c r="D34" i="2" s="1"/>
  <c r="C34" i="2"/>
  <c r="H100" i="5"/>
  <c r="G100" i="5"/>
  <c r="H99" i="5"/>
  <c r="G99" i="5"/>
  <c r="I103" i="5" l="1"/>
  <c r="J103" i="5"/>
  <c r="H135" i="5"/>
  <c r="G135" i="5"/>
  <c r="F135" i="5"/>
  <c r="J135" i="5"/>
  <c r="S28" i="20"/>
  <c r="S30" i="17"/>
  <c r="E18" i="26"/>
  <c r="E387" i="3"/>
  <c r="S44" i="25"/>
  <c r="S43" i="19"/>
  <c r="S362" i="3"/>
  <c r="S8" i="30" s="1"/>
  <c r="J99" i="5"/>
  <c r="F99" i="5"/>
  <c r="E16" i="27"/>
  <c r="E396" i="3"/>
  <c r="J100" i="5" l="1"/>
  <c r="F100" i="5"/>
  <c r="E19" i="26"/>
  <c r="E418" i="3"/>
  <c r="E402" i="3"/>
  <c r="B33" i="2"/>
  <c r="E388" i="3"/>
  <c r="E17" i="27"/>
  <c r="E136" i="5"/>
  <c r="E137" i="5" s="1"/>
  <c r="E403" i="3"/>
  <c r="E20" i="26" l="1"/>
  <c r="B11" i="9"/>
  <c r="E19" i="27"/>
  <c r="E15" i="17"/>
  <c r="E405" i="3"/>
  <c r="E25" i="26"/>
  <c r="B24" i="4"/>
  <c r="E14" i="17"/>
  <c r="B26" i="4"/>
  <c r="B22" i="4"/>
  <c r="B25" i="4"/>
  <c r="B27" i="4"/>
  <c r="B23" i="4"/>
  <c r="E404" i="3"/>
  <c r="B7" i="2"/>
  <c r="C33" i="2"/>
  <c r="C38" i="2"/>
  <c r="D7" i="2"/>
  <c r="J136" i="5"/>
  <c r="I136" i="5"/>
  <c r="E21" i="27"/>
  <c r="E20" i="31"/>
  <c r="E22" i="30"/>
  <c r="B18" i="9"/>
  <c r="G18" i="9" s="1"/>
  <c r="E419" i="3"/>
  <c r="F101" i="5"/>
  <c r="J101" i="5"/>
  <c r="E20" i="27" l="1"/>
  <c r="E17" i="17"/>
  <c r="F102" i="5"/>
  <c r="J102" i="5"/>
  <c r="E104" i="5" s="1"/>
  <c r="E26" i="26"/>
  <c r="E16" i="17"/>
  <c r="D33" i="2"/>
  <c r="C23" i="4"/>
  <c r="C22" i="4"/>
  <c r="C27" i="4"/>
  <c r="E406" i="3"/>
  <c r="C26" i="4"/>
  <c r="C25" i="4"/>
  <c r="C24" i="4"/>
  <c r="B36" i="6"/>
  <c r="E23" i="30"/>
  <c r="E21" i="31"/>
  <c r="E22" i="27"/>
  <c r="E420" i="3"/>
  <c r="E24" i="30" l="1"/>
  <c r="E22" i="31"/>
  <c r="B11" i="2"/>
  <c r="B51" i="2"/>
  <c r="E18" i="17"/>
  <c r="E407" i="3"/>
  <c r="E444" i="3"/>
  <c r="E410" i="3"/>
  <c r="E455" i="3"/>
  <c r="E409" i="3"/>
  <c r="D38" i="2"/>
  <c r="B8" i="2"/>
  <c r="E19" i="17" l="1"/>
  <c r="E408" i="3"/>
  <c r="B9" i="2"/>
  <c r="E37" i="28"/>
  <c r="E22" i="21"/>
  <c r="E22" i="17"/>
  <c r="E59" i="29"/>
  <c r="E26" i="30"/>
  <c r="B48" i="2"/>
  <c r="E36" i="28"/>
  <c r="E21" i="21"/>
  <c r="E21" i="17"/>
  <c r="E27" i="30"/>
  <c r="E70" i="29"/>
  <c r="E20" i="17" l="1"/>
  <c r="B5" i="2"/>
</calcChain>
</file>

<file path=xl/sharedStrings.xml><?xml version="1.0" encoding="utf-8"?>
<sst xmlns="http://schemas.openxmlformats.org/spreadsheetml/2006/main" count="3687" uniqueCount="1780">
  <si>
    <t>BSI (BRIS) integrated valuation model v11.2</t>
  </si>
  <si>
    <t>Valuation date 16-Oct-2026 | price Rp 1,095 | units Rp bn unless stated | template: Quick FM (Alip), fixed and extended by the team</t>
  </si>
  <si>
    <t>Colour code</t>
  </si>
  <si>
    <t>Blue text</t>
  </si>
  <si>
    <t>Input you can change</t>
  </si>
  <si>
    <t>Black text</t>
  </si>
  <si>
    <t>Formula</t>
  </si>
  <si>
    <t>Green text</t>
  </si>
  <si>
    <t>Link to another sheet</t>
  </si>
  <si>
    <t>Orange fill</t>
  </si>
  <si>
    <t>Input still estimated (see Input_Register)</t>
  </si>
  <si>
    <t>Sheet</t>
  </si>
  <si>
    <t>Role</t>
  </si>
  <si>
    <t>What it holds</t>
  </si>
  <si>
    <t>Open items</t>
  </si>
  <si>
    <t>Dashboard</t>
  </si>
  <si>
    <t>Output</t>
  </si>
  <si>
    <t>One-page view: verdict, cost of equity, story to numbers, methods, scenarios, checks, where to change what</t>
  </si>
  <si>
    <t>Start here</t>
  </si>
  <si>
    <t>Sheet1</t>
  </si>
  <si>
    <t>Engine</t>
  </si>
  <si>
    <t>Inputs, income statement, balance sheet, cash flow, capital, DDM, residual income, 12m PT, scenarios, tornado, peers, charts</t>
  </si>
  <si>
    <t>Scenario and tornado blocks are static snapshots (flags E444, E455)</t>
  </si>
  <si>
    <t>Valuation_Checks</t>
  </si>
  <si>
    <t>Valuation</t>
  </si>
  <si>
    <t>Banking FCFE, justified and exit P/B, Ke x terminal-ROE-spread grid</t>
  </si>
  <si>
    <t>Cross-checks only</t>
  </si>
  <si>
    <t>Charts</t>
  </si>
  <si>
    <t>Chart data blocks and the 11 model charts (moved out of Sheet1)</t>
  </si>
  <si>
    <t>Terminal_ROE</t>
  </si>
  <si>
    <t>Evidence for terminal ROE = Ke + spread, scenario spreads, live sensitivity</t>
  </si>
  <si>
    <t>Beta_Evidence</t>
  </si>
  <si>
    <t>Observed betas, Blume adjustment, lambda cross-check, beta sensitivity of PT (static)</t>
  </si>
  <si>
    <t>Confirm raw-beta source and period with Alip</t>
  </si>
  <si>
    <t>Prob_Justification</t>
  </si>
  <si>
    <t>Evidence tally behind the Bear / Base / Bull probabilities</t>
  </si>
  <si>
    <t>Weights are judgement</t>
  </si>
  <si>
    <t>Damodaran_Audit</t>
  </si>
  <si>
    <t>Check</t>
  </si>
  <si>
    <t>Structural checks against Damodaran bank valuation; BRIS P/B history</t>
  </si>
  <si>
    <t>Driver_Check</t>
  </si>
  <si>
    <t>Evidence</t>
  </si>
  <si>
    <t>Forecast drivers vs history and 1H26 run-rate</t>
  </si>
  <si>
    <t>Settle financing growth</t>
  </si>
  <si>
    <t>CF_Direct</t>
  </si>
  <si>
    <t>Direct cash flow FY21A-FY25A as reported</t>
  </si>
  <si>
    <t>Input_Register</t>
  </si>
  <si>
    <t>Status and source of every market input and estimate</t>
  </si>
  <si>
    <t>Peer 16-Oct closes, 52-week high, sell-side targets</t>
  </si>
  <si>
    <t>Beta / Returns / Prices</t>
  </si>
  <si>
    <t>Data</t>
  </si>
  <si>
    <t>Monthly closes and regression beta vs IHSG</t>
  </si>
  <si>
    <t>Change_Log</t>
  </si>
  <si>
    <t>Admin</t>
  </si>
  <si>
    <t>Version history</t>
  </si>
  <si>
    <t>Model notes (moved from Sheet1 section 7)</t>
  </si>
  <si>
    <t>Orange cells = estimates (BS detail, debt tranches, fixed assets, rates, market inputs) -&gt; replace via research pass; model recalculates.</t>
  </si>
  <si>
    <t>Half-year memo (cols T:V): Jun-25A, Jun-26A and implied 2H26E. Quarterly split not built: only 1H26 flows disclosed in the source decks.</t>
  </si>
  <si>
    <t>FY25 deck prints operating income 25,279; NMI + fee-based = 25,937 and PPOP 12,365 ties to 25,937 -&gt; model uses 25,937.</t>
  </si>
  <si>
    <t>Hist NIM (reported) vs model NIM differ by definition (earning-asset base); gap held flat in forecast (S4).</t>
  </si>
  <si>
    <t>Dividends paid in year t = payout x NI of year t-1. Policy payout 15% FY23-24; FY25 payout pending 2026 RUPST.</t>
  </si>
  <si>
    <t>Scenario summary (4h) and tornado (4i) remain static values (regenerated in v4.0); staleness flags in E471 and E482 show STALE if inputs change after the snapshot.</t>
  </si>
  <si>
    <t>Rights issue (up to 6.8bn shares, EGM 6-Nov-26, Q1-27): per-share values are per EXISTING share assuming pro-rata subscription (net distribution = dividends - subscription). Issue price undisclosed (placeholder).</t>
  </si>
  <si>
    <t>FY21A: income statement mapped to deck presentation (wadiah bonus 120 moved out of overhead into PSE / fee, as in FY22 deck vs audited). FY21 personnel/promotion split, segment balances (Rp0.1tn rounding) and DPK split are ESTIMATES (orange). NIM, cost of funds, yield and cost of credit not available for FY21: left blank.</t>
  </si>
  <si>
    <t>FY31-35E: drivers faded/held (financing growth fades to 5.0/6.5/8.0%, fee growth to 5/7/9%, other ratios held at FY30E). Payout ramps toward sustainable level (1-g/ROE) as growth slows - JUDGMENT. Sukuk rolled 1:1. No new equity raise after the 2027 rights issue.</t>
  </si>
  <si>
    <t>Remaining non-primary inputs: 52-week high, sell-side targets, peer 16-Oct closes. See Input_Register.</t>
  </si>
  <si>
    <t>BSI (BRIS) - Valuation dashboard</t>
  </si>
  <si>
    <t>Live links (green) to Sheet1 and supporting sheets; section 5 is a static scenario snapshot. Rp per share unless stated. The rating is the mechanical output of the +15% / -10% rule, not the team recommendation.</t>
  </si>
  <si>
    <t>1. Recommendation (mechanical)</t>
  </si>
  <si>
    <t>Rating (&gt; +15% BUY, &lt; -10% SELL, else HOLD)</t>
  </si>
  <si>
    <t>Current price, close 16-Oct-26</t>
  </si>
  <si>
    <t>BSI IR historical prices</t>
  </si>
  <si>
    <t>Value today: intrinsic (DDM = RI) / relative / blended</t>
  </si>
  <si>
    <t>Blend weight on relative = Sheet1 E29</t>
  </si>
  <si>
    <t>12-month target price (blended)</t>
  </si>
  <si>
    <t>Each value rolled forward 12 months at Ke, less dividends</t>
  </si>
  <si>
    <t>Upside to 12-month target price</t>
  </si>
  <si>
    <t>Probability-weighted 12-month target price</t>
  </si>
  <si>
    <t>Static snapshot; weights in Prob_Justification</t>
  </si>
  <si>
    <t>Master model check</t>
  </si>
  <si>
    <t>OK = every integrity test passes</t>
  </si>
  <si>
    <t>2. Cost of equity, terminal assumptions and weights</t>
  </si>
  <si>
    <t>Risk-free rate, IDR (10Y yield less default spread)</t>
  </si>
  <si>
    <t>Beta: raw (selected) / Blume-adjusted year 1</t>
  </si>
  <si>
    <t>Choice in Beta_Evidence B38; converges to 1.0 by FY35E</t>
  </si>
  <si>
    <t>ERP incl. country risk / country risk premium (added in full)</t>
  </si>
  <si>
    <t>Lambda approach, Beta_Evidence B41</t>
  </si>
  <si>
    <t>Cost of equity: year 1 / stable (FY35E)</t>
  </si>
  <si>
    <t>Terminal growth / terminal ROE (stable Ke + spread)</t>
  </si>
  <si>
    <t>Evidence in Terminal_ROE</t>
  </si>
  <si>
    <t>Weight on relative valuation in the target</t>
  </si>
  <si>
    <t>MSCI Standalone consultation (15 Oct 2026); sensitivity in Valuation_Checks 4</t>
  </si>
  <si>
    <t>3. Story to numbers</t>
  </si>
  <si>
    <t>FY25A</t>
  </si>
  <si>
    <t>FY26E</t>
  </si>
  <si>
    <t>FY28E</t>
  </si>
  <si>
    <t>FY30E</t>
  </si>
  <si>
    <t>FY35E</t>
  </si>
  <si>
    <t>Gross financing growth</t>
  </si>
  <si>
    <t>Net profit (Rp bn)</t>
  </si>
  <si>
    <t>ROE (average equity)</t>
  </si>
  <si>
    <t>Cost-to-income ratio</t>
  </si>
  <si>
    <t>Cost of credit</t>
  </si>
  <si>
    <t>Gross NPF</t>
  </si>
  <si>
    <t>Dividend payout</t>
  </si>
  <si>
    <t>CAR</t>
  </si>
  <si>
    <t>BVPS (Rp)</t>
  </si>
  <si>
    <t>4. Valuation by method (Rp per share)</t>
  </si>
  <si>
    <t>Dec-25</t>
  </si>
  <si>
    <t>Today</t>
  </si>
  <si>
    <t>12m</t>
  </si>
  <si>
    <t>Intrinsic: DDM = residual income (same terminal ROE)</t>
  </si>
  <si>
    <t>Cross-check: banking FCFE</t>
  </si>
  <si>
    <t>Valuation_Checks section 1</t>
  </si>
  <si>
    <t>Cross-check: justified P/B on FY26E book</t>
  </si>
  <si>
    <t>Valuation_Checks section 2</t>
  </si>
  <si>
    <t>Cross-check: exit P/B at peer median</t>
  </si>
  <si>
    <t>Relative: 70% P/B x Jun-26 book + 30% P/E x 1H26 annualised EPS</t>
  </si>
  <si>
    <t>P/B-implied Sheet1 E474, P/E-implied E480</t>
  </si>
  <si>
    <t>Target price: 2/3 intrinsic + 1/3 relative</t>
  </si>
  <si>
    <t>Market-implied sustainable ROE at current price</t>
  </si>
  <si>
    <t>Compare with terminal ROE in section 2</t>
  </si>
  <si>
    <t>5. Scenarios (static snapshot)</t>
  </si>
  <si>
    <t>Bear</t>
  </si>
  <si>
    <t>Base</t>
  </si>
  <si>
    <t>Bull</t>
  </si>
  <si>
    <t>Prob-wtd</t>
  </si>
  <si>
    <t>Probability</t>
  </si>
  <si>
    <t>Net profit FY30E (Rp bn)</t>
  </si>
  <si>
    <t>ROE FY35E</t>
  </si>
  <si>
    <t>12-month target price</t>
  </si>
  <si>
    <t>Upside vs current price</t>
  </si>
  <si>
    <t>Current price (chart line)</t>
  </si>
  <si>
    <t>Snapshot status (must read OK; else re-run scenarios)</t>
  </si>
  <si>
    <t>6. Model integrity checks</t>
  </si>
  <si>
    <t>Result</t>
  </si>
  <si>
    <t>Master check (all tests)</t>
  </si>
  <si>
    <t>Direct cash flow ties to indirect (0 = OK)</t>
  </si>
  <si>
    <t>Cash above GWM liquidity floor (0 = OK)</t>
  </si>
  <si>
    <t>Tornado shocks off (Sheet1 E8:E15 all zero)</t>
  </si>
  <si>
    <t>7. Where to change what</t>
  </si>
  <si>
    <t>Chart: bars = 12-month target price by scenario; dashed line = current price.</t>
  </si>
  <si>
    <t>Scenario (Bear / Base / Bull)</t>
  </si>
  <si>
    <t>Sheet1 E3</t>
  </si>
  <si>
    <t>Price, shares, risk-free, ERP</t>
  </si>
  <si>
    <t>Sheet1 E20:E25</t>
  </si>
  <si>
    <t>Raw beta choice, country-risk method, beta convergence</t>
  </si>
  <si>
    <t>Beta_Evidence B38, B41, B42</t>
  </si>
  <si>
    <t>Relative weight, terminal growth</t>
  </si>
  <si>
    <t>Sheet1 E29, E31</t>
  </si>
  <si>
    <t>Terminal ROE spread by scenario</t>
  </si>
  <si>
    <t>Sheet1 E39:G39</t>
  </si>
  <si>
    <t>Operating drivers by scenario</t>
  </si>
  <si>
    <t>Sheet1 rows 88-108</t>
  </si>
  <si>
    <t>One-at-a-time shocks (tornado)</t>
  </si>
  <si>
    <t>Sheet1 E8:E15, reset to 0</t>
  </si>
  <si>
    <t>Scenario probabilities</t>
  </si>
  <si>
    <t>Peer data and BRIS trailing inputs</t>
  </si>
  <si>
    <t>Sheet1 rows 459-480</t>
  </si>
  <si>
    <t>Open items and sources</t>
  </si>
  <si>
    <t>Input_Register, Driver_Check, README</t>
  </si>
  <si>
    <t>PT BANK SYARIAH INDONESIA (PERSERO) TBK (IDX: BRIS)</t>
  </si>
  <si>
    <t>Rp bn unless stated | Blue = hardcode input | Black = formula | Green = cross-ref | Orange fill = ESTIMATE/PLACEHOLDER (replace with researched value) | Yellow = research input | Grey = forecast</t>
  </si>
  <si>
    <t>SCENARIO SELECTOR (1=Bear, 2=Base, 3=Bull)</t>
  </si>
  <si>
    <t>#</t>
  </si>
  <si>
    <t>Drives every live driver below</t>
  </si>
  <si>
    <t>Active scenario</t>
  </si>
  <si>
    <t>Scenario probability Bear / Base / Bull</t>
  </si>
  <si>
    <t>%</t>
  </si>
  <si>
    <t>Linked to sheet Prob_Justification (evidence tally). Was 25/50/25 hardcoded</t>
  </si>
  <si>
    <t>Sensitivity shocks (leave 0 for the case; used by tornado runner). Added to the live driver in every forecast year:</t>
  </si>
  <si>
    <t>Shock: gross margin yield (pp)</t>
  </si>
  <si>
    <t>pp</t>
  </si>
  <si>
    <t>Shock: cost of credit (pp)</t>
  </si>
  <si>
    <t>Shock: CIR (pp)</t>
  </si>
  <si>
    <t>Shock: financing growth, all segments (pp)</t>
  </si>
  <si>
    <t>Shock: fee income growth (pp)</t>
  </si>
  <si>
    <t>Shock: payout ratio (pp)</t>
  </si>
  <si>
    <t>Shock: cost of equity (pp)</t>
  </si>
  <si>
    <t>Shock: time-deposit rate change (pp)</t>
  </si>
  <si>
    <t>Data flags</t>
  </si>
  <si>
    <t>FY25 deck op income 25,279 vs NMI+fee 25,937 (PPOP ties to 25,937: used). Gemini cost/yield/NIM/fee/NPF tables conflict with IR decks: NOT used.</t>
  </si>
  <si>
    <t>1. INPUTS</t>
  </si>
  <si>
    <t>1a. Market &amp; valuation inputs (RESEARCH - orange cells are placeholders)</t>
  </si>
  <si>
    <t>Current share price</t>
  </si>
  <si>
    <t>Rp</t>
  </si>
  <si>
    <t>Last trade 8-Oct-26 (journalarta); 6-Oct close 1,385 (Investing.com). Update to latest close before final run</t>
  </si>
  <si>
    <t>Shares outstanding (pre rights issue)</t>
  </si>
  <si>
    <t>mn</t>
  </si>
  <si>
    <t>46,129,260,138 sh at 31-Aug-26 (BSI IR/IDX)</t>
  </si>
  <si>
    <t>Valuation date</t>
  </si>
  <si>
    <t>date</t>
  </si>
  <si>
    <t>FY25 dividend payment date (paid in FY26)</t>
  </si>
  <si>
    <t>RUPST May-26: Rp1,513.5bn, DPS 32.81, 20% payout</t>
  </si>
  <si>
    <t>Risk-free rate, IDR (10Y INDOGB less sovereign default spread)</t>
  </si>
  <si>
    <t>G24 = 10Y INDOGB 7.18% (6-Oct-26). H24 = Damodaran default spread for Baa2, 1.62% (Jan-26). Net rf = gross - spread (CRP is added once, inside the ERP)</t>
  </si>
  <si>
    <t>gross / spread</t>
  </si>
  <si>
    <t>Equity risk premium (Indonesia)</t>
  </si>
  <si>
    <t>Damodaran Jan-26: 4.23% mature + 2.46% CRP</t>
  </si>
  <si>
    <t>Beta, Blume-adjusted year 1 (raw beta chosen in Beta_Evidence B38)</t>
  </si>
  <si>
    <t>x</t>
  </si>
  <si>
    <t>Linked to Beta_Evidence B12; converges to 1.0 by FY35E when Beta_Evidence B42 = 1</t>
  </si>
  <si>
    <t>Size / liquidity premium</t>
  </si>
  <si>
    <t>Set to 0 in v4.0 (was +1.0%, pure judgment, would double count the CRP). Kept as a toggle. Lambda approach (beta on mature ERP, full CRP) equals about +0.6% here</t>
  </si>
  <si>
    <t>Cost of equity year 1 (method per Beta_Evidence B41)</t>
  </si>
  <si>
    <t>Weight on relative valuation in the 12m target price (rest = DDM = RI)</t>
  </si>
  <si>
    <t>Team judgement: MSCI consultation on Standalone status (15 Oct 2026) is market-wide; peer multiples carry it. Sensitivity in Valuation_Checks section 4</t>
  </si>
  <si>
    <t xml:space="preserve">  Terminal growth (g) - Bear / Base / Bull</t>
  </si>
  <si>
    <t>Terminal growth (g) (live)</t>
  </si>
  <si>
    <t xml:space="preserve">  Scenario CoE adder - Bear / Base / Bull</t>
  </si>
  <si>
    <t>Set to 0 in v4.0 (was +0.5% / 0 / -0.25%): scenarios now differ by operating drivers only, Ke is a single estimate</t>
  </si>
  <si>
    <t>Scenario CoE adder (live)</t>
  </si>
  <si>
    <t>Cost of equity year 1 (live); yearly path in row 378</t>
  </si>
  <si>
    <t>Target CAR (internal floor)</t>
  </si>
  <si>
    <t>Reported CAR 20.41% at Jun-26 (Q2-26 statement); mgmt aim to stay &gt;20%; post-rights-issue 22-24% (prospectus)</t>
  </si>
  <si>
    <t>Regulatory minimum CAR incl. buffers</t>
  </si>
  <si>
    <t>AR2025: KPMM per risk profile 9.99% + capital conservation buffer 2.5% + D-SIB 1.0%; countercyclical 0%</t>
  </si>
  <si>
    <t>FDR cap</t>
  </si>
  <si>
    <t>Min cash &amp; BI placements / DPK (GWM proxy)</t>
  </si>
  <si>
    <t>Sharia GWM 7.5% (conventional 9.0%)</t>
  </si>
  <si>
    <t xml:space="preserve">  Terminal ROE spread over Ke - Bear / Base / Bull</t>
  </si>
  <si>
    <t>Terminal ROE = Ke + spread. Evidence and anchors in sheet Terminal_ROE</t>
  </si>
  <si>
    <t>1b. Macro (scenario)</t>
  </si>
  <si>
    <t>FY21A</t>
  </si>
  <si>
    <t>FY22A</t>
  </si>
  <si>
    <t>FY23A</t>
  </si>
  <si>
    <t>FY24A</t>
  </si>
  <si>
    <t>FY27E</t>
  </si>
  <si>
    <t>FY29E</t>
  </si>
  <si>
    <t>FY31E</t>
  </si>
  <si>
    <t>FY32E</t>
  </si>
  <si>
    <t>FY33E</t>
  </si>
  <si>
    <t>FY34E</t>
  </si>
  <si>
    <t xml:space="preserve">  BI rate (year-end) - Bear</t>
  </si>
  <si>
    <t xml:space="preserve">  BI rate (year-end) - Base</t>
  </si>
  <si>
    <t xml:space="preserve">  BI rate (year-end) - Bull</t>
  </si>
  <si>
    <t>BI rate (year-end) (live)</t>
  </si>
  <si>
    <t>BI rate 5.75% (Sep-26); hist per BI</t>
  </si>
  <si>
    <t>Pass-through of BI rate change to time-deposit rate</t>
  </si>
  <si>
    <t>Pass-through to CASA rate</t>
  </si>
  <si>
    <t>Pass-through to gross financing yield</t>
  </si>
  <si>
    <t>1c. Scenario drivers - volume</t>
  </si>
  <si>
    <t xml:space="preserve">  Financing growth - Corporate - Bear</t>
  </si>
  <si>
    <t xml:space="preserve">  Financing growth - Corporate - Base</t>
  </si>
  <si>
    <t xml:space="preserve">  Financing growth - Corporate - Bull</t>
  </si>
  <si>
    <t>Financing growth - Corporate (live)</t>
  </si>
  <si>
    <t>FY26 guidance 14-16% total; FY31-35 fades to 5.0/6.5/8.0% (bear/base/bull)</t>
  </si>
  <si>
    <t xml:space="preserve">  Financing growth - Commercial - Bear</t>
  </si>
  <si>
    <t xml:space="preserve">  Financing growth - Commercial - Base</t>
  </si>
  <si>
    <t xml:space="preserve">  Financing growth - Commercial - Bull</t>
  </si>
  <si>
    <t>Financing growth - Commercial (live)</t>
  </si>
  <si>
    <t xml:space="preserve">  Financing growth - SME - Bear</t>
  </si>
  <si>
    <t xml:space="preserve">  Financing growth - SME - Base</t>
  </si>
  <si>
    <t xml:space="preserve">  Financing growth - SME - Bull</t>
  </si>
  <si>
    <t>Financing growth - SME (live)</t>
  </si>
  <si>
    <t xml:space="preserve">  Financing growth - Micro - Bear</t>
  </si>
  <si>
    <t xml:space="preserve">  Financing growth - Micro - Base</t>
  </si>
  <si>
    <t xml:space="preserve">  Financing growth - Micro - Bull</t>
  </si>
  <si>
    <t>Financing growth - Micro (live)</t>
  </si>
  <si>
    <t xml:space="preserve">  Financing growth - Consumer incl. gold &amp; card - Bear</t>
  </si>
  <si>
    <t xml:space="preserve">  Financing growth - Consumer incl. gold &amp; card - Base</t>
  </si>
  <si>
    <t xml:space="preserve">  Financing growth - Consumer incl. gold &amp; card - Bull</t>
  </si>
  <si>
    <t>Financing growth - Consumer incl. gold &amp; card (live)</t>
  </si>
  <si>
    <t xml:space="preserve">  CASA ratio - Bear</t>
  </si>
  <si>
    <t xml:space="preserve">  CASA ratio - Base</t>
  </si>
  <si>
    <t xml:space="preserve">  CASA ratio - Bull</t>
  </si>
  <si>
    <t>CASA ratio (live)</t>
  </si>
  <si>
    <t>FDR target (financing / third-party funds)</t>
  </si>
  <si>
    <t>EST path - RESEARCH mgmt LDR view</t>
  </si>
  <si>
    <t>1d. Scenario drivers - pricing</t>
  </si>
  <si>
    <t xml:space="preserve">  Change in gross margin yield - Bear</t>
  </si>
  <si>
    <t xml:space="preserve">  Change in gross margin yield - Base</t>
  </si>
  <si>
    <t xml:space="preserve">  Change in gross margin yield - Bull</t>
  </si>
  <si>
    <t>Change in gross margin yield (live)</t>
  </si>
  <si>
    <t>1H26 reported yield -76bp YoY</t>
  </si>
  <si>
    <t xml:space="preserve">  Change in time-deposit rate (ex BI pass-through) - Bear</t>
  </si>
  <si>
    <t xml:space="preserve">  Change in time-deposit rate (ex BI pass-through) - Base</t>
  </si>
  <si>
    <t xml:space="preserve">  Change in time-deposit rate (ex BI pass-through) - Bull</t>
  </si>
  <si>
    <t>Change in time-deposit rate (ex BI pass-through) (live)</t>
  </si>
  <si>
    <t>1H26 CoF -49bp YoY</t>
  </si>
  <si>
    <t>Change in CASA rate (ex BI pass-through)</t>
  </si>
  <si>
    <t>1e. Scenario drivers - fees, cost, credit, payout</t>
  </si>
  <si>
    <t xml:space="preserve">  Fee-based income growth - Bear</t>
  </si>
  <si>
    <t xml:space="preserve">  Fee-based income growth - Base</t>
  </si>
  <si>
    <t xml:space="preserve">  Fee-based income growth - Bull</t>
  </si>
  <si>
    <t>Fee-based income growth (live)</t>
  </si>
  <si>
    <t>1H26 +38% YoY</t>
  </si>
  <si>
    <t xml:space="preserve">  Cost-to-income ratio - Bear</t>
  </si>
  <si>
    <t xml:space="preserve">  Cost-to-income ratio - Base</t>
  </si>
  <si>
    <t xml:space="preserve">  Cost-to-income ratio - Bull</t>
  </si>
  <si>
    <t>Cost-to-income ratio (live)</t>
  </si>
  <si>
    <t>1H26 CIR 52.7%</t>
  </si>
  <si>
    <t xml:space="preserve">  Cost of credit (provisions / avg financing) - Bear</t>
  </si>
  <si>
    <t xml:space="preserve">  Cost of credit (provisions / avg financing) - Base</t>
  </si>
  <si>
    <t xml:space="preserve">  Cost of credit (provisions / avg financing) - Bull</t>
  </si>
  <si>
    <t>Cost of credit (provisions / avg financing) (live)</t>
  </si>
  <si>
    <t>Guidance &lt;1.00%; 1H26 0.62%</t>
  </si>
  <si>
    <t xml:space="preserve">  Gross NPF - Bear</t>
  </si>
  <si>
    <t xml:space="preserve">  Gross NPF - Base</t>
  </si>
  <si>
    <t xml:space="preserve">  Gross NPF - Bull</t>
  </si>
  <si>
    <t>Gross NPF (live)</t>
  </si>
  <si>
    <t>Hist = reported (FY21: Q4-23 public expose)</t>
  </si>
  <si>
    <t>NPF coverage (CKPN / gross NPF)</t>
  </si>
  <si>
    <t>Hist = reported</t>
  </si>
  <si>
    <t xml:space="preserve">  Dividend payout ratio (on year-t earnings, paid t+1) - Bear</t>
  </si>
  <si>
    <t xml:space="preserve">  Dividend payout ratio (on year-t earnings, paid t+1) - Base</t>
  </si>
  <si>
    <t xml:space="preserve">  Dividend payout ratio (on year-t earnings, paid t+1) - Bull</t>
  </si>
  <si>
    <t>Dividend payout ratio (on year-t earnings, paid t+1) (live)</t>
  </si>
  <si>
    <t>Actual 25/10/15/15/20% (FY21 = Rp757bn paid 2022); FY31-35 ramps toward sustainable payout (1-g/ROE) as growth fades - JUDGMENT</t>
  </si>
  <si>
    <t>1f. Other inputs (non-scenario)</t>
  </si>
  <si>
    <t>Other comprehensive income</t>
  </si>
  <si>
    <t>Rp bn</t>
  </si>
  <si>
    <t>Hist: statement of changes in equity</t>
  </si>
  <si>
    <t>Customer mudharabah (syirkah) as % of third-party funds</t>
  </si>
  <si>
    <t>FY21-25 from audited BS (customer mudharabah / total third-party funds)</t>
  </si>
  <si>
    <t>Sukuk Mudharabah - issuance</t>
  </si>
  <si>
    <t>EST: Tahap III 2026 shelf + rollovers; FY31-35 rolled 1:1</t>
  </si>
  <si>
    <t>Sukuk Mudharabah - repayment</t>
  </si>
  <si>
    <t>Per series maturities (Jun-26/Jul-26/2027/2028); FY31-35 assumed rolled 1:1</t>
  </si>
  <si>
    <t>Subordinated sukuk (Tier 2) - issuance</t>
  </si>
  <si>
    <t>EST rollover</t>
  </si>
  <si>
    <t>Subordinated sukuk (Tier 2) - repayment</t>
  </si>
  <si>
    <t>Sub sukuk 2023 matures Dec-28</t>
  </si>
  <si>
    <t>Interbank &amp; other borrowings - issuance</t>
  </si>
  <si>
    <t>Interbank &amp; other borrowings - repayment</t>
  </si>
  <si>
    <t>Sukuk Mudharabah profit-share rate</t>
  </si>
  <si>
    <t>Series equivalent 6.45-7.15%</t>
  </si>
  <si>
    <t>Subordinated sukuk rate</t>
  </si>
  <si>
    <t>Sub sukuk 2023 ~7.35% p.a.</t>
  </si>
  <si>
    <t>Interbank &amp; other borrowings rate</t>
  </si>
  <si>
    <t>Capex as % of operating income</t>
  </si>
  <si>
    <t>FY25 capex ~2.5tn (unverified) / op income 25.9tn</t>
  </si>
  <si>
    <t>Capex mix - Land &amp; buildings</t>
  </si>
  <si>
    <t>Depreciation / amortisation rate (declining balance on NBV) - Land &amp; buildings</t>
  </si>
  <si>
    <t>Capex mix - Equipment &amp; IT</t>
  </si>
  <si>
    <t>Depreciation / amortisation rate (declining balance on NBV) - Equipment &amp; IT</t>
  </si>
  <si>
    <t>Capex mix - Right-of-use assets</t>
  </si>
  <si>
    <t>Depreciation / amortisation rate (declining balance on NBV) - Right-of-use assets</t>
  </si>
  <si>
    <t>Capex mix - Intangibles / software</t>
  </si>
  <si>
    <t>Depreciation / amortisation rate (declining balance on NBV) - Intangibles / software</t>
  </si>
  <si>
    <t>Lease liability / ROU net book value</t>
  </si>
  <si>
    <t>Regulatory capital / book equity (ex Tier-2 sukuk)</t>
  </si>
  <si>
    <t>FY25A regulatory capital / book equity (AR2025) = 0.97; Jun-26 = 48,489 / 51,041 = 0.95 (1H26 statement)</t>
  </si>
  <si>
    <t>Rights issue toggle (1 = on)</t>
  </si>
  <si>
    <t>0/1</t>
  </si>
  <si>
    <t>Up to 6.8bn new shares; EGM 6-Nov-26; completion Q1-27 (Bisnis 30-Sep-26)</t>
  </si>
  <si>
    <t>New shares issued (rights issue)</t>
  </si>
  <si>
    <t>Max 6.8bn; size/price not final</t>
  </si>
  <si>
    <t>Rights issue price</t>
  </si>
  <si>
    <t>NOT DISCLOSED: placeholder = 14% discount to latest close. Disclosure 30-Sep-26: up to 6.8 bn new shares, expected Q1-27, price not final</t>
  </si>
  <si>
    <t>Pre-tax return on deployed rights-issue capital</t>
  </si>
  <si>
    <t>JUDGMENT: proceeds earmarked for financing growth</t>
  </si>
  <si>
    <t>2. FINANCIAL STATEMENTS</t>
  </si>
  <si>
    <t>2a. Income statement (sharia presentation: margin income less profit-sharing)</t>
  </si>
  <si>
    <t>Gross margin income</t>
  </si>
  <si>
    <t>Hist FY21A-FY25A: AR statement of profit or loss (fund-management income as mudharib), Rp mn/1,000; AR2021 p.Highlights, AR2022, AR2025 highlights</t>
  </si>
  <si>
    <t>Profit-sharing expense (funds owners)</t>
  </si>
  <si>
    <t>AR: third-party share of profit sharing (hak pihak ketiga atas bagi hasil)</t>
  </si>
  <si>
    <t>Net margin income</t>
  </si>
  <si>
    <t>Fee-based income</t>
  </si>
  <si>
    <t>AR: other operating income (pendapatan usaha lainnya)</t>
  </si>
  <si>
    <t>Operating income</t>
  </si>
  <si>
    <t>Equals AR "hak bagi hasil milik bank" + other operating income</t>
  </si>
  <si>
    <t xml:space="preserve">  Personnel expense</t>
  </si>
  <si>
    <t>FY21 split EST (audited total overhead 8,663 after wadiah-bonus reclass)</t>
  </si>
  <si>
    <t xml:space="preserve">  G&amp;A expense (incl. D&amp;A)</t>
  </si>
  <si>
    <t>AR total operating expense (beban usaha) less personnel and promotion; totals FY21-25: 8,783 / 9,895 / 10,249 / 11,794 / 13,701</t>
  </si>
  <si>
    <t xml:space="preserve">  Promotion expense</t>
  </si>
  <si>
    <t>Overhead cost</t>
  </si>
  <si>
    <t>Pre-provision operating profit (PPOP)</t>
  </si>
  <si>
    <t>Provisions (CKPN charge)</t>
  </si>
  <si>
    <t>AR: CKPN expense on earning and non-earning assets, net</t>
  </si>
  <si>
    <t>Profit before tax &amp; other</t>
  </si>
  <si>
    <t>Tax &amp; other (net, incl. non-operating)</t>
  </si>
  <si>
    <t>NET PROFIT (PAT)</t>
  </si>
  <si>
    <t>Effective tax &amp; other rate on pre-tax profit</t>
  </si>
  <si>
    <t>Average FY22-25 (~24.5%); FY21 26.3% pre-merger-integration</t>
  </si>
  <si>
    <t>Net profit growth</t>
  </si>
  <si>
    <t>Operating income growth</t>
  </si>
  <si>
    <t>Personnel as % of overhead</t>
  </si>
  <si>
    <t>Promotion as % of operating income</t>
  </si>
  <si>
    <t>Fee-based ratio (fee / operating income)</t>
  </si>
  <si>
    <t>2b. Balance sheet</t>
  </si>
  <si>
    <t>Cash, BI placements &amp; interbank</t>
  </si>
  <si>
    <t>Hist = audited BS; forecast = closing cash from cash-flow statement (no longer a ratio plug)</t>
  </si>
  <si>
    <t>Securities &amp; other earning assets (sukuk, placements)</t>
  </si>
  <si>
    <t>Hist = residual; forecast = FY25A ratio to third-party funds (row 180) x DPK; no longer the balancing item</t>
  </si>
  <si>
    <t>Gross financing</t>
  </si>
  <si>
    <t>Less: allowance for impairment (CKPN)</t>
  </si>
  <si>
    <t>Fixed assets &amp; intangibles, net</t>
  </si>
  <si>
    <t>Fixed+ROU+intangibles (audited BS)</t>
  </si>
  <si>
    <t>Other assets (working capital)</t>
  </si>
  <si>
    <t>DTA + other assets (audited BS)</t>
  </si>
  <si>
    <t>TOTAL ASSETS</t>
  </si>
  <si>
    <t>Third-party funds - wadiah / liability portion</t>
  </si>
  <si>
    <t>Sukuk, subordinated sukuk &amp; borrowings</t>
  </si>
  <si>
    <t>Lease liabilities</t>
  </si>
  <si>
    <t>EST hist - RESEARCH</t>
  </si>
  <si>
    <t>Other liabilities (working capital)</t>
  </si>
  <si>
    <t>Hist = residual</t>
  </si>
  <si>
    <t>Temporary syirkah funds (mudharabah deposits/savings)</t>
  </si>
  <si>
    <t>Presented between liabilities and equity</t>
  </si>
  <si>
    <t>TOTAL EQUITY</t>
  </si>
  <si>
    <t>TOTAL LIABILITIES, SYIRKAH &amp; EQUITY</t>
  </si>
  <si>
    <t>Balance check (assets - L&amp;E)</t>
  </si>
  <si>
    <t>Other assets / operating income</t>
  </si>
  <si>
    <t>Other liabilities / operating income</t>
  </si>
  <si>
    <t>Securities &amp; other earning assets / third-party funds</t>
  </si>
  <si>
    <t>Forecast held at FY25A ratio (input driver)</t>
  </si>
  <si>
    <t>Cash &amp; BI placements / third-party funds</t>
  </si>
  <si>
    <t>Forecast = OUTPUT (cash / DPK); must stay &gt;= GWM proxy (check row 372)</t>
  </si>
  <si>
    <t>2c. Cash flow statement (indirect, balance-sheet driven; direct version on sheet CF_Direct)</t>
  </si>
  <si>
    <t>Indirect (balance-sheet driven) statement. The BSI-format DIRECT statement, with FY21A-FY25A as reported, is on sheet CF_Direct</t>
  </si>
  <si>
    <t>Net profit</t>
  </si>
  <si>
    <t>(+) Depreciation &amp; amortisation</t>
  </si>
  <si>
    <t>(+) Provision charge (non-cash)</t>
  </si>
  <si>
    <t>(-) Increase in other assets</t>
  </si>
  <si>
    <t>(+) Increase in other liabilities</t>
  </si>
  <si>
    <t>Cash flow from operations</t>
  </si>
  <si>
    <t>(-) Net new financing (gross change + write-offs)</t>
  </si>
  <si>
    <t>(-) Increase in securities &amp; other earning assets</t>
  </si>
  <si>
    <t>(-) Capex (incl. ROU additions)</t>
  </si>
  <si>
    <t>Cash flow from investing / lending</t>
  </si>
  <si>
    <t>(+) Increase in third-party funds (incl. syirkah)</t>
  </si>
  <si>
    <t>(+) Net debt issuance / (repayment)</t>
  </si>
  <si>
    <t>(+) Change in lease liabilities</t>
  </si>
  <si>
    <t>(-) Dividends paid</t>
  </si>
  <si>
    <t>(+) OCI (treated as cash-equivalent movement)</t>
  </si>
  <si>
    <t>(+) Equity raise</t>
  </si>
  <si>
    <t>Cash flow from funding &amp; equity</t>
  </si>
  <si>
    <t>Net change in cash</t>
  </si>
  <si>
    <t>Closing cash (feeds balance sheet)</t>
  </si>
  <si>
    <t>3. SUPPORTING SCHEDULES</t>
  </si>
  <si>
    <t>S1. Financing book by segment (revenue engine)</t>
  </si>
  <si>
    <t>Corporate</t>
  </si>
  <si>
    <t>IR deck; FY21 rounded Rp0.1tn</t>
  </si>
  <si>
    <t>Commercial</t>
  </si>
  <si>
    <t>SME</t>
  </si>
  <si>
    <t>Micro (incl. KUR)</t>
  </si>
  <si>
    <t>Consumer incl. gold, card</t>
  </si>
  <si>
    <t>FY21 per Q4-23 IR deck (Rp0.1tn rounding); consumer = total less other segments</t>
  </si>
  <si>
    <t>Reported total financing (check)</t>
  </si>
  <si>
    <t>Average gross financing</t>
  </si>
  <si>
    <t>Financing growth</t>
  </si>
  <si>
    <t>Gross NPF amount</t>
  </si>
  <si>
    <t>S2. Funding (third-party funds) &amp; cost of funds</t>
  </si>
  <si>
    <t>Current accounts (giro)</t>
  </si>
  <si>
    <t>Savings</t>
  </si>
  <si>
    <t>Time deposits</t>
  </si>
  <si>
    <t>Total third-party funds</t>
  </si>
  <si>
    <t>CASA balance</t>
  </si>
  <si>
    <t>Giro share of CASA</t>
  </si>
  <si>
    <t>Third-party funds growth</t>
  </si>
  <si>
    <t>Time-deposit profit-share rate (avg)</t>
  </si>
  <si>
    <t>EST hist - RESEARCH note on DPK cost</t>
  </si>
  <si>
    <t>CASA profit-share rate (avg)</t>
  </si>
  <si>
    <t>Hist = residual after TD &amp; debt cost</t>
  </si>
  <si>
    <t>Profit-sharing on third-party funds</t>
  </si>
  <si>
    <t>Cost of funds (profit-sharing / avg DPK)</t>
  </si>
  <si>
    <t>Cost of funds - reported</t>
  </si>
  <si>
    <t>FDR (model basis)</t>
  </si>
  <si>
    <t>of which temporary syirkah funds</t>
  </si>
  <si>
    <t>S3. Revenue build (volume x yield x mix)</t>
  </si>
  <si>
    <t>Gross margin yield on avg financing (all-in)</t>
  </si>
  <si>
    <t>Reported "yield of financing": 9.15/8.94/8.95/9.05%</t>
  </si>
  <si>
    <t>Yield of financing - reported</t>
  </si>
  <si>
    <t>Total operating revenue (gross margin + fees)</t>
  </si>
  <si>
    <t>Revenue growth</t>
  </si>
  <si>
    <t>Fee share of revenue</t>
  </si>
  <si>
    <t>Bridge: volume effect on gross margin (vs prior yr)</t>
  </si>
  <si>
    <t>Bridge: yield effect on gross margin</t>
  </si>
  <si>
    <t>S4. Net margin income &amp; NIM tie-out</t>
  </si>
  <si>
    <t>Earning assets (financing + securities/other)</t>
  </si>
  <si>
    <t>NIM - model basis (NMI / avg earning assets)</t>
  </si>
  <si>
    <t>NIM - reported</t>
  </si>
  <si>
    <t>Definition gap (reported - model basis)</t>
  </si>
  <si>
    <t>Held flat; replace after FS pull of earning-asset definition</t>
  </si>
  <si>
    <t>NIM - reported basis (output)</t>
  </si>
  <si>
    <t>FY26 guidance: &gt;5.50%</t>
  </si>
  <si>
    <t>Spread (gross yield - cost of funds)</t>
  </si>
  <si>
    <t>Bridge: funding cost change</t>
  </si>
  <si>
    <t>S5. Debt tranche schedule (sukuk, Tier-2, borrowings) - EST balances</t>
  </si>
  <si>
    <t>Sukuk Mudharabah - closing</t>
  </si>
  <si>
    <t>FY21-25 audited BS (FY21-22: FY22 report)</t>
  </si>
  <si>
    <t>Sukuk Mudharabah - profit-share expense</t>
  </si>
  <si>
    <t>Subordinated sukuk (Tier 2) - closing</t>
  </si>
  <si>
    <t>Subordinated sukuk (Tier 2) - profit-share expense</t>
  </si>
  <si>
    <t>Interbank (SIMA/SIPA), BI liabilities &amp; other - closing</t>
  </si>
  <si>
    <t>Interbank (SIMA/SIPA), BI liabilities &amp; other - profit-share expense</t>
  </si>
  <si>
    <t>Total debt</t>
  </si>
  <si>
    <t>Total debt profit-share expense (inside PSE)</t>
  </si>
  <si>
    <t>Maturity ladder - total scheduled repayments</t>
  </si>
  <si>
    <t>Tier-2 eligible capital (simplified, no amortisation haircut)</t>
  </si>
  <si>
    <t>S6. Opex &amp; D&amp;A</t>
  </si>
  <si>
    <t>Depreciation &amp; amortisation (from S7, inside G&amp;A)</t>
  </si>
  <si>
    <t>G&amp;A excluding D&amp;A</t>
  </si>
  <si>
    <t>CIR (model)</t>
  </si>
  <si>
    <t>CIR - reported</t>
  </si>
  <si>
    <t>Operating jaws (op. income growth - overhead growth)</t>
  </si>
  <si>
    <t>S7. Fixed assets &amp; D&amp;A roll-forward (by class) - EST opening balances</t>
  </si>
  <si>
    <t>Total capex (incl. ROU additions)</t>
  </si>
  <si>
    <t>Land &amp; buildings - capex</t>
  </si>
  <si>
    <t>Land &amp; buildings - gross cost</t>
  </si>
  <si>
    <t>Land &amp; buildings - depreciation</t>
  </si>
  <si>
    <t>Land &amp; buildings - accumulated depreciation</t>
  </si>
  <si>
    <t>Land &amp; buildings - net book value</t>
  </si>
  <si>
    <t>Equipment &amp; IT - capex</t>
  </si>
  <si>
    <t>Equipment &amp; IT - gross cost</t>
  </si>
  <si>
    <t>Equipment &amp; IT - depreciation</t>
  </si>
  <si>
    <t>Equipment &amp; IT - accumulated depreciation</t>
  </si>
  <si>
    <t>Equipment &amp; IT - net book value</t>
  </si>
  <si>
    <t>Right-of-use assets - capex</t>
  </si>
  <si>
    <t>Right-of-use assets - gross cost</t>
  </si>
  <si>
    <t>Right-of-use assets - depreciation</t>
  </si>
  <si>
    <t>Right-of-use assets - accumulated depreciation</t>
  </si>
  <si>
    <t>Right-of-use assets - net book value</t>
  </si>
  <si>
    <t>Intangibles / software - capex</t>
  </si>
  <si>
    <t>Intangibles / software - gross cost</t>
  </si>
  <si>
    <t>Intangibles / software - depreciation</t>
  </si>
  <si>
    <t>Intangibles / software - accumulated depreciation</t>
  </si>
  <si>
    <t>Intangibles / software - net book value</t>
  </si>
  <si>
    <t>Total net book value</t>
  </si>
  <si>
    <t>ROU net book value (drives lease liability)</t>
  </si>
  <si>
    <t>Check: S7 NBV vs balance-sheet fixed assets (FY25A)</t>
  </si>
  <si>
    <t>S8. Asset quality &amp; provisions (CKPN roll-forward)</t>
  </si>
  <si>
    <t>Allowance (CKPN) - closing = coverage x gross NPF</t>
  </si>
  <si>
    <t>(+) Provision charge</t>
  </si>
  <si>
    <t>(-) Write-offs net of recoveries (implied)</t>
  </si>
  <si>
    <t>Must be &gt;= 0</t>
  </si>
  <si>
    <t>Net write-off rate (% avg financing)</t>
  </si>
  <si>
    <t>Net financing</t>
  </si>
  <si>
    <t>Cost of credit - reported</t>
  </si>
  <si>
    <t>NPF net - reported</t>
  </si>
  <si>
    <t>S9. Working capital (bank equivalent: other assets / liabilities)</t>
  </si>
  <si>
    <t>Net other assets / (liabilities)</t>
  </si>
  <si>
    <t>Change in net other assets (cash impact is the negative)</t>
  </si>
  <si>
    <t>S10. Tax</t>
  </si>
  <si>
    <t>Tax &amp; other expense</t>
  </si>
  <si>
    <t>Cash taxes (assumed = expense; DTA/DTL not modelled)</t>
  </si>
  <si>
    <t>S11. Capital &amp; RWA</t>
  </si>
  <si>
    <t>CAR - reported</t>
  </si>
  <si>
    <t>Jun-26 col = May-26</t>
  </si>
  <si>
    <t>Regulatory capital before raise</t>
  </si>
  <si>
    <t>AR capital adequacy note: total regulatory capital</t>
  </si>
  <si>
    <t>Risk-bearing assets (financing, fixed &amp; other; sovereign sukuk 0% RW)</t>
  </si>
  <si>
    <t>RWA density on risk-bearing assets</t>
  </si>
  <si>
    <t>Risk-weighted assets</t>
  </si>
  <si>
    <t>AR capital adequacy note: total RWA (credit + market + operational); FY21 excludes operational risk (merger transition)</t>
  </si>
  <si>
    <t>Capital shortfall vs target CAR</t>
  </si>
  <si>
    <t>Equity raised (rights issue = new shares x price)</t>
  </si>
  <si>
    <t>New shares issued</t>
  </si>
  <si>
    <t>Shares outstanding - period end</t>
  </si>
  <si>
    <t>Shares outstanding - average</t>
  </si>
  <si>
    <t>Cumulative rights-issue capital</t>
  </si>
  <si>
    <t>Income on deployed rights-issue capital (inside gross margin)</t>
  </si>
  <si>
    <t>Regulatory capital after raise</t>
  </si>
  <si>
    <t>CAR (model)</t>
  </si>
  <si>
    <t>Excess capital over target CAR</t>
  </si>
  <si>
    <t>S12. Equity roll-forward &amp; dividends</t>
  </si>
  <si>
    <t>Opening equity</t>
  </si>
  <si>
    <t>(+) Net profit</t>
  </si>
  <si>
    <t>(+) OCI</t>
  </si>
  <si>
    <t>Closing equity</t>
  </si>
  <si>
    <t>Dividend declared on year earnings</t>
  </si>
  <si>
    <t>FY21 actual 757.1 (25%); FY23/24 actual 855.6 / 1,050.9</t>
  </si>
  <si>
    <t>Dividend paid in year (prior-year earnings)</t>
  </si>
  <si>
    <t>DPS declared (on period-end shares)</t>
  </si>
  <si>
    <t>DPS paid in year</t>
  </si>
  <si>
    <t>Dividend yield on declared DPS</t>
  </si>
  <si>
    <t>Memo: general-reserve allocation (inside equity)</t>
  </si>
  <si>
    <t>S13. Returns, per-share data &amp; DuPont</t>
  </si>
  <si>
    <t>ROA (avg assets)</t>
  </si>
  <si>
    <t>ROE (avg common equity)</t>
  </si>
  <si>
    <t>ROE Tier-1 - reported</t>
  </si>
  <si>
    <t>Leverage (avg assets / avg equity)</t>
  </si>
  <si>
    <t>EPS (avg shares)</t>
  </si>
  <si>
    <t>BVPS (period-end shares)</t>
  </si>
  <si>
    <t>P/E at current price</t>
  </si>
  <si>
    <t>P/B at current price</t>
  </si>
  <si>
    <t>DuPont: net margin income / avg equity</t>
  </si>
  <si>
    <t>DuPont: fee income / avg equity</t>
  </si>
  <si>
    <t>DuPont: overhead / avg equity</t>
  </si>
  <si>
    <t>DuPont: provisions / avg equity</t>
  </si>
  <si>
    <t>DuPont: tax &amp; other / avg equity</t>
  </si>
  <si>
    <t>DuPont sum (= ROE)</t>
  </si>
  <si>
    <t>S14. Integrity checks (0 = pass, 1 = fail)</t>
  </si>
  <si>
    <t>Balance sheet balances</t>
  </si>
  <si>
    <t>Segments sum to reported financing</t>
  </si>
  <si>
    <t>Equity roll-forward ties to reported</t>
  </si>
  <si>
    <t>Securities book &gt;= 0 (cash = CFS closing cash by construction)</t>
  </si>
  <si>
    <t>FDR &lt;= cap</t>
  </si>
  <si>
    <t>CAR &gt;= target</t>
  </si>
  <si>
    <t>Write-offs &gt;= 0</t>
  </si>
  <si>
    <t>Fixed asset NBV &gt;= 0</t>
  </si>
  <si>
    <t>DuPont ties to ROE</t>
  </si>
  <si>
    <t>S7 NBV ties to BS fixed assets (FY25A)</t>
  </si>
  <si>
    <t>Cash &amp; BI placements / DPK &gt;= GWM proxy (E38)</t>
  </si>
  <si>
    <t>Direct CF ties to indirect CF and to BS cash (sheet CF_Direct)</t>
  </si>
  <si>
    <t>4. VALUATION - DDM, RESIDUAL INCOME, BLEND (valuation date per input; values @ 31-Dec-25 then rolled)</t>
  </si>
  <si>
    <t>4a. Discounting</t>
  </si>
  <si>
    <t>Year index (t)</t>
  </si>
  <si>
    <t>Discount factor (cumulative, yearly Ke)</t>
  </si>
  <si>
    <t>Cost of equity by year (beta converges to 1.0 if Beta_Evidence B42 = 1)</t>
  </si>
  <si>
    <t>4b. Dividend discount model (per share, Rp)</t>
  </si>
  <si>
    <t>Net distribution per existing share (dividends paid - rights subscription)</t>
  </si>
  <si>
    <t>PV of DPS</t>
  </si>
  <si>
    <t>Terminal ROE = stable Ke (FY35E, row 378) + spread (row 39)</t>
  </si>
  <si>
    <t>Terminal sustainable payout = 1 - g / ROE</t>
  </si>
  <si>
    <t>Replaces policy payout in perpetuity</t>
  </si>
  <si>
    <t>First terminal-year DPS = payout x terminal ROE x BV end-FY35 (Rp)</t>
  </si>
  <si>
    <t>Terminal value at end-FY35 (Gordon)</t>
  </si>
  <si>
    <t>PV of terminal value</t>
  </si>
  <si>
    <t>DDM value per share @ Dec-25</t>
  </si>
  <si>
    <t>Terminal value share of DDM value</t>
  </si>
  <si>
    <t>4c. Residual income model</t>
  </si>
  <si>
    <t>Residual income = NI - CoE x opening equity</t>
  </si>
  <si>
    <t>PV of residual income</t>
  </si>
  <si>
    <t>Terminal RI value at end-FY35 = BV35 x (ROE_T - CoE)/(CoE - g)</t>
  </si>
  <si>
    <t>PV of terminal RI</t>
  </si>
  <si>
    <t>Equity value = BV0 + PV(RI) + PV(TV)</t>
  </si>
  <si>
    <t>RI value per share @ Dec-25</t>
  </si>
  <si>
    <t>4d. Roll to valuation date and 12-month target price</t>
  </si>
  <si>
    <t>Years from 31-Dec-25 to valuation date</t>
  </si>
  <si>
    <t>yrs</t>
  </si>
  <si>
    <t>FY25 DPS already paid before valuation date (Rp)</t>
  </si>
  <si>
    <t>DPS expected within next 12 months (FY26 earnings, paid FY27, per existing share)</t>
  </si>
  <si>
    <t>DDM value at valuation date</t>
  </si>
  <si>
    <t>RI value at valuation date</t>
  </si>
  <si>
    <t>12m target price - DDM</t>
  </si>
  <si>
    <t>12m target price - RI</t>
  </si>
  <si>
    <t>12m TARGET PRICE (intrinsic and relative blend, weight E29)</t>
  </si>
  <si>
    <t>Upside / (downside) vs current price</t>
  </si>
  <si>
    <t>Rating</t>
  </si>
  <si>
    <t>Implied P/B at PT (FY26E BVPS)</t>
  </si>
  <si>
    <t>Implied P/E at PT (FY27E EPS)</t>
  </si>
  <si>
    <t>Relative value per share today = P/B share x P/B-implied + rest x P/E-implied</t>
  </si>
  <si>
    <t>P/B share in F411 (book value is the anchor for banks)</t>
  </si>
  <si>
    <t>4e. Reverse-engineering &amp; cross-checks</t>
  </si>
  <si>
    <t>Market P/B on FY25A BVPS</t>
  </si>
  <si>
    <t>Market-implied sustainable ROE = PB x (CoE - g) + g</t>
  </si>
  <si>
    <t>Justified P/B at model terminal ROE = (ROE - g)/(CoE - g)</t>
  </si>
  <si>
    <t>FCFE proxy = NI + OCI - target CAR x change in RWA</t>
  </si>
  <si>
    <t>Cumulative FCFE / cumulative dividends paid (FY26-35E)</t>
  </si>
  <si>
    <t>&gt;1 = dividends are capital-feasible</t>
  </si>
  <si>
    <t>DDM vs RI gap (value @ Dec-25)</t>
  </si>
  <si>
    <t>Check: |DDM/RI - 1| &lt;= 25%</t>
  </si>
  <si>
    <t>MASTER CHECK</t>
  </si>
  <si>
    <t>4h. Scenario summary (STATIC snapshot, regenerated for the integrated model v11.2 with 1H26 peer data; staleness flag in E444)</t>
  </si>
  <si>
    <t>Net profit FY26E (Rp bn)</t>
  </si>
  <si>
    <t>Net profit FY27E (Rp bn)</t>
  </si>
  <si>
    <t>Net profit FY35E (Rp bn)</t>
  </si>
  <si>
    <t>ROE FY26E</t>
  </si>
  <si>
    <t>NIM FY26E (reported basis)</t>
  </si>
  <si>
    <t>Gross financing FY35E (Rp bn)</t>
  </si>
  <si>
    <t>CAR FY35E</t>
  </si>
  <si>
    <t>BVPS FY35E (Rp)</t>
  </si>
  <si>
    <t>DPS declared FY35E (Rp)</t>
  </si>
  <si>
    <t>Value/share DDM @ Dec-25 (Rp)</t>
  </si>
  <si>
    <t>Value/share RI @ Dec-25 (Rp)</t>
  </si>
  <si>
    <t>12m value - DDM, intrinsic only (Rp)</t>
  </si>
  <si>
    <t>12m value - RI, intrinsic only (Rp)</t>
  </si>
  <si>
    <t>12m target price - blended with relative (Rp)</t>
  </si>
  <si>
    <t>Implied P/B at PT (FY26E BV)</t>
  </si>
  <si>
    <t>Cost of equity, year 1</t>
  </si>
  <si>
    <t>Static snapshot regenerated 2026-10-17 on model v11.2 (peers on 1H26 annualised data, BTPS added; lambda country risk, beta converging to 1.0, relative weight 1/3, terminal ROE = stable Ke + spread). Upside row 440 is formula-driven. Re-run after changing any input.</t>
  </si>
  <si>
    <t>Snapshot check: live PT vs snapshot PT of active scenario (valid only when shocks E8:E15 = 0)</t>
  </si>
  <si>
    <t>4i. Tornado - 12m blended target vs one-at-a-time shocks, base case (STATIC snapshot regenerated for v11.2; Ke shock moves every year and the terminal ROE)</t>
  </si>
  <si>
    <t>PT low shock</t>
  </si>
  <si>
    <t>PT high shock</t>
  </si>
  <si>
    <t>Base PT</t>
  </si>
  <si>
    <t>Delta low</t>
  </si>
  <si>
    <t>Delta high</t>
  </si>
  <si>
    <t>CIR +/-1.5pp</t>
  </si>
  <si>
    <t>Cost of credit +/-15bp</t>
  </si>
  <si>
    <t>Payout +/-10pp</t>
  </si>
  <si>
    <t>Financing growth +/-2pp</t>
  </si>
  <si>
    <t>Cost of equity +/-100bp</t>
  </si>
  <si>
    <t>Time-deposit rate +/-25bp</t>
  </si>
  <si>
    <t>Fee growth +/-5pp</t>
  </si>
  <si>
    <t>Gross margin yield +/-25bp</t>
  </si>
  <si>
    <t>Tornado check: snapshot base PT vs live PT (valid in Base scenario, shocks = 0)</t>
  </si>
  <si>
    <t>5. PEER COMPARISON (1H26 interim statements and presentations, profit annualised; prices 16-Oct-26)</t>
  </si>
  <si>
    <t>Ticker</t>
  </si>
  <si>
    <t>Price 16-Oct-26 (Rp)</t>
  </si>
  <si>
    <t>EPS, 1H26 annualised (Rp)</t>
  </si>
  <si>
    <t>P/B on Jun-26 book (x)</t>
  </si>
  <si>
    <t>P/E on 1H26 annualised EPS (x)</t>
  </si>
  <si>
    <t>BVPS Jun-26 (Rp)</t>
  </si>
  <si>
    <t>ROE, 1H26 annualised</t>
  </si>
  <si>
    <t>Net profit 1H26 to owners (Rp bn)</t>
  </si>
  <si>
    <t>Equity Jun-26 (Rp bn)</t>
  </si>
  <si>
    <t>Equity Dec-25 (Rp bn)</t>
  </si>
  <si>
    <t>Shares (mn)</t>
  </si>
  <si>
    <t>NPL</t>
  </si>
  <si>
    <t>BBRI</t>
  </si>
  <si>
    <t>BBRI 1H26 presentation: PATMI, total equity (incl. minority), shares 151,559 mn; close to verify on IDX</t>
  </si>
  <si>
    <t>BMRI</t>
  </si>
  <si>
    <t>BMRI 1H26 statements: profit to parent, equity to owners; 93,333 mn shares; close to verify on IDX</t>
  </si>
  <si>
    <t>BBNI</t>
  </si>
  <si>
    <t>BBNI 1H26 statements: profit to owners, equity; shares implied by reported EPS (289); close to verify on IDX</t>
  </si>
  <si>
    <t>BBCA</t>
  </si>
  <si>
    <t>BBCA 1H26 analyst presentation (Rp tn, one decimal); shares ex treasury 122,842 mn; close to verify on IDX</t>
  </si>
  <si>
    <t>BTPS</t>
  </si>
  <si>
    <t>BTPS Q2-26 publication: profit to owners, consolidated equity; 7,704 mn shares (paid-in capital at Rp100 par); close 16-Oct-26 per team</t>
  </si>
  <si>
    <t>BRIS (BSI)</t>
  </si>
  <si>
    <t>1H26 interim statement; FY25 equity from AR2025</t>
  </si>
  <si>
    <t>Peer mean</t>
  </si>
  <si>
    <t>Peer median</t>
  </si>
  <si>
    <t>BSI premium / (discount) to peer median</t>
  </si>
  <si>
    <t>Regression: P/B = a + b x ROE (peers only)</t>
  </si>
  <si>
    <t>Slope b</t>
  </si>
  <si>
    <t>Intercept a</t>
  </si>
  <si>
    <t>R-squared</t>
  </si>
  <si>
    <t>Implied BSI P/B at BRIS ROE (1H26 annualised)</t>
  </si>
  <si>
    <t>Implied BSI price (x Jun-26 BVPS)</t>
  </si>
  <si>
    <t>Peer-median P/B implied price (x Jun-26 BVPS)</t>
  </si>
  <si>
    <t>52-week low</t>
  </si>
  <si>
    <t>Close 16-Oct-26 (BSI IR historical prices) is below the prior 52-week low of 1,330</t>
  </si>
  <si>
    <t>52-week high</t>
  </si>
  <si>
    <t>Per Gemini (Google Finance), unverified</t>
  </si>
  <si>
    <t>Sell-side target price - low</t>
  </si>
  <si>
    <t>RHB May-25 (stale); CGS 2,600; IPS 2,900</t>
  </si>
  <si>
    <t>Sell-side target price - high</t>
  </si>
  <si>
    <t>UBS (date n/a); consensus avg ~2,730-2,760</t>
  </si>
  <si>
    <t>BRIS 1H25 net profit / 1H26 net profit / equity 30-Jun-26 (Rp bn)</t>
  </si>
  <si>
    <t>1H26 interim statement (statement of profit or loss; statement of financial position)</t>
  </si>
  <si>
    <t>Peer-median P/E implied price (x 1H26 annualised EPS)</t>
  </si>
  <si>
    <t>Valuation cross-checks</t>
  </si>
  <si>
    <t>Cross-check methods only; the target price comes from Sheet1 (DDM = residual income). Peer multiples and their implied prices sit in Sheet1 section 5.</t>
  </si>
  <si>
    <t>1. Banking FCFE (excess capital over the target CAR is distributable)</t>
  </si>
  <si>
    <t>12m PT</t>
  </si>
  <si>
    <t>Banking FCFE value per share (Rp)</t>
  </si>
  <si>
    <t>FCFE = NI + OCI - target CAR x change in RWA (Sheet1 row 416). Above DDM because the target CAR (Sheet1 E35) is below the forecast CAR.</t>
  </si>
  <si>
    <t>2. Price-to-book cross-checks</t>
  </si>
  <si>
    <t>Value / share (Rp)</t>
  </si>
  <si>
    <t>Multiple</t>
  </si>
  <si>
    <t>Justified P/B on FY26E BVPS = (average ROE FY26E-35E - g)/(Ke - g)</t>
  </si>
  <si>
    <t>Exit P/B at peer median (MRQ) on FY35E BVPS, plus PV of dividends FY26E-35E</t>
  </si>
  <si>
    <t>Exit multiple = peer median P/B on Jun-26 book (Sheet1 G466), not a judgement input.</t>
  </si>
  <si>
    <t>Average of the two P/B checks</t>
  </si>
  <si>
    <t>3. Sensitivity: value per share at Dec-25 (Rp), flat Ke (around the stable Ke) down, terminal growth across; spread = live</t>
  </si>
  <si>
    <t>3.5%</t>
  </si>
  <si>
    <t>4.0%</t>
  </si>
  <si>
    <t>4.5%</t>
  </si>
  <si>
    <t>5.0%</t>
  </si>
  <si>
    <t>5.5%</t>
  </si>
  <si>
    <t>Terminal growth</t>
  </si>
  <si>
    <t>Row 3 is the live Ke; column 3 is the Base spread. Terminal growth = Sheet1 E31.</t>
  </si>
  <si>
    <t>Flat Ke at the stable level; the model uses a rising path from the year-1 Ke, so no cell equals Sheet1 E387.</t>
  </si>
  <si>
    <t>4. Weight on relative valuation: value today and 12m target (Rp per share)</t>
  </si>
  <si>
    <t>12m target</t>
  </si>
  <si>
    <t>Row = weight on relative valuation (Sheet1 E29). Relative value today = Sheet1 E411; 12m = rolled at Ke less the next dividend.</t>
  </si>
  <si>
    <t>Charts (data blocks sit above each chart; schedules read from Sheet1)</t>
  </si>
  <si>
    <t>Chart 1 - Operating income bridge FY25A to FY35E (Rp bn)</t>
  </si>
  <si>
    <t>Value</t>
  </si>
  <si>
    <t>Base (hidden)</t>
  </si>
  <si>
    <t>Increase</t>
  </si>
  <si>
    <t>Decrease</t>
  </si>
  <si>
    <t>Total</t>
  </si>
  <si>
    <t>Cumulative</t>
  </si>
  <si>
    <t>FY25A operating income</t>
  </si>
  <si>
    <t>Financing volume</t>
  </si>
  <si>
    <t>Gross yield</t>
  </si>
  <si>
    <t>Funding cost</t>
  </si>
  <si>
    <t>Fee income</t>
  </si>
  <si>
    <t>Rights-issue capital deployed</t>
  </si>
  <si>
    <t>FY35E operating income</t>
  </si>
  <si>
    <t>Check: cumulative before end total = end total</t>
  </si>
  <si>
    <t>Chart 2 - Net margin income bridge FY25A to FY35E (Rp bn)</t>
  </si>
  <si>
    <t>FY25A NMI</t>
  </si>
  <si>
    <t>Earning-asset volume</t>
  </si>
  <si>
    <t>Funding volume</t>
  </si>
  <si>
    <t>Funding rate</t>
  </si>
  <si>
    <t>FY35E NMI</t>
  </si>
  <si>
    <t>Chart 3 - Revenue-to-net-profit walk FY35E (Rp bn)</t>
  </si>
  <si>
    <t>Profit-sharing expense</t>
  </si>
  <si>
    <t>Overhead</t>
  </si>
  <si>
    <t>Provisions</t>
  </si>
  <si>
    <t>Tax &amp; other</t>
  </si>
  <si>
    <t>Net profit FY35E</t>
  </si>
  <si>
    <t>Chart 7 - ROE walk FY25A to FY35E (% of avg equity)</t>
  </si>
  <si>
    <t>FY25A ROE</t>
  </si>
  <si>
    <t>NMI / equity</t>
  </si>
  <si>
    <t>Fees / equity</t>
  </si>
  <si>
    <t>Overhead / equity</t>
  </si>
  <si>
    <t>Provisions / equity</t>
  </si>
  <si>
    <t>Tax / equity</t>
  </si>
  <si>
    <t>FY35E ROE</t>
  </si>
  <si>
    <t>Chart 9 - Residual income value bridge, Rp per share @ Dec-25</t>
  </si>
  <si>
    <t>BVPS FY25A</t>
  </si>
  <si>
    <t>PV RI FY26E</t>
  </si>
  <si>
    <t>PV RI FY27E</t>
  </si>
  <si>
    <t>PV RI FY28E</t>
  </si>
  <si>
    <t>PV RI FY29E</t>
  </si>
  <si>
    <t>PV RI FY30E</t>
  </si>
  <si>
    <t>PV RI FY31-35E</t>
  </si>
  <si>
    <t>PV terminal RI</t>
  </si>
  <si>
    <t>RI value / share</t>
  </si>
  <si>
    <t>Chart 10 - Football field data (Rp per share; DDM/RI/blend = Bear to Bull 12m PT from snapshot)</t>
  </si>
  <si>
    <t>Low</t>
  </si>
  <si>
    <t>Range (high-low)</t>
  </si>
  <si>
    <t>High</t>
  </si>
  <si>
    <t>DDM 12m PT (Bear-Bull)</t>
  </si>
  <si>
    <t>RI 12m PT (Bear-Bull)</t>
  </si>
  <si>
    <t>Blended 12m PT (Bear-Bull)</t>
  </si>
  <si>
    <t>Peer P/B regression (+/-10%)</t>
  </si>
  <si>
    <t>Peer-median P/B (+/-10%)</t>
  </si>
  <si>
    <t>52-week trading range</t>
  </si>
  <si>
    <t>Sell-side TP range (consensus avg ~2,740)</t>
  </si>
  <si>
    <t>Current price</t>
  </si>
  <si>
    <t>Chart 7 - Tornado (data in section 4i, static snapshot)</t>
  </si>
  <si>
    <t>Charts 8-11 read the schedules directly (CAR, ROE vs cost of equity, financing and net profit, CIR and cost of credit)</t>
  </si>
  <si>
    <t>CAR target line</t>
  </si>
  <si>
    <t>CAR regulatory minimum line</t>
  </si>
  <si>
    <t>Cost of equity line</t>
  </si>
  <si>
    <t>Terminal ROE: evidence, choice and sensitivity</t>
  </si>
  <si>
    <t>Rule: terminal ROE = stable cost of equity (Sheet1 S378, beta 1.0) + spread (Sheet1 row 39). Country risk therefore raises Ke and terminal ROE together, and the same terminal ROE drives the DDM (payout 1 - g/ROE) and the residual income terminal value, so both give the same value.</t>
  </si>
  <si>
    <t>1. Evidence (live links)</t>
  </si>
  <si>
    <t>ROE</t>
  </si>
  <si>
    <t>Spread vs Ke</t>
  </si>
  <si>
    <t>Stable cost of equity (FY35E, floor: no excess return)</t>
  </si>
  <si>
    <t>Damodaran limiting case for stable growth: excess returns competed away</t>
  </si>
  <si>
    <t>PB x (Ke - g) + g at the current price</t>
  </si>
  <si>
    <t>BBNI ROE, 1H26 annualised (lowest-ROE KBMI 4 state bank)</t>
  </si>
  <si>
    <t>BBNI 1H26 statements</t>
  </si>
  <si>
    <t>BRIS ROE, 1H26 annualised</t>
  </si>
  <si>
    <t>1H26 interim statement</t>
  </si>
  <si>
    <t>BRIS highest annual ROE FY22A-FY25A</t>
  </si>
  <si>
    <t>Annual reports</t>
  </si>
  <si>
    <t>Midpoint of Ke and model FY35E ROE</t>
  </si>
  <si>
    <t>Half of the FY35E excess return survives in perpetuity</t>
  </si>
  <si>
    <t>Peer median ROE, 1H26 annualised (5 banks incl. BTPS)</t>
  </si>
  <si>
    <t>Includes BBCA and BMRI, which have structural franchise advantages</t>
  </si>
  <si>
    <t>BRIS lowest annual ROE FY22A-FY25A</t>
  </si>
  <si>
    <t>Model FY35E ROE (end of explicit forecast)</t>
  </si>
  <si>
    <t>Output of the operating drivers</t>
  </si>
  <si>
    <t>BRIS average ROE FY22A-FY25A</t>
  </si>
  <si>
    <t>2. Choice by scenario</t>
  </si>
  <si>
    <t>Spread over Ke (input, Sheet1 row 39)</t>
  </si>
  <si>
    <t>Terminal ROE at live Ke</t>
  </si>
  <si>
    <t>Implied terminal P/B = (ROE - g)/(Ke - g), Base g</t>
  </si>
  <si>
    <t>Sustainable terminal payout = 1 - g/ROE, Base g</t>
  </si>
  <si>
    <t>Why these spreads</t>
  </si>
  <si>
    <t>Bear, +0pp (= stable Ke, about 12.3%): no excess return in perpetuity (Damodaran limiting case); close to the market-implied sustainable ROE at the current price (row 7) and to BBNI ROE TTM (row 8).</t>
  </si>
  <si>
    <t>Base, +2.0pp (about 14.3%): just below BRIS's lowest annual ROE of FY22A-FY25A (row 13) and the model FY35E ROE (row 14), so the case assumes modest erosion of today's returns; implied terminal P/B about 1.3x sits between the peer median of about 1.2x (Sheet1 G466) and BRIS's FY22-FY25 year-end range of 1.8x-2.9x; sustainable payout about 68% is close to the FY35E policy payout of 65% (Sheet1 S106).</t>
  </si>
  <si>
    <t>Bull, +4.0pp (about 16.3%): BRIS keeps the returns it earned in FY22A-FY25A (average row 15, highest row 10).</t>
  </si>
  <si>
    <t>Peer ROEs: 1H26 interim statements and presentations, profit annualised. BRIS from its 1H26 interim statement.</t>
  </si>
  <si>
    <t>3. Sensitivity of intrinsic value (DDM = RI) to the spread; target-price blend excluded</t>
  </si>
  <si>
    <t>Spread</t>
  </si>
  <si>
    <t>Terminal ROE</t>
  </si>
  <si>
    <t>Terminal P/B</t>
  </si>
  <si>
    <t>Value Dec-25 (Rp)</t>
  </si>
  <si>
    <t>12m PT (Rp)</t>
  </si>
  <si>
    <t>Upside</t>
  </si>
  <si>
    <t>Check: table at live spread equals Sheet1 intrinsic 12m value (must be 0)</t>
  </si>
  <si>
    <t>Beta evidence and cost of equity</t>
  </si>
  <si>
    <t>Observed betas (inputs, blue)</t>
  </si>
  <si>
    <t>Beta</t>
  </si>
  <si>
    <t>Source</t>
  </si>
  <si>
    <t>BRIS regression beta, 1Y</t>
  </si>
  <si>
    <t>TradingView IDX:BRIS 1Y (checked by user 7-Oct-26). Alip labels this raw 0.64 as "2y weekly vs IHSG" (Bloomberg?): source and period to be confirmed</t>
  </si>
  <si>
    <t>BRIS regression beta, 5Y</t>
  </si>
  <si>
    <t>TradingView IDX:BRIS (user-supplied). Not usable: very low explanatory power.</t>
  </si>
  <si>
    <t>BMRI regression beta, 5Y</t>
  </si>
  <si>
    <t>TradingView (user-supplied). Shows IDX bank regressions vs IHSG are not informative.</t>
  </si>
  <si>
    <t>Damodaran Global Banks (Regional), 825 firms</t>
  </si>
  <si>
    <t>Damodaran, Jan 2026, Betas by sector</t>
  </si>
  <si>
    <t>Damodaran Global Money Center, 604 firms</t>
  </si>
  <si>
    <t>Damodaran, Jan 2026</t>
  </si>
  <si>
    <t>Damodaran US Money Center</t>
  </si>
  <si>
    <t>Damodaran total market</t>
  </si>
  <si>
    <t>BRIS regression beta, 60m monthly vs IHSG (own calc, sheet Beta)</t>
  </si>
  <si>
    <t>Own regression from Investing.com monthly closes; standard error about 0.29, R-squared about 0.09: low precision</t>
  </si>
  <si>
    <t>Blume-adjusted selected raw beta = 0.67 x raw + 0.33 (feeds Sheet1 E26)</t>
  </si>
  <si>
    <t>Cost of equity under two framings</t>
  </si>
  <si>
    <t>Risk-free (IDR), net of default spread</t>
  </si>
  <si>
    <t>Total ERP incl. country risk (Indonesia)</t>
  </si>
  <si>
    <t>Country risk premium (CRP)</t>
  </si>
  <si>
    <t>Damodaran Jan 2026, Indonesia (Baa2)</t>
  </si>
  <si>
    <t>Mature-market ERP = total ERP - CRP</t>
  </si>
  <si>
    <t>Beta used in model, year 1 (Sheet1!E26)</t>
  </si>
  <si>
    <t>Ke year 1 (Sheet1!E28, method per B41)</t>
  </si>
  <si>
    <t>Ke (lambda, lambda=1): rf + CRP + beta x mature ERP, using BRIS 1Y raw</t>
  </si>
  <si>
    <t>Ke (lambda) using Blume-adjusted beta</t>
  </si>
  <si>
    <t>Beta to enter in model to match lambda Ke (Blume)</t>
  </si>
  <si>
    <t>Sensitivity of the 12m blended target to the raw-beta choice (static runs; lambda method and beta convergence on)</t>
  </si>
  <si>
    <t>Raw beta choice (Beta_Evidence B38)</t>
  </si>
  <si>
    <t>Ke year 1</t>
  </si>
  <si>
    <t>PT Bear</t>
  </si>
  <si>
    <t>PT Base</t>
  </si>
  <si>
    <t>PT Bull</t>
  </si>
  <si>
    <t>Prob-weighted PT</t>
  </si>
  <si>
    <t>Upside (prob-wtd)</t>
  </si>
  <si>
    <t>1. TradingView 1Y raw 0.64 (default)</t>
  </si>
  <si>
    <t>2. Own 60m regression raw 0.69</t>
  </si>
  <si>
    <t>3. KSI broker raw 0.937</t>
  </si>
  <si>
    <t>4. Manual raw 1.00</t>
  </si>
  <si>
    <t>Static values from running the integrated workbook v11.2 on 17-Oct-26 (peers on 1H26 data). They do not update if inputs change. Ratings are not concluded here.</t>
  </si>
  <si>
    <t>Other observed estimates (not used in the model)</t>
  </si>
  <si>
    <t>Broker beta (KSI Equity Update, 10 Sep 2026, p.3)</t>
  </si>
  <si>
    <t>Regression window and benchmark not disclosed</t>
  </si>
  <si>
    <t>TradingView 1Y beta, retrieved 17 Oct 2026</t>
  </si>
  <si>
    <t>Model keeps 0.64 (checked 7 Oct 2026); difference is within estimation error</t>
  </si>
  <si>
    <t>Beta and country-risk settings (feed Sheet1 cost of equity)</t>
  </si>
  <si>
    <t>Raw beta choice: 1 TradingView 1Y, 2 own 60m regression, 3 KSI broker, 4 manual</t>
  </si>
  <si>
    <t>Default 1: model raw beta 0.64 (confirm source with Alip). With convergence on, the choice moves value about 3%.</t>
  </si>
  <si>
    <t>Selected raw beta</t>
  </si>
  <si>
    <t>Manual raw beta</t>
  </si>
  <si>
    <t>Country risk premium: 1 = scaled by beta (Ke = rf + beta x total ERP), 2 = added in full (lambda = 1)</t>
  </si>
  <si>
    <t>Default 2 (Damodaran lambda approach): a domestic bank carries the full country risk; scaling the 2.46% CRP by a 0.76 beta understates it. Relevant after MSCI consulted on reclassifying Indonesia to Standalone Market (15 Oct 2026).</t>
  </si>
  <si>
    <t>Beta converges to 1.0 by FY35E: 1 = yes, 0 = no</t>
  </si>
  <si>
    <t>Default 1: Damodaran stable-growth convention, beta moves to 1.0 in the terminal period.</t>
  </si>
  <si>
    <t>Scenario probability justification</t>
  </si>
  <si>
    <t>Method: Base fixed by how much of FY26 is already known; the remaining probability is split Bear/Bull by the balance of dated evidence. Structured judgement, not a statistical estimate. Blue cells are inputs.</t>
  </si>
  <si>
    <t>Step 1. Base probability</t>
  </si>
  <si>
    <t>Why</t>
  </si>
  <si>
    <t>Probability of Base</t>
  </si>
  <si>
    <t>1H26 is reported (6 of 12 months of FY26). Base FY26 drivers sit on the 1H26 run-rate and inside management 2026 targets (financing +10-14%, cost of credit &lt;0.84%, NIM &gt;5.50%). Outcomes beyond FY26 are open, so no more than half.</t>
  </si>
  <si>
    <t>Step 2. Evidence tally (1 = point to that side)</t>
  </si>
  <si>
    <t>Weight</t>
  </si>
  <si>
    <t>Evidence (source)</t>
  </si>
  <si>
    <t>Direction</t>
  </si>
  <si>
    <t>HBH growth only +2.0% in 1H26</t>
  </si>
  <si>
    <t>Net funding income lagging asset growth, margin pressure (Q2 interim statement)</t>
  </si>
  <si>
    <t>Down</t>
  </si>
  <si>
    <t>Opex +17.5% vs revenue +10.5%</t>
  </si>
  <si>
    <t>Cost growth above revenue; 2H25 CIR was 55.4% vs 52.6% in 1H26 (interim statements, AR2025)</t>
  </si>
  <si>
    <t>Q2 net income -11% QoQ</t>
  </si>
  <si>
    <t>Earnings momentum slowing into 2H (Q1 and Q2 2026 statements)</t>
  </si>
  <si>
    <t>Fee income +55%, securities gains +42% not repeatable</t>
  </si>
  <si>
    <t>Rahn is 33% of fee income; part of 1H26 income is one-off or concentrated</t>
  </si>
  <si>
    <t>Recoveries -24%</t>
  </si>
  <si>
    <t>Support to cost of credit is fading; Base impairment already normalises to 0.80%</t>
  </si>
  <si>
    <t>Related-party musyarakah financing +45% YTD</t>
  </si>
  <si>
    <t>Concentration and governance watch item (Q2 statement)</t>
  </si>
  <si>
    <t>Macro: BI-Rate 5.75%, SUN 10Y 7.16%, rupiah, geopolitics</t>
  </si>
  <si>
    <t>Group view; raises funding cost and credit risk (Antara, market data 1 Oct 2026)</t>
  </si>
  <si>
    <t>Financing +16.2% YoY (Aug-26), DPK +17.7%</t>
  </si>
  <si>
    <t>Growth ahead of the 10-14% 2026 target (OJK Aug-26, Q2 statement)</t>
  </si>
  <si>
    <t>Up</t>
  </si>
  <si>
    <t>Cost of credit 0.62% in 1H26 vs guidance &lt;0.84%</t>
  </si>
  <si>
    <t>Asset quality better than guided (interim statement)</t>
  </si>
  <si>
    <t>CAR 22-24% after rights issue</t>
  </si>
  <si>
    <t>Capital buffer funds growth and absorbs stress (Prospektus, Q2 statement)</t>
  </si>
  <si>
    <t>Payout rising from 20% toward 30%</t>
  </si>
  <si>
    <t>Capital-return optionality (AR2025 dividend policy)</t>
  </si>
  <si>
    <t>Industry credit growth 8-12% (BI) and sharia share rising</t>
  </si>
  <si>
    <t>Structural tailwind (AR2025 p.182)</t>
  </si>
  <si>
    <t>Weight on downside evidence</t>
  </si>
  <si>
    <t>Weight on upside evidence</t>
  </si>
  <si>
    <t>Step 3. Resulting probabilities</t>
  </si>
  <si>
    <t>Bear = (1 - Base) x down / (down + up)</t>
  </si>
  <si>
    <t>Bull = (1 - Base) x up / (down + up)</t>
  </si>
  <si>
    <t>Check: sums to 100% (must be 0)</t>
  </si>
  <si>
    <t>Why Bear carries more weight than Bull: (1) the Bull case needs five drivers to move favourably at once, while a bank credit-cycle shock moves them together on the downside; (2) the 1H26 beat came from items flagged as not repeatable; (3) macro and rate risk is placed here, in cash flows, not in the cost of equity. Equal weights (33/33/33) would ignore that asymmetry; 25/50/25 would ignore the dated downside evidence.</t>
  </si>
  <si>
    <t>Audit against Damodaran bank valuation, live on the integrated model (active scenario)</t>
  </si>
  <si>
    <t>1. Structural checks (live)</t>
  </si>
  <si>
    <t>Reading</t>
  </si>
  <si>
    <t>Cost of equity year 1 / stable (C4)</t>
  </si>
  <si>
    <t>Ke only, no WACC: consistent (debt is raw material for a bank)</t>
  </si>
  <si>
    <t>Risk-free, IDR (gross yield less default spread)</t>
  </si>
  <si>
    <t>Local-currency rf, CRP counted once inside ERP</t>
  </si>
  <si>
    <t>Terminal growth g (live)</t>
  </si>
  <si>
    <t>Terminal ROE = Ke + spread (Sheet1 row 39)</t>
  </si>
  <si>
    <t>Tied to Ke; evidence in sheet Terminal_ROE</t>
  </si>
  <si>
    <t>Excess return in perpetuity = terminal ROE - Ke</t>
  </si>
  <si>
    <t>Damodaran: stable-growth ROE should converge to Ke plus a modest spread</t>
  </si>
  <si>
    <t>Terminal P/B implied = (ROE - g)/(Ke - g)</t>
  </si>
  <si>
    <t>Compare with the historical range in section 3 (1.8x to 2.9x year-end, 1.3x today)</t>
  </si>
  <si>
    <t>Residual-income terminal value share of RI equity value</t>
  </si>
  <si>
    <t>Share of RI value from the terminal excess return</t>
  </si>
  <si>
    <t>DDM terminal value share of DDM value</t>
  </si>
  <si>
    <t>Above about 75% means DDM is mostly terminal assumption</t>
  </si>
  <si>
    <t>Sustainable terminal payout = 1 - g/ROE</t>
  </si>
  <si>
    <t>Used by the DDM terminal value</t>
  </si>
  <si>
    <t>Policy payout FY35E (input)</t>
  </si>
  <si>
    <t>CAR FY26E</t>
  </si>
  <si>
    <t>Target floor in Sheet1!E35</t>
  </si>
  <si>
    <t>CAR FY30E</t>
  </si>
  <si>
    <t>Rising CAR = capital over-retained</t>
  </si>
  <si>
    <t>Excess capital FY35E over target (Rp bn)</t>
  </si>
  <si>
    <t>RIM assumes this earns full ROE; FCFE would distribute it</t>
  </si>
  <si>
    <t>DDM vs RI gap</t>
  </si>
  <si>
    <t>3. BRIS share price history (annual reports 2021-2025, year-end close) and market-implied Ke</t>
  </si>
  <si>
    <t>Period end</t>
  </si>
  <si>
    <t>Close (IDR)</t>
  </si>
  <si>
    <t>BVPS (IDR)</t>
  </si>
  <si>
    <t>P/B</t>
  </si>
  <si>
    <t>P/E (trailing)</t>
  </si>
  <si>
    <t>Implied Ke*</t>
  </si>
  <si>
    <t>Dec-2021</t>
  </si>
  <si>
    <t>Dec-2022</t>
  </si>
  <si>
    <t>Dec-2023</t>
  </si>
  <si>
    <t>Dec-2024</t>
  </si>
  <si>
    <t>Dec-2025</t>
  </si>
  <si>
    <t>16 Oct 2026 (price; BVPS at 30 Jun 2026)</t>
  </si>
  <si>
    <t>*Implied Ke = g + (ROE - g)/PB. Rows 22-26: annual reports, g = 5.5%, trailing ROE of that year; Dec-2021 P/E uses 41.1bn shares (pre rights issue). Row 27 is live: Sheet1 E31 for g, ROE 1H26 annualised and BVPS at 30 Jun 2026.</t>
  </si>
  <si>
    <t>Annualised volatility from 19 quarterly closes (Q1-21 to Q4-25): about 32% (understated versus daily data). Only post-merger history (2021 onward) is comparable; BRIsyariah before Feb-2021 is a different entity.</t>
  </si>
  <si>
    <t>IHSG and peer monthly prices are now in sheets Prices, Returns and Beta (60m beta BRIS 0.69, SE about 0.29). Sharia peers BANK and PNBS not covered.</t>
  </si>
  <si>
    <t>Driver check: template drivers vs evidence from AR2025 and 1H26 interim statements</t>
  </si>
  <si>
    <t>History and FY26E/FY30E of the template are live from Sheet1 (active scenario). 1H26 run-rate, team-model Base and evidence text are static from the team model v9. Positive gap = template higher than team evidence.</t>
  </si>
  <si>
    <t>Driver</t>
  </si>
  <si>
    <t>1H26 run-rate (static)</t>
  </si>
  <si>
    <t>Pre-merge team model Base FY26E</t>
  </si>
  <si>
    <t>Template FY26E</t>
  </si>
  <si>
    <t>Gap FY26E</t>
  </si>
  <si>
    <t>Pre-merge team model Base FY30E</t>
  </si>
  <si>
    <t>Template FY30E</t>
  </si>
  <si>
    <t>Evidence (AR2025, interim statements)</t>
  </si>
  <si>
    <t>External factors</t>
  </si>
  <si>
    <t>Pre-merge team model verdict (against v9 Base)</t>
  </si>
  <si>
    <t>Total asset growth</t>
  </si>
  <si>
    <t>Assets grew 15.2%, 15.7%, 15.6% and 11.6% in FY22-25. Jun-26 assets of Rp464.5tn are +16% YoY (1H26 results). Gross financing +16.2% YoY and deposits +17.7% YoY at Aug-26. AR2025 (p.236) guides financing growth of 10-14% for 2026, so Aug-26 is above the top of range. Assets are seasonal: Dec-24 408.6tn, Jun-25 about 400tn (derived from the 16% YoY), Dec-25 456.2tn. FY26E of 515.5tn needs +11% in 2H26 versus +14% in 2H25. Fade to 9% reflects scale and CAR of 20.4% (Jun-26); the planned rights issue (Q1 2027) supports growth capacity.</t>
  </si>
  <si>
    <t>Bank Indonesia projects bank credit growth of 8-12% in 2026 (AR2025 p.182). BSI projects industry sharia assets of Rp1,205tn in 2026 (+12.9% on Rp1,067.7tn). OJK: sharia financing +11.61% YoY at Aug-26. BSI holds about 43% of industry assets and gains share (42.7% in 2025). Headwinds: BI-Rate held at 5.75% in Sep-26 (tight liquidity, rupiah pressure) and spin-offs of sharia units create new competitors. Bear 9% equals 2025 industry growth of 8.9% (share gains stop). Bull 16% equals the Jun-26 YoY pace.</t>
  </si>
  <si>
    <t>Supported. Keep Base 13% fading to 9%.</t>
  </si>
  <si>
    <t>HBH / average assets</t>
  </si>
  <si>
    <t>Ratio fell from 5.46% (FY22) to 4.42% (FY25), about 25-50bp a year. In 1H26 HBH grew only 2.0% YoY (Rp9.71tn vs Rp9.52tn) while assets grew about 16%. Income from sales and purchases fell 7.7%; third-party share fell 6.6%; profit-sharing income rose 17.5%. Reported NIM was about 5.4% in 1H26 (-31bp YoY) against AR2025 guidance of above 5.50% (p.236). Financing yield fell about 77bp and cost of funds fell about 49bp (2.19%-2.30%). Mix shifts to gold-backed financing and securities (Rp61tn, mostly related party), which carry lower yields. Original Base of 4.30% implied HBH +9% for FY26E, needing +16% YoY in 2H26.</t>
  </si>
  <si>
    <t>BI-Rate was held at 5.75% in Sep-26, while the AR2025 macro assumption was 4.25%. Rate relief that would lift margins is not in sight. Deposit competition from state banks and digital banks keeps funding costs sticky. Murabahah is mostly fixed-rate, so repricing lags. Bear -0.2pp reflects continued yield compression; Bull +0.1pp reflects cost-of-fund gains.</t>
  </si>
  <si>
    <t>Not supported at 4.30%. Revised Base to 4.20%, fading to 4.10%.</t>
  </si>
  <si>
    <t>Other operating income / average assets</t>
  </si>
  <si>
    <t>Ratio rose from 1.30% (FY22) to 1.60% (FY25) and 1.77% annualised in 1H26. 1H26: fee income +55% (Rp2.98tn vs Rp1.92tn), securities gains +42%, recoveries -24%. Fee-based income reached Rp5.6tn at Aug-26 (+36.3% YoY, 23.1% of revenue). Gold business +81% YoY with 1.22m gold customers. Quality flags from FY25: Rahn (gold pawn) is 33% of fee income, securities gains are 8.1% of PPOP, recoveries cover 55% of impairment. Base sits below the 1H26 run-rate because securities gains and recoveries do not repeat at this pace.</t>
  </si>
  <si>
    <t>Gold price and bullion regulation drive Rahn and gold instalment fees. Digital adoption (24.3m customers, BYOND) and hajj-related flows (7.69m hajj customers) support fee growth. Interest-rate moves drive securities gains: valuation losses already hit OCI in 1H26 (-Rp0.78tn). Bear -0.1pp, Bull +0.1pp.</t>
  </si>
  <si>
    <t>Base 1.62% was below run-rate. Revised Base to 1.72%, fading to 1.62%. Net revenue / assets is unchanged at 5.92%.</t>
  </si>
  <si>
    <t>Cost-to-income</t>
  </si>
  <si>
    <t>CIR was 51.3%, 50.1%, 51.4%, 52.6% in FY22-25. 1H26 opex grew 17.5% (G&amp;A +19.1%, salaries +14.9%) against net revenue +10.5%; CIR 52.6% vs 49.5% in 1H25. Seasonality: 2H25 CIR was 55.4%, so FY26 at the same pattern would be near 55%. AR2025 reports 52.13% on the OJK basis (different definition; note it). Original Base of 53.5% needed opex growth to drop to +8% YoY in 2H26. Technology and digital investment (BYOND migration, cyber security after the 2023 ransomware incident) keep costs high near term; operating leverage arrives only as revenue per asset stabilises.</t>
  </si>
  <si>
    <t>Wage and general inflation (AR2025 assumes 2.34% CPI) is below BSI cost growth, so the gap is investment-driven, not inflation. Regulatory and cyber compliance costs are rising industry-wide. Bear +1.5pp, Bull -1.0pp.</t>
  </si>
  <si>
    <t>Not supported at 53.5%. Revised Base to 54.5%, improving 0.75pp a year to 52.0%.</t>
  </si>
  <si>
    <t>Impairment / average gross financing</t>
  </si>
  <si>
    <t>Ratio fell from 1.98% (FY22) to 0.73-0.79% (FY24-25). 1H26 annualised 0.64% (cost of credit about 0.6%). AR2025 guidance is cost of credit below 0.84% (p.236). Early adoption of PSAK 413 (expected credit loss) raised allowance coverage from 3.5% to 4.5% of gross financing and cut equity by Rp3.0tn, so reserves are front-loaded. NPF gross about 1.8% (stable), loan-at-risk 8.0% (from 8.5%), LAR coverage 55%. Offsets: recoveries covered 55% of FY25 impairment and fell 24% in 1H26, so net cost rises as they fade. Related-party musyarakah financing grew 45% YTD (Rp26.1tn to Rp37.9tn), a concentration to watch.</t>
  </si>
  <si>
    <t>Debtor stress from the 5.75% BI-Rate and weak rupiah. Consumer book (Rp189tn, mostly payroll-based ASN) is stable. State-linked wholesale borrowers carry policy risk. Bear 1.0% = 2020s stress-like normalisation; Bull 0.6% = current run-rate.</t>
  </si>
  <si>
    <t>Supported. Keep Base 0.70% rising to 0.80%.</t>
  </si>
  <si>
    <t>Dividend payout (on prior-year net income)</t>
  </si>
  <si>
    <t>Payout was 25%, 10%, 15%, 15% in FY22-25 and 20% in 2026 (Rp32.81 per share, paid Jun-26). CAR is 20.41% (Jun-26) against a 12.5% floor with buffer and an 18% internal target. Base rises 2.5pp a year to 30%. A rights issue of up to 6.8bn shares is planned (RUPSLB 15 Oct 2026, execution Q1 2027), which argues against faster payout increases.</t>
  </si>
  <si>
    <t>State shareholders (Danantara-linked banks) favour higher payout; large state banks pay far more than BSI. The same path is used in all scenarios, so payout does not drive the Bear/Bull spread.</t>
  </si>
  <si>
    <t>Judgement, low value impact (DDM weight 15%). Keep.</t>
  </si>
  <si>
    <t>ROE on average equity / terminal ROE</t>
  </si>
  <si>
    <t>ROE was 14.6%, 15.8%, 16.7%, 15.6% in FY22-25 (net income / average equity; AR2025 reports 16.85% on the OJK basis). 1H26 annualised is higher because equity was reset down by PSAK 413. Terminal ROE of 14% sits just above Ke (13.85%), meaning excess return fades to almost zero. Bear 12% is below Ke (value destruction); Bull 16% matches the FY23-25 range. Sensitivity from the v3 grid (beta 1.00): each 1pp of terminal ROE is worth about Rp135 per share (12%: 1,044; 14%: 1,314; 16%: 1,587).</t>
  </si>
  <si>
    <t>Competitive convergence is the argument: HBH / assets has fallen every year since FY22, fee growth cannot be extrapolated, and a Q1-2027 rights issue dilutes ROE until deployed. Counter-argument: BSI leads its niche with about 43% share and growing CASA, so a higher terminal ROE is arguable. This is the second most sensitive input after beta.</t>
  </si>
  <si>
    <t>Judgement, conservative. Keep 14% as Base and show the 12-16% range.</t>
  </si>
  <si>
    <t>Tolerances (FY30E allowed twice the FY26E band): asset growth 2pp, HBH and other income per assets 0.15pp and 0.10pp, CIR 1pp, impairment 0.10pp, payout 3pp, ROE 1pp. Payout in the template is measured as dividends paid over prior-year net profit; FY22A-FY25A columns use the same definition. The two largest items to settle are CIR (52.5% template vs 54.5% team evidence) and total financing growth (14.4% vs 13%).</t>
  </si>
  <si>
    <t>2c-bis. Cash flow statement - DIRECT method, BSI reporting format (Rp bn)</t>
  </si>
  <si>
    <t>FY21A-FY25A: as reported in the audited annual-report cash flow statement (latest restated comparatives; FY21 from AR22, FY24 from AR25). FY26E-FY35E: derived from Sheet1 drivers; ties to the indirect statement (Sheet1 rows 183-202) via the reconciliation block. Blue = hardcoded from filings, black = formula, green = link to Sheet1.</t>
  </si>
  <si>
    <t>A. CASH FLOW FROM OPERATIONS (BSI classification)</t>
  </si>
  <si>
    <t>Receipts of margin, profit-sharing, ijarah &amp; other main income</t>
  </si>
  <si>
    <t>Hist: reported. Fcst: gross margin income (Sheet1 row 141), accrual = cash proxy</t>
  </si>
  <si>
    <t>Payment of profit-sharing to temporary syirkah funds</t>
  </si>
  <si>
    <t>Fcst: Sheet1 row 142</t>
  </si>
  <si>
    <t>Recoveries of written-off financing &amp; receivables</t>
  </si>
  <si>
    <t>Hist: reported. Fcst: inside provisions net (not modelled separately)</t>
  </si>
  <si>
    <t>Other operating income received (fees etc.)</t>
  </si>
  <si>
    <t>Fcst: fee-based income, Sheet1 row 144</t>
  </si>
  <si>
    <t>Tantiem paid</t>
  </si>
  <si>
    <t>Fcst: inside cash opex</t>
  </si>
  <si>
    <t>Operating expenses paid (cash)</t>
  </si>
  <si>
    <t>Fcst: overhead less D&amp;A (Sheet1 row 149 less row 265)</t>
  </si>
  <si>
    <t>Non-operating income / (expense), net</t>
  </si>
  <si>
    <t>Fcst: inside tax &amp; other line</t>
  </si>
  <si>
    <t>Corporate income tax paid</t>
  </si>
  <si>
    <t>Fcst: tax &amp; other (Sheet1 row 153)</t>
  </si>
  <si>
    <t>Zakat paid</t>
  </si>
  <si>
    <t>Qardhul hasan funds distributed</t>
  </si>
  <si>
    <t>Cash flow before changes in operating assets &amp; liabilities</t>
  </si>
  <si>
    <t>Check vs reported subtotal in row below (hist)</t>
  </si>
  <si>
    <t xml:space="preserve">  Reported subtotal (memo)</t>
  </si>
  <si>
    <t>From annual report</t>
  </si>
  <si>
    <t>Change in financing, receivables &amp; qardh (net of write-offs)</t>
  </si>
  <si>
    <t>Hist: piutang + qardh + pembiayaan. Fcst: Sheet1 row 190</t>
  </si>
  <si>
    <t>Change in customer deposits &amp; temporary syirkah funds</t>
  </si>
  <si>
    <t>Hist: simpanan nasabah/wadiah + syirkah temporer. Fcst: Sheet1 row 194</t>
  </si>
  <si>
    <t>Other operating assets &amp; liabilities, net</t>
  </si>
  <si>
    <t>Hist: sum of reported lines (securities at FV, acceptance, ijarah, other assets/liabs, interbank). Fcst: Sheet1 rows 187+188</t>
  </si>
  <si>
    <t>NET CASH FROM OPERATING ACTIVITIES</t>
  </si>
  <si>
    <t xml:space="preserve">  Reported CFO (memo)</t>
  </si>
  <si>
    <t>B. CASH FLOW FROM INVESTING</t>
  </si>
  <si>
    <t>Net purchase / sale of securities (investing portion)</t>
  </si>
  <si>
    <t>Hist: sale less acquisition. Fcst: Sheet1 row 191</t>
  </si>
  <si>
    <t>Capex incl. ROU and intangibles (net of disposals)</t>
  </si>
  <si>
    <t>Fcst: Sheet1 row 192</t>
  </si>
  <si>
    <t>NET CASH FROM INVESTING ACTIVITIES</t>
  </si>
  <si>
    <t xml:space="preserve">  Reported CFI (memo)</t>
  </si>
  <si>
    <t>C. CASH FLOW FROM FINANCING</t>
  </si>
  <si>
    <t>Lease liabilities paid / change in lease liabilities</t>
  </si>
  <si>
    <t>Fcst: Sheet1 row 196</t>
  </si>
  <si>
    <t>Dividends paid</t>
  </si>
  <si>
    <t>Fcst: Sheet1 row 197</t>
  </si>
  <si>
    <t>Equity issued (net of issuance cost) / rights issue</t>
  </si>
  <si>
    <t>Fcst: Sheet1 row 199</t>
  </si>
  <si>
    <t>Sukuk, mudharabah term financing, borrowings &amp; BI funding, net</t>
  </si>
  <si>
    <t>Hist: all debt-type lines incl. BI liabilities (gross flows netted). Fcst: Sheet1 row 195</t>
  </si>
  <si>
    <t>OCI treated as cash-equivalent movement (model convention)</t>
  </si>
  <si>
    <t>Fcst only: Sheet1 row 198</t>
  </si>
  <si>
    <t>NET CASH FROM FINANCING ACTIVITIES</t>
  </si>
  <si>
    <t xml:space="preserve">  Reported CFF (memo)</t>
  </si>
  <si>
    <t>From annual report (FY24 as reclassified in AR25)</t>
  </si>
  <si>
    <t>D. NET CHANGE IN CASH</t>
  </si>
  <si>
    <t>Net change in cash &amp; cash equivalents</t>
  </si>
  <si>
    <t>Opening cash &amp; cash equivalents</t>
  </si>
  <si>
    <t>Closing cash &amp; cash equivalents</t>
  </si>
  <si>
    <t xml:space="preserve">  Reported closing cash (memo)</t>
  </si>
  <si>
    <t>From annual report. BS cash (Sheet1 row 163) FY25A 64,845 vs CFS 64,862: Rp17bn classification gap (cash equivalents definition)</t>
  </si>
  <si>
    <t>E. RECONCILIATION &amp; CHECKS (all must be 0)</t>
  </si>
  <si>
    <t>Hist: direct pre-change subtotal vs reported</t>
  </si>
  <si>
    <t>Hist: CFO vs reported</t>
  </si>
  <si>
    <t>Hist: CFI vs reported</t>
  </si>
  <si>
    <t>Hist: CFF vs reported</t>
  </si>
  <si>
    <t>Hist: closing cash vs reported</t>
  </si>
  <si>
    <t>Fcst: direct net change vs indirect (Sheet1 row 201)</t>
  </si>
  <si>
    <t>Fcst: direct closing cash vs balance sheet cash (Sheet1 row 163)</t>
  </si>
  <si>
    <t>Fcst: opening cash vs prior-year BS cash</t>
  </si>
  <si>
    <t>TOTAL OF CHECKS (0 = OK)</t>
  </si>
  <si>
    <t>Note: the forecast opening cash for FY26E starts from the audited BS cash (64,845) while reported FY25 closing cash equivalents is 64,862; the difference is not carried forward.</t>
  </si>
  <si>
    <t>Input register - every market input and orange (estimate) cell on Sheet1</t>
  </si>
  <si>
    <t>Status: VERIFIED = traced to a filing or market source; ESTIMATE = analyst estimate, needs a source before the report; JUDGMENT = analyst choice; PLACEHOLDER = not yet researched. Values are live links to Sheet1.</t>
  </si>
  <si>
    <t>Item</t>
  </si>
  <si>
    <t>Value (base col E)</t>
  </si>
  <si>
    <t>Source / note on Sheet1</t>
  </si>
  <si>
    <t>Status</t>
  </si>
  <si>
    <t>Action before submission</t>
  </si>
  <si>
    <t>[Sheet1 row 20] Current share price</t>
  </si>
  <si>
    <t>Close Fri 16-Oct-26 = 1,095 (user-supplied from market screen). Earlier values 1,335 (8-Oct), 1,385 (6-Oct close) are superseded</t>
  </si>
  <si>
    <t>VERIFIED (user)</t>
  </si>
  <si>
    <t>Refresh to latest close on submission date</t>
  </si>
  <si>
    <t>[Sheet1 row 21] Shares outstanding (pre rights issue)</t>
  </si>
  <si>
    <t>VERIFIED</t>
  </si>
  <si>
    <t>Adjust for rights issue shares when executed</t>
  </si>
  <si>
    <t>[Sheet1 row 22] Valuation date</t>
  </si>
  <si>
    <t>INPUT</t>
  </si>
  <si>
    <t>-</t>
  </si>
  <si>
    <t>[Sheet1 row 23] FY25 dividend payment date (paid in FY26)</t>
  </si>
  <si>
    <t>[Sheet1 row 24] Risk-free rate, IDR (10Y INDOGB less sovereign default spread)</t>
  </si>
  <si>
    <t>G33 = 10Y INDOGB 7.18% (6-Oct-26). H33 = Damodaran default spread for Baa2, 1.62% (Jan-26). Net rf = gross - spread (CRP is added once, inside the ERP)</t>
  </si>
  <si>
    <t>Refresh gross yield; check Damodaran Jul-26 update</t>
  </si>
  <si>
    <t>[Sheet1 row 25] Equity risk premium (Indonesia)</t>
  </si>
  <si>
    <t>Damodaran Jan-26 Indonesia: 4.23% mature + 2.46% CRP; update if July file available</t>
  </si>
  <si>
    <t>[Sheet1 row 26] Beta (TradingView 1Y raw 0.64, Blume-adjusted)</t>
  </si>
  <si>
    <t>Blume-adjusted from raw 0.64 (1y); 60m monthly regression vs IHSG gives 0.69 (SE 0.29, R2 0.09); peer avg about 0.9. Low precision, see Input_Register</t>
  </si>
  <si>
    <t>ESTIMATE</t>
  </si>
  <si>
    <t>Beta evidence 0.64-1.0; decide final (BRIS 1y 0.64 / 60m 0.69 / peers 0.9)</t>
  </si>
  <si>
    <t>[Sheet1 row 27] Size / liquidity premium</t>
  </si>
  <si>
    <t>JUDGMENT</t>
  </si>
  <si>
    <t>Now 0; keep documented as toggle</t>
  </si>
  <si>
    <t>[Sheet1 row 35] Target CAR (internal floor)</t>
  </si>
  <si>
    <t>Mgmt target "unverified": confirm in 1H26 analyst call / prospectus</t>
  </si>
  <si>
    <t>[Sheet1 row 36] Regulatory minimum CAR incl. buffers</t>
  </si>
  <si>
    <t>AR2025: 9.99% risk profile + 2.5% CCB + 1.0% D-SIB = 13.49%</t>
  </si>
  <si>
    <t>VERIFIED (AR2025)</t>
  </si>
  <si>
    <t>OJK/POJK rules</t>
  </si>
  <si>
    <t>[Sheet1 row 37] FDR cap</t>
  </si>
  <si>
    <t>Confirm regulatory FDR cap</t>
  </si>
  <si>
    <t>[Sheet1 row 38] Min cash &amp; BI placements / DPK (GWM proxy)</t>
  </si>
  <si>
    <t>BI sharia GWM 7.5%</t>
  </si>
  <si>
    <t>[Sheet1 row 45] Pass-through of BI rate change to time-deposit rate</t>
  </si>
  <si>
    <t>ESTIMATE / PLACEHOLDER</t>
  </si>
  <si>
    <t>Orange cell: replace with filing data (BS detail, debt, fixed assets, rates)</t>
  </si>
  <si>
    <t>[Sheet1 row 46] Pass-through to CASA rate</t>
  </si>
  <si>
    <t>[Sheet1 row 47] Pass-through to gross financing yield</t>
  </si>
  <si>
    <t>[Sheet1 row 121] Interbank &amp; other borrowings rate</t>
  </si>
  <si>
    <t>[Sheet1 row 122] Capex as % of operating income</t>
  </si>
  <si>
    <t>[Sheet1 row 123] Capex mix - Land &amp; buildings</t>
  </si>
  <si>
    <t>[Sheet1 row 124] Depreciation / amortisation rate (declining balance on NBV) - Land &amp; buildings</t>
  </si>
  <si>
    <t>[Sheet1 row 125] Capex mix - Equipment &amp; IT</t>
  </si>
  <si>
    <t>[Sheet1 row 126] Depreciation / amortisation rate (declining balance on NBV) - Equipment &amp; IT</t>
  </si>
  <si>
    <t>[Sheet1 row 127] Capex mix - Right-of-use assets</t>
  </si>
  <si>
    <t>[Sheet1 row 128] Depreciation / amortisation rate (declining balance on NBV) - Right-of-use assets</t>
  </si>
  <si>
    <t>[Sheet1 row 129] Capex mix - Intangibles / software</t>
  </si>
  <si>
    <t>[Sheet1 row 130] Depreciation / amortisation rate (declining balance on NBV) - Intangibles / software</t>
  </si>
  <si>
    <t>[Sheet1 row 131] Lease liability / ROU net book value</t>
  </si>
  <si>
    <t>[Sheet1 row 132] Regulatory capital / book equity (ex Tier-2 sukuk)</t>
  </si>
  <si>
    <t>FY24 0.97, FY25 0.92, Jun-26 0.94 (capital/equity)</t>
  </si>
  <si>
    <t>[Sheet1 row 135] Rights issue price</t>
  </si>
  <si>
    <t>Not disclosed. Placeholder = 14% discount to latest close. Size up to 6.8 bn shares, Q1-27 (disclosure 30-Sep-26)</t>
  </si>
  <si>
    <t>[Sheet1 row 136] Pre-tax return on deployed rights-issue capital</t>
  </si>
  <si>
    <t>Items that came from Gemini research (not independently traced): market data, BS detail FY23-25, dividend data. Re-trace each to the annual report / IDX before use.</t>
  </si>
  <si>
    <t>[Sheet1 rows 141-154, 327, 330] FY21A-FY25A income statement, capital, RWA</t>
  </si>
  <si>
    <t>AR2021-AR2025</t>
  </si>
  <si>
    <t>AR financial statements and capital adequacy notes</t>
  </si>
  <si>
    <t>VERIFIED (AR)</t>
  </si>
  <si>
    <t>[Sheet1 rows 459-463] Peer price, net profit 1H26, equity, shares</t>
  </si>
  <si>
    <t>1H26 statements / presentations</t>
  </si>
  <si>
    <t>Profit and equity from 1H26 statements and presentations (BBRI, BMRI, BBNI, BBCA, BTPS); 16-Oct closes from team, to verify on IDX</t>
  </si>
  <si>
    <t>VERIFIED (fundamentals); PRICES TO CHECK</t>
  </si>
  <si>
    <t>[Sheet1 row 479] BRIS 1H25 / 1H26 net profit, 30-Jun-26 equity</t>
  </si>
  <si>
    <t>1H26 statement</t>
  </si>
  <si>
    <t>Interim statement 30 Jun 2026</t>
  </si>
  <si>
    <t>Regression beta vs IHSG, monthly simple returns (formulas)</t>
  </si>
  <si>
    <t>Last 12 months</t>
  </si>
  <si>
    <t>BRIS</t>
  </si>
  <si>
    <t>Beta (SLOPE)</t>
  </si>
  <si>
    <t>Std error of beta</t>
  </si>
  <si>
    <t>Blume-adjusted beta</t>
  </si>
  <si>
    <t>Observations</t>
  </si>
  <si>
    <t>Last 24 months</t>
  </si>
  <si>
    <t>Last 36 months</t>
  </si>
  <si>
    <t>Last 60 months</t>
  </si>
  <si>
    <t>All available</t>
  </si>
  <si>
    <t>Annualised volatility (monthly stdev x sqrt 12), last 60 months</t>
  </si>
  <si>
    <t>IHSG</t>
  </si>
  <si>
    <t>Month</t>
  </si>
  <si>
    <t>Source: Investing.com monthly history (Terakhir = month close), uploaded by user. Oct-26 is partial month (to 7 Oct 2026). BMRI file has only Nov-24 onward.</t>
  </si>
  <si>
    <t>Change log</t>
  </si>
  <si>
    <t>One line per version; detail lives in the sheets themselves.</t>
  </si>
  <si>
    <t>Version</t>
  </si>
  <si>
    <t>Date</t>
  </si>
  <si>
    <t>Change</t>
  </si>
  <si>
    <t>v4.0</t>
  </si>
  <si>
    <t>10-Oct-2026</t>
  </si>
  <si>
    <t>Fixes to Quick FM (Alip): ratio-driven securities, CFS-driven cash, direct cash flow sheet, rf net of default spread, CRP counted once, specific premium and scenario Ke adders set to 0, GWM and CF tie checks.</t>
  </si>
  <si>
    <t>1</t>
  </si>
  <si>
    <t>(1) direct cash flow sheet CF_Direct; (2) securities no longer the balancing plug, cash = CFS closing cash, genuine balance check + GWM check (row 383) + CF tie check (row 384); (3) rf net of sovereign spread, size premium and scenario Ke adders set to 0; (4) probabilities linked to Prob_Justification; (5) Input_Register added.</t>
  </si>
  <si>
    <t>v5.0</t>
  </si>
  <si>
    <t>11-Oct-2026</t>
  </si>
  <si>
    <t>merged team analysis into the Quick FM engine. Beta (E35) now linked to Beta_Evidence. Sheet README lists every sheet, source and open decision.</t>
  </si>
  <si>
    <t>v6.0</t>
  </si>
  <si>
    <t>17-Oct-2026</t>
  </si>
  <si>
    <t>added Valuation_Detail (outputs, relative valuation, football field, beta x ROE grid) and Driver_Check. No input changed, so snapshots 4h/4i remain valid.</t>
  </si>
  <si>
    <t>v7.0</t>
  </si>
  <si>
    <t>added Model_Comparison and, in Valuation_Detail, banking FCFE, justified and exit P/B cross-checks, composite view and Ke x g grid, adopted from the second model. No input of the engine changed.</t>
  </si>
  <si>
    <t>v8.0</t>
  </si>
  <si>
    <t>Base CIR FY26E 52.5% -&gt; 54.5% (Bear 55.5%, Bull 53.5%) following 2H25 and 1H26 evidence; scenario, tornado and beta snapshots regenerated; Dashboard sheet added.</t>
  </si>
  <si>
    <t>v8.1</t>
  </si>
  <si>
    <t>price updated to 1,095 (close 16-Oct-26). Upside snapshot row 467 now formula-driven. Rights issue price placeholder (E146 = 1,150) now sits above market and needs review.</t>
  </si>
  <si>
    <t>v9.0</t>
  </si>
  <si>
    <t>terminal ROE = Ke + spread (row 50: Bear 0, Base 2pp, Bull 4pp). DDM terminal DPS = payout x ROE_T x BV35; RI terminal = BV35 x (ROE_T - Ke)/(Ke - g); omega fade retired. DDM = RI, master check OK. Snapshots regenerated.</t>
  </si>
  <si>
    <t>v10.0</t>
  </si>
  <si>
    <t>History FY21A-FY25A synced to the annual reports (income statement, regulatory capital, RWA); regulatory minimum CAR 13.49% (AR2025); peers moved to a trailing basis (StockAnalysis, 16-Oct-26 closes; BTPS removed); 1H26 net profit and equity from the interim statement; rights-issue price placeholder tied to the latest close; duplicate sheets removed (Valuation_Detail, Model_Comparison, Reconciliation, Fix_Log) and cross-checks moved to Valuation_Checks; Damodaran_Audit section 2 removed (duplicate of Terminal_ROE); 11 broken charts replaced with live charts; fonts, titles and tab colours unified; snapshots regenerated.</t>
  </si>
  <si>
    <t>v11.0</t>
  </si>
  <si>
    <t>Cost of equity: raw-beta selector (Beta_Evidence B38), country risk added in full (lambda = 1, B41), beta converging to 1.0 by FY35E (B42), yearly Ke in Sheet1 row 389; terminal ROE = stable Ke + spread. Target price = 2/3 intrinsic (DDM = RI) + 1/3 relative valuation (Sheet1 E38, E422), reflecting the MSCI consultation on Standalone status (15 Oct 2026). Terminal_ROE anchors realigned; Valuation_Checks section 4 adds the weight sensitivity; snapshots regenerated.</t>
  </si>
  <si>
    <t>v11.1</t>
  </si>
  <si>
    <t>Formatted layout adopted. Sheet1 duplicates removed (825 to 480 rows): control panel (= Dashboard section 1), retired omega inputs and grid, Ke x g grid (moved to Valuation_Checks section 3 on the yearly-Ke basis), chart data and charts moved to sheet Charts, notes moved to README. Values unchanged.</t>
  </si>
  <si>
    <t>v11.2</t>
  </si>
  <si>
    <t>Peer table re-based on 1H26 filings (BBRI, BBCA presentations; BMRI, BBNI 1H26; BTPS Q2-26 publication), annualised 1H26 earnings, Jun-26 book value; BTPS added at user-supplied close Rp880 (16-Oct-26). Relative value 1,216 to 1,142; 12m Base PT 1,909 to 1,881; prob-weighted 1,855. Scenario, tornado and beta snapshots regenerated. Open: peer closes, BTPS shares (par assumption), BBCA rounded figures.</t>
  </si>
  <si>
    <t>BSI / BRIS  |  00 Dashboard</t>
  </si>
  <si>
    <t>Investment overview and outputs  |  Linked to original calculation engine; source inputs unchanged</t>
  </si>
  <si>
    <t>Metric / source location</t>
  </si>
  <si>
    <t>Unit</t>
  </si>
  <si>
    <t>Original cell</t>
  </si>
  <si>
    <t>DECISION &amp; MARKET</t>
  </si>
  <si>
    <t>Sheet1!B20:S20</t>
  </si>
  <si>
    <t>Sheet1!B21:S21</t>
  </si>
  <si>
    <t>Sheet1!B22:S22</t>
  </si>
  <si>
    <t>Sheet1!B28:S28</t>
  </si>
  <si>
    <t>Sheet1!B34:S34</t>
  </si>
  <si>
    <t>Sheet1!B35:S35</t>
  </si>
  <si>
    <t>TARGET VALUATION</t>
  </si>
  <si>
    <t>Sheet1!B402:S402</t>
  </si>
  <si>
    <t>Sheet1!B403:S403</t>
  </si>
  <si>
    <t>Sheet1!B404:S404</t>
  </si>
  <si>
    <t>Sheet1!B405:S405</t>
  </si>
  <si>
    <t>Sheet1!B406:S406</t>
  </si>
  <si>
    <t>Sheet1!B407:S407</t>
  </si>
  <si>
    <t>Sheet1!B408:S408</t>
  </si>
  <si>
    <t>Sheet1!B409:S409</t>
  </si>
  <si>
    <t>Sheet1!B410:S410</t>
  </si>
  <si>
    <t>Sheet1!B411:S411</t>
  </si>
  <si>
    <t>ECONOMIC PERFORMANCE</t>
  </si>
  <si>
    <t>Sheet1!B153:S153</t>
  </si>
  <si>
    <t>Sheet1!B169:S169</t>
  </si>
  <si>
    <t>Sheet1!B187:S187</t>
  </si>
  <si>
    <t>Sheet1!B315:S315</t>
  </si>
  <si>
    <t>Sheet1!B328:S328</t>
  </si>
  <si>
    <t>Sheet1!B346:S346</t>
  </si>
  <si>
    <t>Sheet1!B347:S347</t>
  </si>
  <si>
    <t>Sheet1!B350:S350</t>
  </si>
  <si>
    <t>Sheet1!B351:S351</t>
  </si>
  <si>
    <t>BSI / BRIS  |  01 Sources Control</t>
  </si>
  <si>
    <t>Original source and research flags  |  Linked to original calculation engine; source inputs unchanged</t>
  </si>
  <si>
    <t>SOURCE REGISTER / KEY CONTROLS</t>
  </si>
  <si>
    <t>Sheet1!B23:S23</t>
  </si>
  <si>
    <t>Sheet1!B24:S24</t>
  </si>
  <si>
    <t>Sheet1!B25:S25</t>
  </si>
  <si>
    <t>Sheet1!B26:S26</t>
  </si>
  <si>
    <t>Sheet1!B27:S27</t>
  </si>
  <si>
    <t>Sheet1!B29:S29</t>
  </si>
  <si>
    <t>Terminal growth (g) - Bear / Base / Bull</t>
  </si>
  <si>
    <t>Sheet1!B30:S30</t>
  </si>
  <si>
    <t>Sheet1!B31:S31</t>
  </si>
  <si>
    <t>Scenario CoE adder - Bear / Base / Bull</t>
  </si>
  <si>
    <t>Sheet1!B32:S32</t>
  </si>
  <si>
    <t>Sheet1!B33:S33</t>
  </si>
  <si>
    <t>Sheet1!B36:S36</t>
  </si>
  <si>
    <t>Sheet1!B37:S37</t>
  </si>
  <si>
    <t>Sheet1!B38:S38</t>
  </si>
  <si>
    <t>Terminal ROE spread over Ke - Bear / Base / Bull</t>
  </si>
  <si>
    <t>Sheet1!B39:S39</t>
  </si>
  <si>
    <t>Sheet1!B133:S133</t>
  </si>
  <si>
    <t>Sheet1!B134:S134</t>
  </si>
  <si>
    <t>Sheet1!B135:S135</t>
  </si>
  <si>
    <t>BSI / BRIS  |  02 Historical FS</t>
  </si>
  <si>
    <t>Historical financial statements FY21–FY25  |  Linked to original calculation engine; source inputs unchanged</t>
  </si>
  <si>
    <t>INCOME STATEMENT</t>
  </si>
  <si>
    <t>Sheet1!B141:S141</t>
  </si>
  <si>
    <t>Sheet1!B142:S142</t>
  </si>
  <si>
    <t>Sheet1!B143:S143</t>
  </si>
  <si>
    <t>Sheet1!B144:S144</t>
  </si>
  <si>
    <t>Sheet1!B145:S145</t>
  </si>
  <si>
    <t>Personnel expense</t>
  </si>
  <si>
    <t>Sheet1!B146:S146</t>
  </si>
  <si>
    <t>G&amp;A expense (incl. D&amp;A)</t>
  </si>
  <si>
    <t>Sheet1!B147:S147</t>
  </si>
  <si>
    <t>Promotion expense</t>
  </si>
  <si>
    <t>Sheet1!B148:S148</t>
  </si>
  <si>
    <t>Sheet1!B149:S149</t>
  </si>
  <si>
    <t>Sheet1!B150:S150</t>
  </si>
  <si>
    <t>Sheet1!B151:S151</t>
  </si>
  <si>
    <t>Sheet1!B152:S152</t>
  </si>
  <si>
    <t>Sheet1!B154:S154</t>
  </si>
  <si>
    <t>Sheet1!B155:S155</t>
  </si>
  <si>
    <t>Sheet1!B156:S156</t>
  </si>
  <si>
    <t>BALANCE SHEET</t>
  </si>
  <si>
    <t>Sheet1!B158:S158</t>
  </si>
  <si>
    <t>Sheet1!B159:S159</t>
  </si>
  <si>
    <t>Sheet1!B160:S160</t>
  </si>
  <si>
    <t>Original metric row 161</t>
  </si>
  <si>
    <t>Sheet1!B161:S161</t>
  </si>
  <si>
    <t>Sheet1!B162:S162</t>
  </si>
  <si>
    <t>Sheet1!B163:S163</t>
  </si>
  <si>
    <t>Sheet1!B164:S164</t>
  </si>
  <si>
    <t>Sheet1!B165:S165</t>
  </si>
  <si>
    <t>Sheet1!B166:S166</t>
  </si>
  <si>
    <t>Sheet1!B167:S167</t>
  </si>
  <si>
    <t>Sheet1!B168:S168</t>
  </si>
  <si>
    <t>Sheet1!B170:S170</t>
  </si>
  <si>
    <t>Sheet1!B171:S171</t>
  </si>
  <si>
    <t>Sheet1!B172:S172</t>
  </si>
  <si>
    <t>Sheet1!B173:S173</t>
  </si>
  <si>
    <t>Sheet1!B174:S174</t>
  </si>
  <si>
    <t>Sheet1!B175:S175</t>
  </si>
  <si>
    <t>Sheet1!B176:S176</t>
  </si>
  <si>
    <t>Sheet1!B177:S177</t>
  </si>
  <si>
    <t>Sheet1!B178:S178</t>
  </si>
  <si>
    <t>Sheet1!B179:S179</t>
  </si>
  <si>
    <t>Sheet1!B180:S180</t>
  </si>
  <si>
    <t>Sheet1!B181:S181</t>
  </si>
  <si>
    <t>Original metric row 182</t>
  </si>
  <si>
    <t>Sheet1!B182:S182</t>
  </si>
  <si>
    <t>BALANCE SHEET CONTINUATION</t>
  </si>
  <si>
    <t>Sheet1!B184:S184</t>
  </si>
  <si>
    <t>Sheet1!B185:S185</t>
  </si>
  <si>
    <t>Sheet1!B186:S186</t>
  </si>
  <si>
    <t>Sheet1!B188:S188</t>
  </si>
  <si>
    <t>Sheet1!B189:S189</t>
  </si>
  <si>
    <t>Sheet1!B190:S190</t>
  </si>
  <si>
    <t>Sheet1!B191:S191</t>
  </si>
  <si>
    <t>Sheet1!B192:S192</t>
  </si>
  <si>
    <t>Sheet1!B193:S193</t>
  </si>
  <si>
    <t>Sheet1!B194:S194</t>
  </si>
  <si>
    <t>Sheet1!B195:S195</t>
  </si>
  <si>
    <t>CASH FLOW</t>
  </si>
  <si>
    <t>Sheet1!B197:S197</t>
  </si>
  <si>
    <t>Sheet1!B198:S198</t>
  </si>
  <si>
    <t>Sheet1!B199:S199</t>
  </si>
  <si>
    <t>Sheet1!B200:S200</t>
  </si>
  <si>
    <t>Sheet1!B201:S201</t>
  </si>
  <si>
    <t>Sheet1!B202:S202</t>
  </si>
  <si>
    <t>Original metric row 203</t>
  </si>
  <si>
    <t>Sheet1!B203:S203</t>
  </si>
  <si>
    <t>Original metric row 204</t>
  </si>
  <si>
    <t>Sheet1!B204:S204</t>
  </si>
  <si>
    <t>Sheet1!B205:S205</t>
  </si>
  <si>
    <t>Sheet1!B206:S206</t>
  </si>
  <si>
    <t>BSI / BRIS  |  03 Historical Ratios</t>
  </si>
  <si>
    <t>Capital, asset-quality and profitability indicators  |  Linked to original calculation engine; source inputs unchanged</t>
  </si>
  <si>
    <t>INCOME AND MARGINS</t>
  </si>
  <si>
    <t>Sheet1!B267:S267</t>
  </si>
  <si>
    <t>Sheet1!B268:S268</t>
  </si>
  <si>
    <t>Sheet1!B269:S269</t>
  </si>
  <si>
    <t>CREDIT &amp; FUNDS</t>
  </si>
  <si>
    <t>Sheet1!B298:S298</t>
  </si>
  <si>
    <t>Sheet1!B301:S301</t>
  </si>
  <si>
    <t>Sheet1!B303:S303</t>
  </si>
  <si>
    <t>Sheet1!B304:S304</t>
  </si>
  <si>
    <t>RETURNS &amp; RATIOS</t>
  </si>
  <si>
    <t>Sheet1!B345:S345</t>
  </si>
  <si>
    <t>Sheet1!B348:S348</t>
  </si>
  <si>
    <t>Sheet1!B349:S349</t>
  </si>
  <si>
    <t>Sheet1!B352:S352</t>
  </si>
  <si>
    <t>Sheet1!B353:S353</t>
  </si>
  <si>
    <t>Sheet1!B354:S354</t>
  </si>
  <si>
    <t>Sheet1!B355:S355</t>
  </si>
  <si>
    <t>Sheet1!B356:S356</t>
  </si>
  <si>
    <t>Sheet1!B357:S357</t>
  </si>
  <si>
    <t>Sheet1!B358:S358</t>
  </si>
  <si>
    <t>Sheet1!B359:S359</t>
  </si>
  <si>
    <t>BSI / BRIS  |  04 Market Beta</t>
  </si>
  <si>
    <t>Beta, cost of equity and market cross-checks  |  Linked to original calculation engine; source inputs unchanged</t>
  </si>
  <si>
    <t>INPUTS</t>
  </si>
  <si>
    <t>MARKET RATIOS</t>
  </si>
  <si>
    <t>Sheet1!B413:S413</t>
  </si>
  <si>
    <t>Sheet1!B414:S414</t>
  </si>
  <si>
    <t>Sheet1!B415:S415</t>
  </si>
  <si>
    <t>BSI / BRIS  |  05 Assumptions</t>
  </si>
  <si>
    <t>Single-window reference for existing assumptions  |  Linked to original calculation engine; source inputs unchanged</t>
  </si>
  <si>
    <t>VALUATION ASSUMPTIONS</t>
  </si>
  <si>
    <t>MACRO INPUTS</t>
  </si>
  <si>
    <t>Sheet1!B40:S40</t>
  </si>
  <si>
    <t>BI rate (year-end) - Bear</t>
  </si>
  <si>
    <t>Sheet1!B41:S41</t>
  </si>
  <si>
    <t>BI rate (year-end) - Base</t>
  </si>
  <si>
    <t>Sheet1!B42:S42</t>
  </si>
  <si>
    <t>BI rate (year-end) - Bull</t>
  </si>
  <si>
    <t>Sheet1!B43:S43</t>
  </si>
  <si>
    <t>Sheet1!B44:S44</t>
  </si>
  <si>
    <t>Sheet1!B45:S45</t>
  </si>
  <si>
    <t>Sheet1!B46:S46</t>
  </si>
  <si>
    <t>Sheet1!B47:S47</t>
  </si>
  <si>
    <t>VOLUME &amp; FUNDING</t>
  </si>
  <si>
    <t>Sheet1!B49:S49</t>
  </si>
  <si>
    <t>Financing growth - Corporate - Bear</t>
  </si>
  <si>
    <t>Sheet1!B50:S50</t>
  </si>
  <si>
    <t>Financing growth - Corporate - Base</t>
  </si>
  <si>
    <t>Sheet1!B51:S51</t>
  </si>
  <si>
    <t>Financing growth - Corporate - Bull</t>
  </si>
  <si>
    <t>Sheet1!B52:S52</t>
  </si>
  <si>
    <t>Sheet1!B53:S53</t>
  </si>
  <si>
    <t>Financing growth - Commercial - Bear</t>
  </si>
  <si>
    <t>Sheet1!B54:S54</t>
  </si>
  <si>
    <t>Financing growth - Commercial - Base</t>
  </si>
  <si>
    <t>Sheet1!B55:S55</t>
  </si>
  <si>
    <t>Financing growth - Commercial - Bull</t>
  </si>
  <si>
    <t>Sheet1!B56:S56</t>
  </si>
  <si>
    <t>Sheet1!B57:S57</t>
  </si>
  <si>
    <t>Financing growth - SME - Bear</t>
  </si>
  <si>
    <t>Sheet1!B58:S58</t>
  </si>
  <si>
    <t>Financing growth - SME - Base</t>
  </si>
  <si>
    <t>Sheet1!B59:S59</t>
  </si>
  <si>
    <t>Financing growth - SME - Bull</t>
  </si>
  <si>
    <t>Sheet1!B60:S60</t>
  </si>
  <si>
    <t>Sheet1!B61:S61</t>
  </si>
  <si>
    <t>Financing growth - Micro - Bear</t>
  </si>
  <si>
    <t>Sheet1!B62:S62</t>
  </si>
  <si>
    <t>Financing growth - Micro - Base</t>
  </si>
  <si>
    <t>Sheet1!B63:S63</t>
  </si>
  <si>
    <t>Financing growth - Micro - Bull</t>
  </si>
  <si>
    <t>Sheet1!B64:S64</t>
  </si>
  <si>
    <t>Sheet1!B65:S65</t>
  </si>
  <si>
    <t>Financing growth - Consumer incl. gold &amp; card - Bear</t>
  </si>
  <si>
    <t>Sheet1!B66:S66</t>
  </si>
  <si>
    <t>Financing growth - Consumer incl. gold &amp; card - Base</t>
  </si>
  <si>
    <t>Sheet1!B67:S67</t>
  </si>
  <si>
    <t>Financing growth - Consumer incl. gold &amp; card - Bull</t>
  </si>
  <si>
    <t>Sheet1!B68:S68</t>
  </si>
  <si>
    <t>Sheet1!B69:S69</t>
  </si>
  <si>
    <t>CASA ratio - Bear</t>
  </si>
  <si>
    <t>Sheet1!B70:S70</t>
  </si>
  <si>
    <t>CASA ratio - Base</t>
  </si>
  <si>
    <t>Sheet1!B71:S71</t>
  </si>
  <si>
    <t>CASA ratio - Bull</t>
  </si>
  <si>
    <t>Sheet1!B72:S72</t>
  </si>
  <si>
    <t>Sheet1!B73:S73</t>
  </si>
  <si>
    <t>Sheet1!B74:S74</t>
  </si>
  <si>
    <t>PRICING</t>
  </si>
  <si>
    <t>Sheet1!B76:S76</t>
  </si>
  <si>
    <t>Change in gross margin yield - Bear</t>
  </si>
  <si>
    <t>Sheet1!B77:S77</t>
  </si>
  <si>
    <t>Change in gross margin yield - Base</t>
  </si>
  <si>
    <t>Sheet1!B78:S78</t>
  </si>
  <si>
    <t>Change in gross margin yield - Bull</t>
  </si>
  <si>
    <t>Sheet1!B79:S79</t>
  </si>
  <si>
    <t>Sheet1!B80:S80</t>
  </si>
  <si>
    <t>Change in time-deposit rate (ex BI pass-through) - Bear</t>
  </si>
  <si>
    <t>Sheet1!B81:S81</t>
  </si>
  <si>
    <t>Change in time-deposit rate (ex BI pass-through) - Base</t>
  </si>
  <si>
    <t>Sheet1!B82:S82</t>
  </si>
  <si>
    <t>Change in time-deposit rate (ex BI pass-through) - Bull</t>
  </si>
  <si>
    <t>Sheet1!B83:S83</t>
  </si>
  <si>
    <t>Sheet1!B84:S84</t>
  </si>
  <si>
    <t>Sheet1!B85:S85</t>
  </si>
  <si>
    <t>COST, CREDIT, DIVIDEND</t>
  </si>
  <si>
    <t>Sheet1!B87:S87</t>
  </si>
  <si>
    <t>Fee-based income growth - Bear</t>
  </si>
  <si>
    <t>Sheet1!B88:S88</t>
  </si>
  <si>
    <t>Fee-based income growth - Base</t>
  </si>
  <si>
    <t>Sheet1!B89:S89</t>
  </si>
  <si>
    <t>Fee-based income growth - Bull</t>
  </si>
  <si>
    <t>Sheet1!B90:S90</t>
  </si>
  <si>
    <t>Sheet1!B91:S91</t>
  </si>
  <si>
    <t>Cost-to-income ratio - Bear</t>
  </si>
  <si>
    <t>Sheet1!B92:S92</t>
  </si>
  <si>
    <t>Cost-to-income ratio - Base</t>
  </si>
  <si>
    <t>Sheet1!B93:S93</t>
  </si>
  <si>
    <t>Cost-to-income ratio - Bull</t>
  </si>
  <si>
    <t>Sheet1!B94:S94</t>
  </si>
  <si>
    <t>Sheet1!B95:S95</t>
  </si>
  <si>
    <t>Cost of credit (provisions / avg financing) - Bear</t>
  </si>
  <si>
    <t>Sheet1!B96:S96</t>
  </si>
  <si>
    <t>Cost of credit (provisions / avg financing) - Base</t>
  </si>
  <si>
    <t>Sheet1!B97:S97</t>
  </si>
  <si>
    <t>Cost of credit (provisions / avg financing) - Bull</t>
  </si>
  <si>
    <t>Sheet1!B98:S98</t>
  </si>
  <si>
    <t>Sheet1!B99:S99</t>
  </si>
  <si>
    <t>Gross NPF - Bear</t>
  </si>
  <si>
    <t>Sheet1!B100:S100</t>
  </si>
  <si>
    <t>Gross NPF - Base</t>
  </si>
  <si>
    <t>Sheet1!B101:S101</t>
  </si>
  <si>
    <t>Gross NPF - Bull</t>
  </si>
  <si>
    <t>Sheet1!B102:S102</t>
  </si>
  <si>
    <t>Sheet1!B103:S103</t>
  </si>
  <si>
    <t>Sheet1!B104:S104</t>
  </si>
  <si>
    <t>Dividend payout ratio (on year-t earnings, paid t+1) - Bear</t>
  </si>
  <si>
    <t>Sheet1!B105:S105</t>
  </si>
  <si>
    <t>Dividend payout ratio (on year-t earnings, paid t+1) - Base</t>
  </si>
  <si>
    <t>Sheet1!B106:S106</t>
  </si>
  <si>
    <t>Dividend payout ratio (on year-t earnings, paid t+1) - Bull</t>
  </si>
  <si>
    <t>Sheet1!B107:S107</t>
  </si>
  <si>
    <t>Sheet1!B108:S108</t>
  </si>
  <si>
    <t>OTHER DRIVERS</t>
  </si>
  <si>
    <t>Sheet1!B110:S110</t>
  </si>
  <si>
    <t>Sheet1!B111:S111</t>
  </si>
  <si>
    <t>Sheet1!B112:S112</t>
  </si>
  <si>
    <t>Sheet1!B113:S113</t>
  </si>
  <si>
    <t>Sheet1!B114:S114</t>
  </si>
  <si>
    <t>Sheet1!B115:S115</t>
  </si>
  <si>
    <t>Sheet1!B116:S116</t>
  </si>
  <si>
    <t>Sheet1!B117:S117</t>
  </si>
  <si>
    <t>Sheet1!B118:S118</t>
  </si>
  <si>
    <t>Sheet1!B119:S119</t>
  </si>
  <si>
    <t>Sheet1!B120:S120</t>
  </si>
  <si>
    <t>Sheet1!B121:S121</t>
  </si>
  <si>
    <t>Sheet1!B122:S122</t>
  </si>
  <si>
    <t>Sheet1!B123:S123</t>
  </si>
  <si>
    <t>Sheet1!B124:S124</t>
  </si>
  <si>
    <t>Sheet1!B125:S125</t>
  </si>
  <si>
    <t>Sheet1!B126:S126</t>
  </si>
  <si>
    <t>Sheet1!B127:S127</t>
  </si>
  <si>
    <t>Sheet1!B128:S128</t>
  </si>
  <si>
    <t>Sheet1!B129:S129</t>
  </si>
  <si>
    <t>Sheet1!B130:S130</t>
  </si>
  <si>
    <t>Sheet1!B131:S131</t>
  </si>
  <si>
    <t>Sheet1!B132:S132</t>
  </si>
  <si>
    <t>Sheet1!B136:S136</t>
  </si>
  <si>
    <t>BSI / BRIS  |  06 Financing Funding</t>
  </si>
  <si>
    <t>Financing growth, DPK, CASA and FDR  |  Linked to original calculation engine; source inputs unchanged</t>
  </si>
  <si>
    <t>FINANCING FORECAST</t>
  </si>
  <si>
    <t>FINANCING AND DPK SCHEDULES</t>
  </si>
  <si>
    <t>Sheet1!B208:S208</t>
  </si>
  <si>
    <t>Sheet1!B209:S209</t>
  </si>
  <si>
    <t>Sheet1!B210:S210</t>
  </si>
  <si>
    <t>Sheet1!B211:S211</t>
  </si>
  <si>
    <t>Sheet1!B212:S212</t>
  </si>
  <si>
    <t>Sheet1!B213:S213</t>
  </si>
  <si>
    <t>Sheet1!B214:S214</t>
  </si>
  <si>
    <t>Sheet1!B215:S215</t>
  </si>
  <si>
    <t>Sheet1!B216:S216</t>
  </si>
  <si>
    <t>Original metric row 217</t>
  </si>
  <si>
    <t>Sheet1!B217:S217</t>
  </si>
  <si>
    <t>Sheet1!B218:S218</t>
  </si>
  <si>
    <t>Sheet1!B219:S219</t>
  </si>
  <si>
    <t>Sheet1!B220:S220</t>
  </si>
  <si>
    <t>Sheet1!B221:S221</t>
  </si>
  <si>
    <t>Sheet1!B222:S222</t>
  </si>
  <si>
    <t>Sheet1!B223:S223</t>
  </si>
  <si>
    <t>Sheet1!B224:S224</t>
  </si>
  <si>
    <t>Sheet1!B225:S225</t>
  </si>
  <si>
    <t>Sheet1!B226:S226</t>
  </si>
  <si>
    <t>Sheet1!B227:S227</t>
  </si>
  <si>
    <t>Sheet1!B228:S228</t>
  </si>
  <si>
    <t>Sheet1!B229:S229</t>
  </si>
  <si>
    <t>Sheet1!B230:S230</t>
  </si>
  <si>
    <t>Sheet1!B231:S231</t>
  </si>
  <si>
    <t>Sheet1!B232:S232</t>
  </si>
  <si>
    <t>Original metric row 233</t>
  </si>
  <si>
    <t>Sheet1!B233:S233</t>
  </si>
  <si>
    <t>Sheet1!B234:S234</t>
  </si>
  <si>
    <t>Sheet1!B235:S235</t>
  </si>
  <si>
    <t>Sheet1!B236:S236</t>
  </si>
  <si>
    <t>Sheet1!B237:S237</t>
  </si>
  <si>
    <t>Sheet1!B238:S238</t>
  </si>
  <si>
    <t>Sheet1!B239:S239</t>
  </si>
  <si>
    <t>Sheet1!B240:S240</t>
  </si>
  <si>
    <t>Sheet1!B241:S241</t>
  </si>
  <si>
    <t>Original metric row 242</t>
  </si>
  <si>
    <t>Sheet1!B242:S242</t>
  </si>
  <si>
    <t>Sheet1!B243:S243</t>
  </si>
  <si>
    <t>Sheet1!B244:S244</t>
  </si>
  <si>
    <t>Sheet1!B245:S245</t>
  </si>
  <si>
    <t>Sheet1!B246:S246</t>
  </si>
  <si>
    <t>BSI / BRIS  |  07 Credit Capital</t>
  </si>
  <si>
    <t>NPF, impairment, RWA, equity and CAR  |  Linked to original calculation engine; source inputs unchanged</t>
  </si>
  <si>
    <t>CREDIT ASSUMPTIONS</t>
  </si>
  <si>
    <t>CREDIT AND PROVISIONS</t>
  </si>
  <si>
    <t>Sheet1!B297:S297</t>
  </si>
  <si>
    <t>Sheet1!B299:S299</t>
  </si>
  <si>
    <t>Sheet1!B300:S300</t>
  </si>
  <si>
    <t>Sheet1!B302:S302</t>
  </si>
  <si>
    <t>CAPITAL ADEQUACY</t>
  </si>
  <si>
    <t>Sheet1!B314:S314</t>
  </si>
  <si>
    <t>Sheet1!B316:S316</t>
  </si>
  <si>
    <t>Sheet1!B317:S317</t>
  </si>
  <si>
    <t>Sheet1!B318:S318</t>
  </si>
  <si>
    <t>Sheet1!B319:S319</t>
  </si>
  <si>
    <t>Sheet1!B320:S320</t>
  </si>
  <si>
    <t>Sheet1!B321:S321</t>
  </si>
  <si>
    <t>Sheet1!B322:S322</t>
  </si>
  <si>
    <t>Sheet1!B323:S323</t>
  </si>
  <si>
    <t>Sheet1!B324:S324</t>
  </si>
  <si>
    <t>Sheet1!B325:S325</t>
  </si>
  <si>
    <t>Sheet1!B326:S326</t>
  </si>
  <si>
    <t>Sheet1!B327:S327</t>
  </si>
  <si>
    <t>Sheet1!B329:S329</t>
  </si>
  <si>
    <t>EQUITY &amp; PAYOUT</t>
  </si>
  <si>
    <t>Sheet1!B331:S331</t>
  </si>
  <si>
    <t>Sheet1!B332:S332</t>
  </si>
  <si>
    <t>Sheet1!B333:S333</t>
  </si>
  <si>
    <t>Sheet1!B334:S334</t>
  </si>
  <si>
    <t>Sheet1!B335:S335</t>
  </si>
  <si>
    <t>Sheet1!B336:S336</t>
  </si>
  <si>
    <t>Sheet1!B337:S337</t>
  </si>
  <si>
    <t>Sheet1!B338:S338</t>
  </si>
  <si>
    <t>Sheet1!B339:S339</t>
  </si>
  <si>
    <t>Sheet1!B340:S340</t>
  </si>
  <si>
    <t>Sheet1!B341:S341</t>
  </si>
  <si>
    <t>Sheet1!B342:S342</t>
  </si>
  <si>
    <t>Sheet1!B343:S343</t>
  </si>
  <si>
    <t>BSI / BRIS  |  08 Financial Forecast</t>
  </si>
  <si>
    <t>Integrated income, balance sheet, cash flow  |  Linked to original calculation engine; source inputs unchanged</t>
  </si>
  <si>
    <t>Sheet1!B140:S140</t>
  </si>
  <si>
    <t>Sheet1!B183:S183</t>
  </si>
  <si>
    <t>Sheet1!B196:S196</t>
  </si>
  <si>
    <t>CAPITAL AND EQUITY</t>
  </si>
  <si>
    <t>Original metric row 330</t>
  </si>
  <si>
    <t>Sheet1!B330:S330</t>
  </si>
  <si>
    <t>BSI / BRIS  |  09 DDM Valuation</t>
  </si>
  <si>
    <t>Dividend discount model  |  Linked to original calculation engine; source inputs unchanged</t>
  </si>
  <si>
    <t>DISCOUNTING</t>
  </si>
  <si>
    <t>Sheet1!B376:S376</t>
  </si>
  <si>
    <t>Sheet1!B377:S377</t>
  </si>
  <si>
    <t>Sheet1!B378:S378</t>
  </si>
  <si>
    <t>DDM CALCULATIONS</t>
  </si>
  <si>
    <t>Sheet1!B379:S379</t>
  </si>
  <si>
    <t>Sheet1!B380:S380</t>
  </si>
  <si>
    <t>Sheet1!B381:S381</t>
  </si>
  <si>
    <t>Sheet1!B382:S382</t>
  </si>
  <si>
    <t>Sheet1!B383:S383</t>
  </si>
  <si>
    <t>Sheet1!B384:S384</t>
  </si>
  <si>
    <t>Sheet1!B385:S385</t>
  </si>
  <si>
    <t>Sheet1!B386:S386</t>
  </si>
  <si>
    <t>Sheet1!B387:S387</t>
  </si>
  <si>
    <t>Sheet1!B388:S388</t>
  </si>
  <si>
    <t>VALUATION ROLL-FORWARD</t>
  </si>
  <si>
    <t>Sheet1!B399:S399</t>
  </si>
  <si>
    <t>Sheet1!B400:S400</t>
  </si>
  <si>
    <t>Sheet1!B401:S401</t>
  </si>
  <si>
    <t>BSI / BRIS  |  10 RI Valuation</t>
  </si>
  <si>
    <t>Residual income valuation  |  Linked to original calculation engine; source inputs unchanged</t>
  </si>
  <si>
    <t>RI CALCULATIONS</t>
  </si>
  <si>
    <t>Sheet1!B390:S390</t>
  </si>
  <si>
    <t>Sheet1!B391:S391</t>
  </si>
  <si>
    <t>Sheet1!B392:S392</t>
  </si>
  <si>
    <t>Sheet1!B393:S393</t>
  </si>
  <si>
    <t>Sheet1!B394:S394</t>
  </si>
  <si>
    <t>Sheet1!B395:S395</t>
  </si>
  <si>
    <t>Sheet1!B396:S396</t>
  </si>
  <si>
    <t>RI CROSS-CHECK</t>
  </si>
  <si>
    <t>Sheet1!B418:S418</t>
  </si>
  <si>
    <t>Sheet1!B419:S419</t>
  </si>
  <si>
    <t>BSI / BRIS  |  11 Relative Valuation</t>
  </si>
  <si>
    <t>Relative valuation and peer comparison  |  Linked to original calculation engine; source inputs unchanged</t>
  </si>
  <si>
    <t>PEER VALUATION INPUTS</t>
  </si>
  <si>
    <t>Sheet1!B457:S457</t>
  </si>
  <si>
    <t>Sheet1!B458:S458</t>
  </si>
  <si>
    <t>Sheet1!B459:S459</t>
  </si>
  <si>
    <t>Sheet1!B460:S460</t>
  </si>
  <si>
    <t>Sheet1!B461:S461</t>
  </si>
  <si>
    <t>Sheet1!B462:S462</t>
  </si>
  <si>
    <t>Sheet1!B463:S463</t>
  </si>
  <si>
    <t>Sheet1!B464:S464</t>
  </si>
  <si>
    <t>Sheet1!B465:S465</t>
  </si>
  <si>
    <t>Sheet1!B466:S466</t>
  </si>
  <si>
    <t>Sheet1!B467:S467</t>
  </si>
  <si>
    <t>Sheet1!B468:S468</t>
  </si>
  <si>
    <t>Sheet1!B469:S469</t>
  </si>
  <si>
    <t>Sheet1!B470:S470</t>
  </si>
  <si>
    <t>Sheet1!B471:S471</t>
  </si>
  <si>
    <t>Sheet1!B472:S472</t>
  </si>
  <si>
    <t>Sheet1!B473:S473</t>
  </si>
  <si>
    <t>Sheet1!B474:S474</t>
  </si>
  <si>
    <t>Sheet1!B475:S475</t>
  </si>
  <si>
    <t>Sheet1!B476:S476</t>
  </si>
  <si>
    <t>Sheet1!B477:S477</t>
  </si>
  <si>
    <t>Sheet1!B478:S478</t>
  </si>
  <si>
    <t>Sheet1!B479:S479</t>
  </si>
  <si>
    <t>Sheet1!B480:S480</t>
  </si>
  <si>
    <t>MARKET / MODEL RATIOS</t>
  </si>
  <si>
    <t>BSI / BRIS  |  12 Scenario Analysis</t>
  </si>
  <si>
    <t>Bear / Base / Bull driver and output views  |  Linked to original calculation engine; source inputs unchanged</t>
  </si>
  <si>
    <t>ACTIVE SCENARIO / PROBABILITY</t>
  </si>
  <si>
    <t>Sheet1!B3:S3</t>
  </si>
  <si>
    <t>Sheet1!B4:S4</t>
  </si>
  <si>
    <t>Sheet1!B5:S5</t>
  </si>
  <si>
    <t>Original metric row 6</t>
  </si>
  <si>
    <t>Sheet1!B6:S6</t>
  </si>
  <si>
    <t>Sheet1!B7:S7</t>
  </si>
  <si>
    <t>Sheet1!B8:S8</t>
  </si>
  <si>
    <t>Sheet1!B9:S9</t>
  </si>
  <si>
    <t>Sheet1!B10:S10</t>
  </si>
  <si>
    <t>Sheet1!B11:S11</t>
  </si>
  <si>
    <t>Sheet1!B12:S12</t>
  </si>
  <si>
    <t>Sheet1!B13:S13</t>
  </si>
  <si>
    <t>Sheet1!B14:S14</t>
  </si>
  <si>
    <t>Sheet1!B15:S15</t>
  </si>
  <si>
    <t>DRIVERS</t>
  </si>
  <si>
    <t>SCENARIO OUTPUTS</t>
  </si>
  <si>
    <t>Original metric row 423</t>
  </si>
  <si>
    <t>Sheet1!B423:S423</t>
  </si>
  <si>
    <t>Sheet1!B424:S424</t>
  </si>
  <si>
    <t>Sheet1!B425:S425</t>
  </si>
  <si>
    <t>Sheet1!B426:S426</t>
  </si>
  <si>
    <t>Sheet1!B427:S427</t>
  </si>
  <si>
    <t>Sheet1!B428:S428</t>
  </si>
  <si>
    <t>Sheet1!B429:S429</t>
  </si>
  <si>
    <t>Sheet1!B430:S430</t>
  </si>
  <si>
    <t>Sheet1!B431:S431</t>
  </si>
  <si>
    <t>Sheet1!B432:S432</t>
  </si>
  <si>
    <t>Sheet1!B433:S433</t>
  </si>
  <si>
    <t>Sheet1!B434:S434</t>
  </si>
  <si>
    <t>Sheet1!B435:S435</t>
  </si>
  <si>
    <t>Sheet1!B436:S436</t>
  </si>
  <si>
    <t>Sheet1!B437:S437</t>
  </si>
  <si>
    <t>Sheet1!B438:S438</t>
  </si>
  <si>
    <t>Sheet1!B439:S439</t>
  </si>
  <si>
    <t>Sheet1!B440:S440</t>
  </si>
  <si>
    <t>Sheet1!B441:S441</t>
  </si>
  <si>
    <t>Sheet1!B442:S442</t>
  </si>
  <si>
    <t>Sheet1!B443:S443</t>
  </si>
  <si>
    <t>Sheet1!B444:S444</t>
  </si>
  <si>
    <t>TORNADO SENSITIVITIES</t>
  </si>
  <si>
    <t>Original metric row 446</t>
  </si>
  <si>
    <t>Sheet1!B446:S446</t>
  </si>
  <si>
    <t>Sheet1!B447:S447</t>
  </si>
  <si>
    <t>Sheet1!B448:S448</t>
  </si>
  <si>
    <t>Sheet1!B449:S449</t>
  </si>
  <si>
    <t>Sheet1!B450:S450</t>
  </si>
  <si>
    <t>Sheet1!B451:S451</t>
  </si>
  <si>
    <t>Sheet1!B452:S452</t>
  </si>
  <si>
    <t>Sheet1!B453:S453</t>
  </si>
  <si>
    <t>Sheet1!B454:S454</t>
  </si>
  <si>
    <t>Sheet1!B455:S455</t>
  </si>
  <si>
    <t>BSI / BRIS  |  13 Model Checks</t>
  </si>
  <si>
    <t>Structural, operating, valuation checks  |  Linked to original calculation engine; source inputs unchanged</t>
  </si>
  <si>
    <t>FINANCIAL CHECKS</t>
  </si>
  <si>
    <t>Sheet1!B361:S361</t>
  </si>
  <si>
    <t>Sheet1!B362:S362</t>
  </si>
  <si>
    <t>Sheet1!B363:S363</t>
  </si>
  <si>
    <t>Sheet1!B364:S364</t>
  </si>
  <si>
    <t>Sheet1!B365:S365</t>
  </si>
  <si>
    <t>Sheet1!B366:S366</t>
  </si>
  <si>
    <t>Sheet1!B367:S367</t>
  </si>
  <si>
    <t>Sheet1!B368:S368</t>
  </si>
  <si>
    <t>Sheet1!B369:S369</t>
  </si>
  <si>
    <t>Sheet1!B370:S370</t>
  </si>
  <si>
    <t>Sheet1!B371:S371</t>
  </si>
  <si>
    <t>Sheet1!B372:S372</t>
  </si>
  <si>
    <t>Sheet1!B373:S373</t>
  </si>
  <si>
    <t>CROSS-CHECK AND MODEL STATUS</t>
  </si>
  <si>
    <t>Sheet1!B417:S417</t>
  </si>
  <si>
    <t>Sheet1!B420:S420</t>
  </si>
  <si>
    <t>SENSITIVITY CHECK</t>
  </si>
  <si>
    <t>BSI / BRIS  |  14 Documentation</t>
  </si>
  <si>
    <t>Model guide and preservation audit  |  Linked to original calculation engine; source inputs unchanged</t>
  </si>
  <si>
    <t>KEY ASSUMPTIONS</t>
  </si>
  <si>
    <t>MASTER MODEL CONTROLS</t>
  </si>
  <si>
    <t>SOURCE ENGINE &amp; DATA PRESERVATION POLICY</t>
  </si>
  <si>
    <t>Reference input workbook</t>
  </si>
  <si>
    <t>BSI_Integrated_Model_v11_2_Formatted(1).xlsx</t>
  </si>
  <si>
    <t>Input policy</t>
  </si>
  <si>
    <t>Every original input cell remains in its original source worksheet and coordinates.</t>
  </si>
  <si>
    <t>Formula policy</t>
  </si>
  <si>
    <t>All 16 original sheets retained unchanged as live calculation engine.</t>
  </si>
  <si>
    <t>Module design</t>
  </si>
  <si>
    <t>15 new modules use live in-workbook formulas referencing original engine; not duplicated hardcodes.</t>
  </si>
  <si>
    <t>Source of truth</t>
  </si>
  <si>
    <t>Edit original input cells on Sheet1, Prices, Prob_Justification or other original source sheets.</t>
  </si>
  <si>
    <t>Model scope</t>
  </si>
  <si>
    <t>Modular analytic views; engine formulas are not yet decomposed into the 15 new sheets.</t>
  </si>
  <si>
    <t>Recalculation</t>
  </si>
  <si>
    <t>Open in Microsoft Excel and trigger full recalculation (Ctrl+Alt+Shift+F9).</t>
  </si>
  <si>
    <t>Valuation caution</t>
  </si>
  <si>
    <t>Market assumptions and placeholders require independent research verification.</t>
  </si>
  <si>
    <t>Formula integrity</t>
  </si>
  <si>
    <t>Legacy structure preserved to avoid silent target price, dividend or CAR 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</si>
</sst>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0.0"/>
    <numFmt numFmtId="166" formatCode="#,##0.0;[Red]\(#,##0.0\);\-"/>
    <numFmt numFmtId="167" formatCode="0.0\x"/>
    <numFmt numFmtId="168" formatCode="0.00\x"/>
    <numFmt numFmtId="169" formatCode="0.000"/>
    <numFmt numFmtId="170" formatCode="0.0"/>
    <numFmt numFmtId="171" formatCode="#,##0;\(#,##0\);\-"/>
    <numFmt numFmtId="172" formatCode="0.0;\(0.0\);\-"/>
    <numFmt numFmtId="173" formatCode="#,##0.00;[Red]\(#,##0.00\);\–"/>
  </numFmts>
  <fonts count="46">
    <font>
      <sz val="10"/>
      <name val="Arial"/>
    </font>
    <font>
      <sz val="10"/>
      <name val="Arial"/>
    </font>
    <font>
      <sz val="11"/>
      <color theme="1"/>
      <name val="Aptos Narrow"/>
    </font>
    <font>
      <b/>
      <sz val="11"/>
      <color rgb="FFFFFFFF"/>
      <name val="Aptos Narrow"/>
    </font>
    <font>
      <i/>
      <sz val="9"/>
      <color rgb="FF404040"/>
      <name val="Aptos Narrow"/>
    </font>
    <font>
      <b/>
      <sz val="11"/>
      <name val="Aptos Narrow"/>
    </font>
    <font>
      <sz val="11"/>
      <color rgb="FF0000FF"/>
      <name val="Aptos Narrow"/>
    </font>
    <font>
      <sz val="11"/>
      <name val="Aptos Narrow"/>
    </font>
    <font>
      <sz val="11"/>
      <color rgb="FF000000"/>
      <name val="Aptos Narrow"/>
    </font>
    <font>
      <sz val="11"/>
      <color rgb="FF008000"/>
      <name val="Aptos Narrow"/>
    </font>
    <font>
      <b/>
      <sz val="11"/>
      <color rgb="FF142840"/>
      <name val="Aptos Narrow"/>
    </font>
    <font>
      <i/>
      <sz val="9"/>
      <name val="Aptos Narrow"/>
    </font>
    <font>
      <b/>
      <sz val="12"/>
      <color rgb="FFFFFFFF"/>
      <name val="Aptos Narrow"/>
    </font>
    <font>
      <b/>
      <sz val="11"/>
      <color rgb="FF008000"/>
      <name val="Aptos Narrow"/>
    </font>
    <font>
      <b/>
      <sz val="11"/>
      <color theme="1"/>
      <name val="Aptos Narrow"/>
    </font>
    <font>
      <i/>
      <sz val="9"/>
      <color rgb="FF595959"/>
      <name val="Aptos Narrow"/>
    </font>
    <font>
      <b/>
      <i/>
      <sz val="9"/>
      <color rgb="FF142840"/>
      <name val="Aptos Narrow"/>
    </font>
    <font>
      <b/>
      <i/>
      <sz val="9"/>
      <color rgb="FF595959"/>
      <name val="Aptos Narrow"/>
    </font>
    <font>
      <sz val="11"/>
      <color rgb="FF1F3864"/>
      <name val="Aptos Narrow"/>
    </font>
    <font>
      <i/>
      <sz val="11"/>
      <name val="Aptos Narrow"/>
    </font>
    <font>
      <b/>
      <i/>
      <sz val="11"/>
      <color rgb="FF142840"/>
      <name val="Aptos Narrow"/>
    </font>
    <font>
      <i/>
      <sz val="11"/>
      <color rgb="FF7F7F7F"/>
      <name val="Aptos Narrow"/>
    </font>
    <font>
      <b/>
      <sz val="11"/>
      <color rgb="FF0000FF"/>
      <name val="Aptos Narrow"/>
    </font>
    <font>
      <b/>
      <sz val="11"/>
      <color rgb="FF000000"/>
      <name val="Aptos Narrow"/>
    </font>
    <font>
      <b/>
      <i/>
      <sz val="11"/>
      <color rgb="FF7F7F7F"/>
      <name val="Aptos Narrow"/>
    </font>
    <font>
      <sz val="10"/>
      <name val="Aptos Narrow"/>
    </font>
    <font>
      <b/>
      <sz val="10"/>
      <color rgb="FF142840"/>
      <name val="Aptos Narrow"/>
    </font>
    <font>
      <sz val="10"/>
      <color rgb="FF0000FF"/>
      <name val="Aptos Narrow"/>
    </font>
    <font>
      <b/>
      <sz val="10"/>
      <name val="Aptos Narrow"/>
    </font>
    <font>
      <b/>
      <sz val="10"/>
      <name val="Arial"/>
    </font>
    <font>
      <sz val="10"/>
      <color rgb="FF008000"/>
      <name val="Aptos Narrow"/>
    </font>
    <font>
      <sz val="10"/>
      <name val="Arial"/>
    </font>
    <font>
      <b/>
      <i/>
      <sz val="9"/>
      <name val="Aptos Narrow"/>
    </font>
    <font>
      <i/>
      <sz val="10"/>
      <name val="Aptos Narrow"/>
    </font>
    <font>
      <b/>
      <sz val="14"/>
      <color rgb="FFFFFFFF"/>
      <name val="Aptos"/>
    </font>
    <font>
      <b/>
      <i/>
      <sz val="11"/>
      <color rgb="FFFFFFFF"/>
      <name val="Aptos"/>
    </font>
    <font>
      <b/>
      <sz val="11"/>
      <color rgb="FFFFFFFF"/>
      <name val="Aptos"/>
    </font>
    <font>
      <b/>
      <sz val="10"/>
      <color rgb="FFFFFFFF"/>
      <name val="Aptos"/>
    </font>
    <font>
      <b/>
      <sz val="10"/>
      <color rgb="FF10233E"/>
      <name val="Aptos"/>
    </font>
    <font>
      <b/>
      <i/>
      <sz val="10"/>
      <color rgb="FFFFFFFF"/>
      <name val="Aptos"/>
    </font>
    <font>
      <b/>
      <sz val="16"/>
      <color rgb="FFFFFFFF"/>
      <name val="Arial"/>
    </font>
    <font>
      <sz val="10"/>
      <color rgb="FF18334A"/>
      <name val="Arial"/>
    </font>
    <font>
      <b/>
      <sz val="10"/>
      <color rgb="FFFFFFFF"/>
      <name val="Arial"/>
    </font>
    <font>
      <b/>
      <sz val="10"/>
      <color rgb="FF11233E"/>
      <name val="Arial"/>
    </font>
    <font>
      <b/>
      <sz val="10"/>
      <color rgb="FF008000"/>
      <name val="Arial"/>
    </font>
    <font>
      <sz val="10"/>
      <color rgb="FF008000"/>
      <name val="Arial"/>
    </font>
  </fonts>
  <fills count="16">
    <fill>
      <patternFill patternType="none"/>
    </fill>
    <fill>
      <patternFill patternType="gray125"/>
    </fill>
    <fill>
      <patternFill patternType="solid">
        <fgColor rgb="FF1F3864"/>
      </patternFill>
    </fill>
    <fill>
      <patternFill patternType="solid">
        <fgColor rgb="FFDCEAF7"/>
      </patternFill>
    </fill>
    <fill>
      <patternFill patternType="solid">
        <fgColor rgb="FF142840"/>
      </patternFill>
    </fill>
    <fill>
      <patternFill patternType="solid">
        <fgColor rgb="FFDDF3EE"/>
      </patternFill>
    </fill>
    <fill>
      <patternFill patternType="solid">
        <fgColor rgb="FFFCE4D6"/>
      </patternFill>
    </fill>
    <fill>
      <patternFill patternType="solid">
        <fgColor rgb="FFF2F2F2"/>
      </patternFill>
    </fill>
    <fill>
      <patternFill patternType="solid">
        <fgColor rgb="FFFFF2CC"/>
      </patternFill>
    </fill>
    <fill>
      <patternFill patternType="solid">
        <fgColor rgb="FFDDEBF7"/>
      </patternFill>
    </fill>
    <fill>
      <patternFill patternType="solid">
        <fgColor rgb="FF10233E"/>
      </patternFill>
    </fill>
    <fill>
      <patternFill patternType="solid">
        <fgColor rgb="FF1D3553"/>
      </patternFill>
    </fill>
    <fill>
      <patternFill patternType="solid">
        <fgColor rgb="FFEAF1FA"/>
      </patternFill>
    </fill>
    <fill>
      <patternFill patternType="solid">
        <fgColor rgb="FF11233E"/>
      </patternFill>
    </fill>
    <fill>
      <patternFill patternType="solid">
        <fgColor rgb="FFDCEAF6"/>
      </patternFill>
    </fill>
    <fill>
      <patternFill patternType="solid">
        <fgColor rgb="FFCBD8E7"/>
      </patternFill>
    </fill>
  </fills>
  <borders count="3">
    <border>
      <left/>
      <right/>
      <top/>
      <bottom/>
      <diagonal/>
    </border>
    <border>
      <left/>
      <right/>
      <top/>
      <bottom style="thin">
        <color rgb="FFBFBFBF"/>
      </bottom>
      <diagonal/>
    </border>
    <border>
      <left/>
      <right/>
      <top style="thin">
        <color auto="1"/>
      </top>
      <bottom/>
      <diagonal/>
    </border>
  </borders>
  <cellStyleXfs count="6">
    <xf numFmtId="0" fontId="0" fillId="0" borderId="0"/>
    <xf numFmtId="43" fontId="1" fillId="0" borderId="0" applyBorder="0" applyAlignment="0" applyProtection="0"/>
    <xf numFmtId="41" fontId="1" fillId="0" borderId="0" applyBorder="0" applyAlignment="0" applyProtection="0"/>
    <xf numFmtId="44" fontId="1" fillId="0" borderId="0" applyBorder="0" applyAlignment="0" applyProtection="0"/>
    <xf numFmtId="42" fontId="1" fillId="0" borderId="0" applyBorder="0" applyAlignment="0" applyProtection="0"/>
    <xf numFmtId="9" fontId="1" fillId="0" borderId="0" applyBorder="0" applyAlignment="0" applyProtection="0"/>
  </cellStyleXfs>
  <cellXfs count="243">
    <xf numFmtId="0" fontId="0" fillId="0" borderId="0" xfId="0"/>
    <xf numFmtId="0" fontId="42" fillId="13" borderId="0" xfId="0" applyFont="1" applyFill="1"/>
    <xf numFmtId="173" fontId="44" fillId="15" borderId="0" xfId="0" applyNumberFormat="1" applyFont="1" applyFill="1"/>
    <xf numFmtId="0" fontId="43" fillId="15" borderId="0" xfId="0" applyFont="1" applyFill="1"/>
    <xf numFmtId="0" fontId="41" fillId="14" borderId="0" xfId="0" applyFont="1" applyFill="1"/>
    <xf numFmtId="0" fontId="40" fillId="13" borderId="0" xfId="0" applyFont="1" applyFill="1"/>
    <xf numFmtId="0" fontId="36" fillId="10" borderId="0" xfId="0" applyFont="1" applyFill="1" applyAlignment="1">
      <alignment vertical="top" wrapText="1"/>
    </xf>
    <xf numFmtId="0" fontId="25" fillId="0" borderId="0" xfId="0" applyFont="1" applyAlignment="1">
      <alignment vertical="top" wrapText="1"/>
    </xf>
    <xf numFmtId="0" fontId="35" fillId="10" borderId="0" xfId="0" applyFont="1" applyFill="1" applyAlignment="1">
      <alignment vertical="top" wrapText="1"/>
    </xf>
    <xf numFmtId="0" fontId="38" fillId="12" borderId="0" xfId="0" applyFont="1" applyFill="1" applyAlignment="1">
      <alignment vertical="top" wrapText="1"/>
    </xf>
    <xf numFmtId="0" fontId="7" fillId="0" borderId="0" xfId="0" applyFont="1" applyAlignment="1">
      <alignment vertical="top" wrapText="1"/>
    </xf>
    <xf numFmtId="0" fontId="2" fillId="0" borderId="0" xfId="0" applyFont="1"/>
    <xf numFmtId="0" fontId="4" fillId="0" borderId="0" xfId="0" applyFont="1"/>
    <xf numFmtId="0" fontId="5" fillId="0" borderId="0" xfId="0" applyFont="1" applyAlignment="1">
      <alignment vertical="center" wrapText="1"/>
    </xf>
    <xf numFmtId="0" fontId="3" fillId="0" borderId="0" xfId="0" applyFont="1" applyAlignment="1">
      <alignment vertical="center" wrapText="1"/>
    </xf>
    <xf numFmtId="0" fontId="6" fillId="0" borderId="0" xfId="0" applyFont="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3" fillId="2" borderId="0" xfId="0" applyFont="1" applyFill="1" applyAlignment="1">
      <alignment vertical="top" wrapText="1"/>
    </xf>
    <xf numFmtId="0" fontId="5" fillId="0" borderId="0" xfId="0" applyFont="1" applyAlignment="1">
      <alignment vertical="top" wrapText="1"/>
    </xf>
    <xf numFmtId="0" fontId="10" fillId="3" borderId="0" xfId="0" applyFont="1" applyFill="1" applyAlignment="1">
      <alignment vertical="top" wrapText="1"/>
    </xf>
    <xf numFmtId="0" fontId="11" fillId="0" borderId="0" xfId="0" applyFont="1"/>
    <xf numFmtId="0" fontId="12" fillId="4" borderId="0" xfId="0" applyFont="1" applyFill="1"/>
    <xf numFmtId="0" fontId="3" fillId="4" borderId="0" xfId="0" applyFont="1" applyFill="1"/>
    <xf numFmtId="0" fontId="5" fillId="5" borderId="1" xfId="0" applyFont="1" applyFill="1" applyBorder="1"/>
    <xf numFmtId="49" fontId="13" fillId="5" borderId="1" xfId="0" applyNumberFormat="1" applyFont="1" applyFill="1" applyBorder="1" applyAlignment="1">
      <alignment horizontal="right"/>
    </xf>
    <xf numFmtId="0" fontId="14" fillId="5" borderId="1" xfId="0" applyFont="1" applyFill="1" applyBorder="1"/>
    <xf numFmtId="0" fontId="14" fillId="5" borderId="0" xfId="0" applyFont="1" applyFill="1"/>
    <xf numFmtId="0" fontId="7" fillId="0" borderId="1" xfId="0" applyFont="1" applyBorder="1"/>
    <xf numFmtId="3" fontId="9" fillId="0" borderId="1" xfId="0" applyNumberFormat="1" applyFont="1" applyBorder="1" applyAlignment="1">
      <alignment horizontal="right"/>
    </xf>
    <xf numFmtId="0" fontId="2" fillId="0" borderId="1" xfId="0" applyFont="1" applyBorder="1"/>
    <xf numFmtId="0" fontId="15" fillId="0" borderId="0" xfId="0" applyFont="1"/>
    <xf numFmtId="0" fontId="10" fillId="3" borderId="1" xfId="0" applyFont="1" applyFill="1" applyBorder="1"/>
    <xf numFmtId="3" fontId="10" fillId="3" borderId="1" xfId="0" applyNumberFormat="1" applyFont="1" applyFill="1" applyBorder="1" applyAlignment="1">
      <alignment horizontal="right"/>
    </xf>
    <xf numFmtId="0" fontId="10" fillId="3" borderId="0" xfId="0" applyFont="1" applyFill="1"/>
    <xf numFmtId="0" fontId="16" fillId="3" borderId="0" xfId="0" applyFont="1" applyFill="1"/>
    <xf numFmtId="3" fontId="13" fillId="5" borderId="1" xfId="0" applyNumberFormat="1" applyFont="1" applyFill="1" applyBorder="1" applyAlignment="1">
      <alignment horizontal="right"/>
    </xf>
    <xf numFmtId="0" fontId="17" fillId="5" borderId="0" xfId="0" applyFont="1" applyFill="1"/>
    <xf numFmtId="164" fontId="13" fillId="5" borderId="1" xfId="0" applyNumberFormat="1" applyFont="1" applyFill="1" applyBorder="1" applyAlignment="1">
      <alignment horizontal="right"/>
    </xf>
    <xf numFmtId="10" fontId="9" fillId="0" borderId="1" xfId="0" applyNumberFormat="1" applyFont="1" applyBorder="1" applyAlignment="1">
      <alignment horizontal="right"/>
    </xf>
    <xf numFmtId="2" fontId="10" fillId="3" borderId="1" xfId="0" applyNumberFormat="1" applyFont="1" applyFill="1" applyBorder="1" applyAlignment="1">
      <alignment horizontal="right"/>
    </xf>
    <xf numFmtId="10" fontId="10" fillId="3" borderId="1" xfId="0" applyNumberFormat="1" applyFont="1" applyFill="1" applyBorder="1" applyAlignment="1">
      <alignment horizontal="right"/>
    </xf>
    <xf numFmtId="164" fontId="10" fillId="3" borderId="1" xfId="0" applyNumberFormat="1" applyFont="1" applyFill="1" applyBorder="1" applyAlignment="1">
      <alignment horizontal="right"/>
    </xf>
    <xf numFmtId="0" fontId="3" fillId="4" borderId="0" xfId="0" applyFont="1" applyFill="1" applyAlignment="1">
      <alignment horizontal="right"/>
    </xf>
    <xf numFmtId="164" fontId="9" fillId="0" borderId="1" xfId="0" applyNumberFormat="1" applyFont="1" applyBorder="1" applyAlignment="1">
      <alignment horizontal="right"/>
    </xf>
    <xf numFmtId="9" fontId="9" fillId="0" borderId="1" xfId="0" applyNumberFormat="1" applyFont="1" applyBorder="1" applyAlignment="1">
      <alignment horizontal="right"/>
    </xf>
    <xf numFmtId="9" fontId="10" fillId="3" borderId="1" xfId="0" applyNumberFormat="1" applyFont="1" applyFill="1" applyBorder="1" applyAlignment="1">
      <alignment horizontal="right"/>
    </xf>
    <xf numFmtId="0" fontId="5" fillId="0" borderId="1" xfId="0" applyFont="1" applyBorder="1"/>
    <xf numFmtId="3" fontId="13" fillId="0" borderId="1" xfId="0" applyNumberFormat="1" applyFont="1" applyBorder="1" applyAlignment="1">
      <alignment horizontal="right"/>
    </xf>
    <xf numFmtId="49" fontId="9" fillId="0" borderId="1" xfId="0" applyNumberFormat="1" applyFont="1" applyBorder="1" applyAlignment="1">
      <alignment horizontal="right"/>
    </xf>
    <xf numFmtId="1" fontId="9" fillId="0" borderId="1" xfId="0" applyNumberFormat="1" applyFont="1" applyBorder="1" applyAlignment="1">
      <alignment horizontal="right"/>
    </xf>
    <xf numFmtId="0" fontId="18" fillId="0" borderId="1" xfId="0" applyFont="1" applyBorder="1"/>
    <xf numFmtId="0" fontId="19" fillId="0" borderId="0" xfId="0" applyFont="1"/>
    <xf numFmtId="0" fontId="20" fillId="3" borderId="0" xfId="0" applyFont="1" applyFill="1"/>
    <xf numFmtId="1" fontId="10" fillId="3" borderId="0" xfId="0" applyNumberFormat="1" applyFont="1" applyFill="1"/>
    <xf numFmtId="0" fontId="8" fillId="0" borderId="0" xfId="0" applyFont="1"/>
    <xf numFmtId="0" fontId="21" fillId="0" borderId="0" xfId="0" applyFont="1"/>
    <xf numFmtId="49" fontId="8" fillId="0" borderId="0" xfId="0" applyNumberFormat="1" applyFont="1"/>
    <xf numFmtId="164" fontId="10" fillId="3" borderId="0" xfId="0" applyNumberFormat="1" applyFont="1" applyFill="1"/>
    <xf numFmtId="10" fontId="6" fillId="0" borderId="0" xfId="0" applyNumberFormat="1" applyFont="1"/>
    <xf numFmtId="49" fontId="6" fillId="0" borderId="0" xfId="0" applyNumberFormat="1" applyFont="1"/>
    <xf numFmtId="3" fontId="6" fillId="0" borderId="0" xfId="0" applyNumberFormat="1" applyFont="1"/>
    <xf numFmtId="4" fontId="6" fillId="0" borderId="0" xfId="0" applyNumberFormat="1" applyFont="1"/>
    <xf numFmtId="15" fontId="6" fillId="0" borderId="0" xfId="0" applyNumberFormat="1" applyFont="1"/>
    <xf numFmtId="15" fontId="10" fillId="3" borderId="0" xfId="0" applyNumberFormat="1" applyFont="1" applyFill="1"/>
    <xf numFmtId="10" fontId="7" fillId="0" borderId="0" xfId="0" applyNumberFormat="1" applyFont="1"/>
    <xf numFmtId="2" fontId="9" fillId="0" borderId="0" xfId="0" applyNumberFormat="1" applyFont="1"/>
    <xf numFmtId="10" fontId="6" fillId="6" borderId="0" xfId="0" applyNumberFormat="1" applyFont="1" applyFill="1"/>
    <xf numFmtId="10" fontId="8" fillId="0" borderId="0" xfId="0" applyNumberFormat="1" applyFont="1"/>
    <xf numFmtId="164" fontId="8" fillId="0" borderId="0" xfId="0" applyNumberFormat="1" applyFont="1"/>
    <xf numFmtId="10" fontId="10" fillId="3" borderId="0" xfId="0" applyNumberFormat="1" applyFont="1" applyFill="1"/>
    <xf numFmtId="164" fontId="6" fillId="6" borderId="0" xfId="0" applyNumberFormat="1" applyFont="1" applyFill="1"/>
    <xf numFmtId="0" fontId="5" fillId="0" borderId="0" xfId="0" applyFont="1"/>
    <xf numFmtId="10" fontId="22" fillId="0" borderId="0" xfId="0" applyNumberFormat="1" applyFont="1"/>
    <xf numFmtId="10" fontId="23" fillId="7" borderId="0" xfId="0" applyNumberFormat="1" applyFont="1" applyFill="1"/>
    <xf numFmtId="2" fontId="6" fillId="6" borderId="0" xfId="0" applyNumberFormat="1" applyFont="1" applyFill="1"/>
    <xf numFmtId="164" fontId="23" fillId="0" borderId="0" xfId="0" applyNumberFormat="1" applyFont="1"/>
    <xf numFmtId="164" fontId="23" fillId="7" borderId="0" xfId="0" applyNumberFormat="1" applyFont="1" applyFill="1"/>
    <xf numFmtId="164" fontId="6" fillId="7" borderId="0" xfId="0" applyNumberFormat="1" applyFont="1" applyFill="1"/>
    <xf numFmtId="10" fontId="23" fillId="0" borderId="0" xfId="0" applyNumberFormat="1" applyFont="1"/>
    <xf numFmtId="10" fontId="6" fillId="7" borderId="0" xfId="0" applyNumberFormat="1" applyFont="1" applyFill="1"/>
    <xf numFmtId="164" fontId="6" fillId="0" borderId="0" xfId="0" applyNumberFormat="1" applyFont="1"/>
    <xf numFmtId="9" fontId="10" fillId="3" borderId="0" xfId="0" applyNumberFormat="1" applyFont="1" applyFill="1"/>
    <xf numFmtId="9" fontId="22" fillId="0" borderId="0" xfId="0" applyNumberFormat="1" applyFont="1"/>
    <xf numFmtId="9" fontId="23" fillId="7" borderId="0" xfId="0" applyNumberFormat="1" applyFont="1" applyFill="1"/>
    <xf numFmtId="165" fontId="6" fillId="0" borderId="0" xfId="0" applyNumberFormat="1" applyFont="1"/>
    <xf numFmtId="165" fontId="6" fillId="7" borderId="0" xfId="0" applyNumberFormat="1" applyFont="1" applyFill="1"/>
    <xf numFmtId="3" fontId="10" fillId="3" borderId="0" xfId="0" applyNumberFormat="1" applyFont="1" applyFill="1"/>
    <xf numFmtId="3" fontId="6" fillId="7" borderId="0" xfId="0" applyNumberFormat="1" applyFont="1" applyFill="1"/>
    <xf numFmtId="9" fontId="6" fillId="6" borderId="0" xfId="0" applyNumberFormat="1" applyFont="1" applyFill="1"/>
    <xf numFmtId="2" fontId="10" fillId="3" borderId="0" xfId="0" applyNumberFormat="1" applyFont="1" applyFill="1"/>
    <xf numFmtId="1" fontId="6" fillId="0" borderId="0" xfId="0" applyNumberFormat="1" applyFont="1"/>
    <xf numFmtId="3" fontId="7" fillId="6" borderId="0" xfId="0" applyNumberFormat="1" applyFont="1" applyFill="1"/>
    <xf numFmtId="3" fontId="8" fillId="7" borderId="0" xfId="0" applyNumberFormat="1" applyFont="1" applyFill="1"/>
    <xf numFmtId="3" fontId="23" fillId="0" borderId="2" xfId="0" applyNumberFormat="1" applyFont="1" applyBorder="1"/>
    <xf numFmtId="3" fontId="23" fillId="7" borderId="2" xfId="0" applyNumberFormat="1" applyFont="1" applyFill="1" applyBorder="1"/>
    <xf numFmtId="3" fontId="10" fillId="3" borderId="2" xfId="0" applyNumberFormat="1" applyFont="1" applyFill="1" applyBorder="1"/>
    <xf numFmtId="3" fontId="6" fillId="6" borderId="0" xfId="0" applyNumberFormat="1" applyFont="1" applyFill="1"/>
    <xf numFmtId="3" fontId="23" fillId="0" borderId="0" xfId="0" applyNumberFormat="1" applyFont="1"/>
    <xf numFmtId="3" fontId="23" fillId="7" borderId="0" xfId="0" applyNumberFormat="1" applyFont="1" applyFill="1"/>
    <xf numFmtId="3" fontId="8" fillId="0" borderId="0" xfId="0" applyNumberFormat="1" applyFont="1"/>
    <xf numFmtId="3" fontId="22" fillId="0" borderId="2" xfId="0" applyNumberFormat="1" applyFont="1" applyBorder="1"/>
    <xf numFmtId="164" fontId="8" fillId="7" borderId="0" xfId="0" applyNumberFormat="1" applyFont="1" applyFill="1"/>
    <xf numFmtId="10" fontId="8" fillId="7" borderId="0" xfId="0" applyNumberFormat="1" applyFont="1" applyFill="1"/>
    <xf numFmtId="3" fontId="22" fillId="0" borderId="0" xfId="0" applyNumberFormat="1" applyFont="1"/>
    <xf numFmtId="166" fontId="8" fillId="0" borderId="0" xfId="0" applyNumberFormat="1" applyFont="1"/>
    <xf numFmtId="166" fontId="8" fillId="7" borderId="0" xfId="0" applyNumberFormat="1" applyFont="1" applyFill="1"/>
    <xf numFmtId="0" fontId="10" fillId="3" borderId="0" xfId="0" applyFont="1" applyFill="1" applyAlignment="1">
      <alignment horizontal="right"/>
    </xf>
    <xf numFmtId="0" fontId="10" fillId="3" borderId="2" xfId="0" applyFont="1" applyFill="1" applyBorder="1"/>
    <xf numFmtId="0" fontId="2" fillId="0" borderId="2" xfId="0" applyFont="1" applyBorder="1"/>
    <xf numFmtId="166" fontId="10" fillId="3" borderId="0" xfId="0" applyNumberFormat="1" applyFont="1" applyFill="1"/>
    <xf numFmtId="4" fontId="8" fillId="0" borderId="0" xfId="0" applyNumberFormat="1" applyFont="1"/>
    <xf numFmtId="4" fontId="8" fillId="7" borderId="0" xfId="0" applyNumberFormat="1" applyFont="1" applyFill="1"/>
    <xf numFmtId="2" fontId="8" fillId="0" borderId="0" xfId="0" applyNumberFormat="1" applyFont="1"/>
    <xf numFmtId="2" fontId="8" fillId="7" borderId="0" xfId="0" applyNumberFormat="1" applyFont="1" applyFill="1"/>
    <xf numFmtId="165" fontId="8" fillId="0" borderId="0" xfId="0" applyNumberFormat="1" applyFont="1"/>
    <xf numFmtId="165" fontId="8" fillId="7" borderId="0" xfId="0" applyNumberFormat="1" applyFont="1" applyFill="1"/>
    <xf numFmtId="167" fontId="10" fillId="3" borderId="0" xfId="0" applyNumberFormat="1" applyFont="1" applyFill="1"/>
    <xf numFmtId="168" fontId="8" fillId="0" borderId="0" xfId="0" applyNumberFormat="1" applyFont="1"/>
    <xf numFmtId="168" fontId="8" fillId="7" borderId="0" xfId="0" applyNumberFormat="1" applyFont="1" applyFill="1"/>
    <xf numFmtId="1" fontId="8" fillId="0" borderId="0" xfId="0" applyNumberFormat="1" applyFont="1"/>
    <xf numFmtId="1" fontId="8" fillId="7" borderId="0" xfId="0" applyNumberFormat="1" applyFont="1" applyFill="1"/>
    <xf numFmtId="1" fontId="6" fillId="7" borderId="0" xfId="0" applyNumberFormat="1" applyFont="1" applyFill="1"/>
    <xf numFmtId="169" fontId="8" fillId="7" borderId="0" xfId="0" applyNumberFormat="1" applyFont="1" applyFill="1"/>
    <xf numFmtId="10" fontId="7" fillId="7" borderId="0" xfId="0" applyNumberFormat="1" applyFont="1" applyFill="1"/>
    <xf numFmtId="165" fontId="10" fillId="3" borderId="0" xfId="0" applyNumberFormat="1" applyFont="1" applyFill="1"/>
    <xf numFmtId="9" fontId="8" fillId="0" borderId="0" xfId="0" applyNumberFormat="1" applyFont="1"/>
    <xf numFmtId="0" fontId="23" fillId="5" borderId="0" xfId="0" applyFont="1" applyFill="1"/>
    <xf numFmtId="0" fontId="24" fillId="5" borderId="0" xfId="0" applyFont="1" applyFill="1"/>
    <xf numFmtId="49" fontId="23" fillId="5" borderId="0" xfId="0" applyNumberFormat="1" applyFont="1" applyFill="1"/>
    <xf numFmtId="168" fontId="10" fillId="3" borderId="0" xfId="0" applyNumberFormat="1" applyFont="1" applyFill="1"/>
    <xf numFmtId="0" fontId="7" fillId="0" borderId="0" xfId="0" applyFont="1"/>
    <xf numFmtId="9" fontId="6" fillId="0" borderId="0" xfId="0" applyNumberFormat="1" applyFont="1"/>
    <xf numFmtId="3" fontId="2" fillId="0" borderId="0" xfId="0" applyNumberFormat="1" applyFont="1"/>
    <xf numFmtId="0" fontId="5" fillId="0" borderId="0" xfId="0" applyFont="1" applyAlignment="1">
      <alignment horizontal="right" wrapText="1"/>
    </xf>
    <xf numFmtId="167" fontId="8" fillId="0" borderId="0" xfId="0" applyNumberFormat="1" applyFont="1"/>
    <xf numFmtId="3" fontId="6" fillId="8" borderId="0" xfId="0" applyNumberFormat="1" applyFont="1" applyFill="1"/>
    <xf numFmtId="0" fontId="3" fillId="4" borderId="0" xfId="0" applyFont="1" applyFill="1" applyAlignment="1">
      <alignment horizontal="right" wrapText="1"/>
    </xf>
    <xf numFmtId="3" fontId="9" fillId="0" borderId="0" xfId="0" applyNumberFormat="1" applyFont="1"/>
    <xf numFmtId="3" fontId="7" fillId="0" borderId="0" xfId="0" applyNumberFormat="1" applyFont="1"/>
    <xf numFmtId="1" fontId="7" fillId="0" borderId="0" xfId="0" applyNumberFormat="1" applyFont="1"/>
    <xf numFmtId="164" fontId="10" fillId="3" borderId="1" xfId="0" applyNumberFormat="1" applyFont="1" applyFill="1" applyBorder="1" applyAlignment="1">
      <alignment horizontal="left"/>
    </xf>
    <xf numFmtId="3" fontId="10" fillId="3" borderId="1" xfId="0" applyNumberFormat="1" applyFont="1" applyFill="1" applyBorder="1"/>
    <xf numFmtId="164" fontId="6" fillId="0" borderId="1" xfId="0" applyNumberFormat="1" applyFont="1" applyBorder="1" applyAlignment="1">
      <alignment horizontal="left"/>
    </xf>
    <xf numFmtId="3" fontId="7" fillId="0" borderId="1" xfId="0" applyNumberFormat="1" applyFont="1" applyBorder="1"/>
    <xf numFmtId="10" fontId="2" fillId="0" borderId="0" xfId="0" applyNumberFormat="1" applyFont="1"/>
    <xf numFmtId="0" fontId="4" fillId="0" borderId="0" xfId="0" applyFont="1" applyAlignment="1">
      <alignment vertical="top" wrapText="1"/>
    </xf>
    <xf numFmtId="0" fontId="10" fillId="3" borderId="1" xfId="0" applyFont="1" applyFill="1" applyBorder="1" applyAlignment="1">
      <alignment vertical="top" wrapText="1"/>
    </xf>
    <xf numFmtId="0" fontId="16" fillId="3" borderId="1" xfId="0" applyFont="1" applyFill="1" applyBorder="1" applyAlignment="1">
      <alignment vertical="top" wrapText="1"/>
    </xf>
    <xf numFmtId="0" fontId="7" fillId="0" borderId="1" xfId="0" applyFont="1" applyBorder="1" applyAlignment="1">
      <alignment vertical="top" wrapText="1"/>
    </xf>
    <xf numFmtId="10" fontId="8" fillId="0" borderId="1" xfId="0" applyNumberFormat="1" applyFont="1" applyBorder="1" applyAlignment="1">
      <alignment horizontal="right"/>
    </xf>
    <xf numFmtId="0" fontId="4" fillId="0" borderId="1" xfId="0" applyFont="1" applyBorder="1" applyAlignment="1">
      <alignment vertical="top" wrapText="1"/>
    </xf>
    <xf numFmtId="0" fontId="5" fillId="9" borderId="1" xfId="0" applyFont="1" applyFill="1" applyBorder="1" applyAlignment="1">
      <alignment vertical="top" wrapText="1"/>
    </xf>
    <xf numFmtId="10" fontId="23" fillId="9" borderId="1" xfId="0" applyNumberFormat="1" applyFont="1" applyFill="1" applyBorder="1" applyAlignment="1">
      <alignment horizontal="right"/>
    </xf>
    <xf numFmtId="0" fontId="2" fillId="9" borderId="1" xfId="0" applyFont="1" applyFill="1" applyBorder="1"/>
    <xf numFmtId="168" fontId="10" fillId="3" borderId="1" xfId="0" applyNumberFormat="1" applyFont="1" applyFill="1" applyBorder="1" applyAlignment="1">
      <alignment horizontal="right"/>
    </xf>
    <xf numFmtId="0" fontId="25" fillId="0" borderId="0" xfId="0" applyFont="1" applyAlignment="1">
      <alignment vertical="top" wrapText="1"/>
    </xf>
    <xf numFmtId="164" fontId="6" fillId="0" borderId="1" xfId="0" applyNumberFormat="1" applyFont="1" applyBorder="1"/>
    <xf numFmtId="10" fontId="8" fillId="0" borderId="1" xfId="0" applyNumberFormat="1" applyFont="1" applyBorder="1"/>
    <xf numFmtId="168" fontId="8" fillId="0" borderId="1" xfId="0" applyNumberFormat="1" applyFont="1" applyBorder="1"/>
    <xf numFmtId="3" fontId="8" fillId="0" borderId="1" xfId="0" applyNumberFormat="1" applyFont="1" applyBorder="1"/>
    <xf numFmtId="164" fontId="8" fillId="0" borderId="1" xfId="0" applyNumberFormat="1" applyFont="1" applyBorder="1"/>
    <xf numFmtId="0" fontId="26" fillId="3" borderId="0" xfId="0" applyFont="1" applyFill="1"/>
    <xf numFmtId="2" fontId="26" fillId="3" borderId="0" xfId="0" applyNumberFormat="1" applyFont="1" applyFill="1"/>
    <xf numFmtId="0" fontId="26" fillId="3" borderId="0" xfId="0" applyFont="1" applyFill="1" applyAlignment="1">
      <alignment vertical="top" wrapText="1"/>
    </xf>
    <xf numFmtId="0" fontId="25" fillId="0" borderId="0" xfId="0" applyFont="1"/>
    <xf numFmtId="2" fontId="27" fillId="0" borderId="0" xfId="0" applyNumberFormat="1" applyFont="1"/>
    <xf numFmtId="2" fontId="25" fillId="0" borderId="0" xfId="0" applyNumberFormat="1" applyFont="1"/>
    <xf numFmtId="0" fontId="28" fillId="9" borderId="0" xfId="0" applyFont="1" applyFill="1"/>
    <xf numFmtId="0" fontId="29" fillId="9" borderId="0" xfId="0" applyFont="1" applyFill="1"/>
    <xf numFmtId="10" fontId="30" fillId="0" borderId="0" xfId="0" applyNumberFormat="1" applyFont="1"/>
    <xf numFmtId="10" fontId="26" fillId="3" borderId="0" xfId="0" applyNumberFormat="1" applyFont="1" applyFill="1"/>
    <xf numFmtId="10" fontId="25" fillId="0" borderId="0" xfId="0" applyNumberFormat="1" applyFont="1"/>
    <xf numFmtId="2" fontId="30" fillId="0" borderId="0" xfId="0" applyNumberFormat="1" applyFont="1"/>
    <xf numFmtId="0" fontId="10" fillId="3" borderId="0" xfId="0" applyFont="1" applyFill="1" applyAlignment="1">
      <alignment vertical="center" wrapText="1"/>
    </xf>
    <xf numFmtId="10" fontId="3" fillId="4" borderId="0" xfId="0" applyNumberFormat="1" applyFont="1" applyFill="1"/>
    <xf numFmtId="3" fontId="3" fillId="4" borderId="0" xfId="0" applyNumberFormat="1" applyFont="1" applyFill="1"/>
    <xf numFmtId="9" fontId="3" fillId="4" borderId="0" xfId="0" applyNumberFormat="1" applyFont="1" applyFill="1"/>
    <xf numFmtId="0" fontId="31" fillId="0" borderId="0" xfId="0" applyFont="1"/>
    <xf numFmtId="2" fontId="7" fillId="0" borderId="0" xfId="0" applyNumberFormat="1" applyFont="1"/>
    <xf numFmtId="2" fontId="6" fillId="0" borderId="0" xfId="0" applyNumberFormat="1" applyFont="1"/>
    <xf numFmtId="0" fontId="16" fillId="3" borderId="0" xfId="0" applyFont="1" applyFill="1" applyAlignment="1">
      <alignment vertical="top" wrapText="1"/>
    </xf>
    <xf numFmtId="9" fontId="10" fillId="3" borderId="0" xfId="0" applyNumberFormat="1" applyFont="1" applyFill="1" applyAlignment="1">
      <alignment vertical="top" wrapText="1"/>
    </xf>
    <xf numFmtId="164" fontId="7" fillId="0" borderId="0" xfId="0" applyNumberFormat="1" applyFont="1" applyAlignment="1">
      <alignment vertical="top" wrapText="1"/>
    </xf>
    <xf numFmtId="10" fontId="7" fillId="0" borderId="0" xfId="0" applyNumberFormat="1" applyFont="1" applyAlignment="1">
      <alignment vertical="top" wrapText="1"/>
    </xf>
    <xf numFmtId="0" fontId="3" fillId="4" borderId="0" xfId="0" applyFont="1" applyFill="1" applyAlignment="1">
      <alignment vertical="center" wrapText="1"/>
    </xf>
    <xf numFmtId="10" fontId="9" fillId="0" borderId="0" xfId="0" applyNumberFormat="1" applyFont="1"/>
    <xf numFmtId="164" fontId="9" fillId="0" borderId="0" xfId="0" applyNumberFormat="1" applyFont="1"/>
    <xf numFmtId="164" fontId="7" fillId="0" borderId="0" xfId="0" applyNumberFormat="1" applyFont="1"/>
    <xf numFmtId="168" fontId="7" fillId="0" borderId="0" xfId="0" applyNumberFormat="1" applyFont="1"/>
    <xf numFmtId="9" fontId="9" fillId="0" borderId="0" xfId="0" applyNumberFormat="1" applyFont="1"/>
    <xf numFmtId="170" fontId="10" fillId="3" borderId="0" xfId="0" applyNumberFormat="1" applyFont="1" applyFill="1"/>
    <xf numFmtId="171" fontId="6" fillId="0" borderId="0" xfId="0" applyNumberFormat="1" applyFont="1"/>
    <xf numFmtId="171" fontId="9" fillId="0" borderId="0" xfId="0" applyNumberFormat="1" applyFont="1"/>
    <xf numFmtId="171" fontId="10" fillId="3" borderId="0" xfId="0" applyNumberFormat="1" applyFont="1" applyFill="1"/>
    <xf numFmtId="171" fontId="7" fillId="0" borderId="0" xfId="0" applyNumberFormat="1" applyFont="1"/>
    <xf numFmtId="171" fontId="5" fillId="0" borderId="0" xfId="0" applyNumberFormat="1" applyFont="1"/>
    <xf numFmtId="171" fontId="2" fillId="0" borderId="0" xfId="0" applyNumberFormat="1" applyFont="1"/>
    <xf numFmtId="0" fontId="10" fillId="5" borderId="0" xfId="0" applyFont="1" applyFill="1"/>
    <xf numFmtId="0" fontId="16" fillId="5" borderId="0" xfId="0" applyFont="1" applyFill="1"/>
    <xf numFmtId="171" fontId="10" fillId="5" borderId="0" xfId="0" applyNumberFormat="1" applyFont="1" applyFill="1"/>
    <xf numFmtId="0" fontId="5" fillId="5" borderId="0" xfId="0" applyFont="1" applyFill="1"/>
    <xf numFmtId="0" fontId="32" fillId="5" borderId="0" xfId="0" applyFont="1" applyFill="1"/>
    <xf numFmtId="171" fontId="5" fillId="5" borderId="0" xfId="0" applyNumberFormat="1" applyFont="1" applyFill="1"/>
    <xf numFmtId="172" fontId="7" fillId="0" borderId="0" xfId="0" applyNumberFormat="1" applyFont="1"/>
    <xf numFmtId="172" fontId="2" fillId="0" borderId="0" xfId="0" applyNumberFormat="1" applyFont="1"/>
    <xf numFmtId="172" fontId="9" fillId="0" borderId="0" xfId="0" applyNumberFormat="1" applyFont="1"/>
    <xf numFmtId="172" fontId="5" fillId="0" borderId="0" xfId="0" applyNumberFormat="1" applyFont="1"/>
    <xf numFmtId="3" fontId="7" fillId="0" borderId="0" xfId="0" applyNumberFormat="1" applyFont="1" applyAlignment="1">
      <alignment vertical="top" wrapText="1"/>
    </xf>
    <xf numFmtId="4" fontId="7" fillId="0" borderId="0" xfId="0" applyNumberFormat="1" applyFont="1" applyAlignment="1">
      <alignment vertical="top" wrapText="1"/>
    </xf>
    <xf numFmtId="15" fontId="7" fillId="0" borderId="0" xfId="0" applyNumberFormat="1" applyFont="1" applyAlignment="1">
      <alignment vertical="top" wrapText="1"/>
    </xf>
    <xf numFmtId="15" fontId="10" fillId="3" borderId="0" xfId="0" applyNumberFormat="1" applyFont="1" applyFill="1" applyAlignment="1">
      <alignment vertical="top" wrapText="1"/>
    </xf>
    <xf numFmtId="2" fontId="7" fillId="0" borderId="0" xfId="0" applyNumberFormat="1" applyFont="1" applyAlignment="1">
      <alignment vertical="top" wrapText="1"/>
    </xf>
    <xf numFmtId="164" fontId="10" fillId="3" borderId="0" xfId="0" applyNumberFormat="1" applyFont="1" applyFill="1" applyAlignment="1">
      <alignment vertical="top" wrapText="1"/>
    </xf>
    <xf numFmtId="9" fontId="7" fillId="0" borderId="0" xfId="0" applyNumberFormat="1" applyFont="1" applyAlignment="1">
      <alignment vertical="top" wrapText="1"/>
    </xf>
    <xf numFmtId="2" fontId="10" fillId="3" borderId="0" xfId="0" applyNumberFormat="1" applyFont="1" applyFill="1" applyAlignment="1">
      <alignment vertical="top" wrapText="1"/>
    </xf>
    <xf numFmtId="0" fontId="33" fillId="0" borderId="0" xfId="0" applyFont="1"/>
    <xf numFmtId="2" fontId="2" fillId="0" borderId="0" xfId="0" applyNumberFormat="1" applyFont="1"/>
    <xf numFmtId="1" fontId="2" fillId="0" borderId="0" xfId="0" applyNumberFormat="1" applyFont="1"/>
    <xf numFmtId="0" fontId="28" fillId="0" borderId="0" xfId="0" applyFont="1"/>
    <xf numFmtId="9" fontId="2" fillId="0" borderId="0" xfId="0" applyNumberFormat="1" applyFont="1"/>
    <xf numFmtId="17" fontId="10" fillId="3" borderId="0" xfId="0" applyNumberFormat="1" applyFont="1" applyFill="1"/>
    <xf numFmtId="164" fontId="26" fillId="3" borderId="0" xfId="0" applyNumberFormat="1" applyFont="1" applyFill="1"/>
    <xf numFmtId="17" fontId="2" fillId="0" borderId="0" xfId="0" applyNumberFormat="1" applyFont="1"/>
    <xf numFmtId="164" fontId="25" fillId="0" borderId="0" xfId="0" applyNumberFormat="1" applyFont="1"/>
    <xf numFmtId="17" fontId="25" fillId="0" borderId="0" xfId="0" applyNumberFormat="1" applyFont="1"/>
    <xf numFmtId="4" fontId="27" fillId="0" borderId="0" xfId="0" applyNumberFormat="1" applyFont="1"/>
    <xf numFmtId="0" fontId="34" fillId="10" borderId="0" xfId="0" applyFont="1" applyFill="1"/>
    <xf numFmtId="0" fontId="35" fillId="10" borderId="0" xfId="0" applyFont="1" applyFill="1"/>
    <xf numFmtId="0" fontId="36" fillId="10" borderId="0" xfId="0" applyFont="1" applyFill="1"/>
    <xf numFmtId="0" fontId="37" fillId="11" borderId="0" xfId="0" applyFont="1" applyFill="1" applyAlignment="1">
      <alignment vertical="top" wrapText="1"/>
    </xf>
    <xf numFmtId="0" fontId="37" fillId="11" borderId="0" xfId="0" applyFont="1" applyFill="1"/>
    <xf numFmtId="0" fontId="38" fillId="12" borderId="0" xfId="0" applyFont="1" applyFill="1"/>
    <xf numFmtId="0" fontId="38" fillId="12" borderId="0" xfId="0" applyFont="1" applyFill="1" applyAlignment="1">
      <alignment horizontal="right"/>
    </xf>
    <xf numFmtId="0" fontId="38" fillId="12" borderId="1" xfId="0" applyFont="1" applyFill="1" applyBorder="1"/>
    <xf numFmtId="0" fontId="37" fillId="11" borderId="1" xfId="0" applyFont="1" applyFill="1" applyBorder="1"/>
    <xf numFmtId="0" fontId="39" fillId="11" borderId="0" xfId="0" applyFont="1" applyFill="1"/>
    <xf numFmtId="0" fontId="35" fillId="10" borderId="0" xfId="0" applyFont="1" applyFill="1" applyAlignment="1">
      <alignment vertical="top" wrapText="1"/>
    </xf>
    <xf numFmtId="0" fontId="34" fillId="10" borderId="0" xfId="0" applyFont="1" applyFill="1" applyAlignment="1">
      <alignment vertical="top" wrapText="1"/>
    </xf>
    <xf numFmtId="0" fontId="37" fillId="11" borderId="0" xfId="0" applyFont="1" applyFill="1" applyAlignment="1">
      <alignment vertical="center" wrapText="1"/>
    </xf>
    <xf numFmtId="0" fontId="42" fillId="13" borderId="0" xfId="0" applyFont="1" applyFill="1"/>
    <xf numFmtId="173" fontId="45" fillId="0" borderId="0" xfId="0" applyNumberFormat="1" applyFont="1"/>
  </cellXfs>
  <cellStyles count="6">
    <cellStyle name="Comma" xfId="1" xr:uid="{00000000-0005-0000-0000-000001000000}"/>
    <cellStyle name="Comma [0]" xfId="2" xr:uid="{00000000-0005-0000-0000-000002000000}"/>
    <cellStyle name="Currency" xfId="3" xr:uid="{00000000-0005-0000-0000-000003000000}"/>
    <cellStyle name="Currency [0]" xfId="4" xr:uid="{00000000-0005-0000-0000-000004000000}"/>
    <cellStyle name="Normal" xfId="0" builtinId="0"/>
    <cellStyle name="Percent" xfId="5" xr:uid="{00000000-0005-0000-0000-000005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FBFBF"/>
      <rgbColor rgb="FF7F7F7F"/>
      <rgbColor rgb="FF9999FF"/>
      <rgbColor rgb="FF993366"/>
      <rgbColor rgb="FFFFF2CC"/>
      <rgbColor rgb="FFDDF3EE"/>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DEBF7"/>
      <rgbColor rgb="FFDCEAF7"/>
      <rgbColor rgb="FFF2F2F2"/>
      <rgbColor rgb="FFE8E8E8"/>
      <rgbColor rgb="FFFF99CC"/>
      <rgbColor rgb="FFCC99FF"/>
      <rgbColor rgb="FFFCE4D6"/>
      <rgbColor rgb="FF3366FF"/>
      <rgbColor rgb="FF33CCCC"/>
      <rgbColor rgb="FF99CC00"/>
      <rgbColor rgb="FFFFCC00"/>
      <rgbColor rgb="FFFF9900"/>
      <rgbColor rgb="FFFF6600"/>
      <rgbColor rgb="FF595959"/>
      <rgbColor rgb="FFB3B3B3"/>
      <rgbColor rgb="FF1F3864"/>
      <rgbColor rgb="FF2E7D32"/>
      <rgbColor rgb="FF0D1C30"/>
      <rgbColor rgb="FF142840"/>
      <rgbColor rgb="FFC62828"/>
      <rgbColor rgb="FF993366"/>
      <rgbColor rgb="FF2F5597"/>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800" b="1" spc="-1">
                <a:solidFill>
                  <a:srgbClr val="000000"/>
                </a:solidFill>
                <a:latin typeface="Aptos Narrow"/>
                <a:ea typeface="Aptos Narrow"/>
                <a:cs typeface="Aptos Narrow"/>
              </a:rPr>
              <a:t>12-month target price by scenario vs price (Rp)</a:t>
            </a:r>
          </a:p>
        </c:rich>
      </c:tx>
      <c:overlay val="0"/>
    </c:title>
    <c:autoTitleDeleted val="0"/>
    <c:plotArea>
      <c:layout/>
      <c:barChart>
        <c:barDir val="col"/>
        <c:grouping val="clustered"/>
        <c:varyColors val="0"/>
        <c:ser>
          <c:idx val="0"/>
          <c:order val="0"/>
          <c:spPr>
            <a:solidFill>
              <a:srgbClr val="1F3864"/>
            </a:solidFill>
            <a:ln w="0">
              <a:noFill/>
            </a:ln>
          </c:spPr>
          <c:invertIfNegative val="0"/>
          <c:dLbls>
            <c:spPr>
              <a:noFill/>
              <a:ln>
                <a:noFill/>
              </a:ln>
              <a:effectLst/>
            </c:spPr>
            <c:txPr>
              <a:bodyPr anchorCtr="1"/>
              <a:lstStyle/>
              <a:p>
                <a:pPr>
                  <a:defRPr sz="1000" b="0" spc="-1">
                    <a:solidFill>
                      <a:srgbClr val="000000"/>
                    </a:solidFill>
                    <a:latin typeface="Arial"/>
                    <a:ea typeface="Arial"/>
                    <a:cs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Dashboard!$B$41:$D$41</c:f>
              <c:strCache>
                <c:ptCount val="3"/>
                <c:pt idx="0">
                  <c:v>Bear</c:v>
                </c:pt>
                <c:pt idx="1">
                  <c:v>Base</c:v>
                </c:pt>
                <c:pt idx="2">
                  <c:v>Bull</c:v>
                </c:pt>
              </c:strCache>
            </c:strRef>
          </c:cat>
          <c:val>
            <c:numRef>
              <c:f>Dashboard!$B$45:$D$45</c:f>
              <c:numCache>
                <c:formatCode>#,##0</c:formatCode>
                <c:ptCount val="3"/>
                <c:pt idx="0">
                  <c:v>1325.1816488269901</c:v>
                </c:pt>
                <c:pt idx="1">
                  <c:v>1881.1248033402101</c:v>
                </c:pt>
                <c:pt idx="2">
                  <c:v>2532.1124619561901</c:v>
                </c:pt>
              </c:numCache>
            </c:numRef>
          </c:val>
          <c:extLst>
            <c:ext xmlns:c16="http://schemas.microsoft.com/office/drawing/2014/chart" uri="{C3380CC4-5D6E-409C-BE32-E72D297353CC}">
              <c16:uniqueId val="{00000000-1D2B-4F5E-AE6E-4F40A768FC85}"/>
            </c:ext>
          </c:extLst>
        </c:ser>
        <c:dLbls>
          <c:showLegendKey val="0"/>
          <c:showVal val="0"/>
          <c:showCatName val="0"/>
          <c:showSerName val="0"/>
          <c:showPercent val="0"/>
          <c:showBubbleSize val="0"/>
        </c:dLbls>
        <c:gapWidth val="150"/>
        <c:axId val="84691081"/>
        <c:axId val="22523330"/>
      </c:barChart>
      <c:lineChart>
        <c:grouping val="standard"/>
        <c:varyColors val="0"/>
        <c:ser>
          <c:idx val="1"/>
          <c:order val="1"/>
          <c:spPr>
            <a:ln w="28440">
              <a:solidFill>
                <a:srgbClr val="C62828"/>
              </a:solidFill>
              <a:prstDash val="dash"/>
            </a:ln>
          </c:spPr>
          <c:marker>
            <c:symbol val="none"/>
          </c:marker>
          <c:dLbls>
            <c:spPr>
              <a:noFill/>
              <a:ln>
                <a:noFill/>
              </a:ln>
              <a:effectLst/>
            </c:spPr>
            <c:txPr>
              <a:bodyPr anchorCtr="1"/>
              <a:lstStyle/>
              <a:p>
                <a:pPr>
                  <a:defRPr sz="1000" b="0" spc="-1">
                    <a:solidFill>
                      <a:srgbClr val="000000"/>
                    </a:solidFill>
                    <a:latin typeface="Arial"/>
                    <a:ea typeface="Arial"/>
                    <a:cs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Dashboard!$B$41:$D$41</c:f>
              <c:strCache>
                <c:ptCount val="3"/>
                <c:pt idx="0">
                  <c:v>Bear</c:v>
                </c:pt>
                <c:pt idx="1">
                  <c:v>Base</c:v>
                </c:pt>
                <c:pt idx="2">
                  <c:v>Bull</c:v>
                </c:pt>
              </c:strCache>
            </c:strRef>
          </c:cat>
          <c:val>
            <c:numRef>
              <c:f>Dashboard!$B$47:$D$47</c:f>
              <c:numCache>
                <c:formatCode>#,##0</c:formatCode>
                <c:ptCount val="3"/>
                <c:pt idx="0">
                  <c:v>1095</c:v>
                </c:pt>
                <c:pt idx="1">
                  <c:v>1095</c:v>
                </c:pt>
                <c:pt idx="2">
                  <c:v>1095</c:v>
                </c:pt>
              </c:numCache>
            </c:numRef>
          </c:val>
          <c:smooth val="1"/>
          <c:extLst>
            <c:ext xmlns:c16="http://schemas.microsoft.com/office/drawing/2014/chart" uri="{C3380CC4-5D6E-409C-BE32-E72D297353CC}">
              <c16:uniqueId val="{00000001-1D2B-4F5E-AE6E-4F40A768FC85}"/>
            </c:ext>
          </c:extLst>
        </c:ser>
        <c:dLbls>
          <c:showLegendKey val="0"/>
          <c:showVal val="0"/>
          <c:showCatName val="0"/>
          <c:showSerName val="0"/>
          <c:showPercent val="0"/>
          <c:showBubbleSize val="0"/>
        </c:dLbls>
        <c:marker val="1"/>
        <c:smooth val="0"/>
        <c:axId val="84691081"/>
        <c:axId val="22523330"/>
      </c:lineChart>
      <c:catAx>
        <c:axId val="84691081"/>
        <c:scaling>
          <c:orientation val="minMax"/>
        </c:scaling>
        <c:delete val="0"/>
        <c:axPos val="b"/>
        <c:numFmt formatCode="General" sourceLinked="0"/>
        <c:majorTickMark val="none"/>
        <c:minorTickMark val="none"/>
        <c:tickLblPos val="nextTo"/>
        <c:spPr>
          <a:ln w="0">
            <a:solidFill>
              <a:srgbClr val="B3B3B3"/>
            </a:solidFill>
          </a:ln>
        </c:spPr>
        <c:txPr>
          <a:bodyPr anchorCtr="1"/>
          <a:lstStyle/>
          <a:p>
            <a:pPr>
              <a:defRPr sz="1000" b="0" spc="-1">
                <a:solidFill>
                  <a:srgbClr val="000000"/>
                </a:solidFill>
                <a:latin typeface="Aptos Narrow"/>
                <a:ea typeface="Aptos Narrow"/>
                <a:cs typeface="Aptos Narrow"/>
              </a:defRPr>
            </a:pPr>
            <a:endParaRPr lang="en-US"/>
          </a:p>
        </c:txPr>
        <c:crossAx val="22523330"/>
        <c:crosses val="autoZero"/>
        <c:auto val="1"/>
        <c:lblAlgn val="ctr"/>
        <c:lblOffset val="100"/>
        <c:noMultiLvlLbl val="0"/>
      </c:catAx>
      <c:valAx>
        <c:axId val="22523330"/>
        <c:scaling>
          <c:orientation val="minMax"/>
        </c:scaling>
        <c:delete val="0"/>
        <c:axPos val="l"/>
        <c:majorGridlines>
          <c:spPr>
            <a:ln w="0">
              <a:solidFill>
                <a:srgbClr val="B3B3B3"/>
              </a:solidFill>
            </a:ln>
          </c:spPr>
        </c:majorGridlines>
        <c:numFmt formatCode="#,##0" sourceLinked="0"/>
        <c:majorTickMark val="none"/>
        <c:minorTickMark val="none"/>
        <c:tickLblPos val="nextTo"/>
        <c:spPr>
          <a:ln w="0">
            <a:solidFill>
              <a:srgbClr val="B3B3B3"/>
            </a:solidFill>
          </a:ln>
        </c:spPr>
        <c:txPr>
          <a:bodyPr anchorCtr="1"/>
          <a:lstStyle/>
          <a:p>
            <a:pPr>
              <a:defRPr sz="1000" b="0" spc="-1">
                <a:solidFill>
                  <a:srgbClr val="000000"/>
                </a:solidFill>
                <a:latin typeface="Aptos Narrow"/>
                <a:ea typeface="Aptos Narrow"/>
                <a:cs typeface="Aptos Narrow"/>
              </a:defRPr>
            </a:pPr>
            <a:endParaRPr lang="en-US"/>
          </a:p>
        </c:txPr>
        <c:crossAx val="84691081"/>
        <c:crosses val="autoZero"/>
        <c:crossBetween val="between"/>
      </c:valAx>
      <c:spPr>
        <a:noFill/>
        <a:ln w="0">
          <a:noFill/>
        </a:ln>
      </c:spPr>
    </c:plotArea>
    <c:plotVisOnly val="1"/>
    <c:dispBlanksAs val="zero"/>
    <c:showDLblsOverMax val="1"/>
  </c:chart>
  <c:spPr>
    <a:solidFill>
      <a:srgbClr val="FFFFFF"/>
    </a:solidFill>
    <a:ln w="9360">
      <a:solidFill>
        <a:srgbClr val="D9D9D9"/>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800" b="1" spc="-1">
                <a:solidFill>
                  <a:srgbClr val="000000"/>
                </a:solidFill>
                <a:latin typeface="Calibri"/>
                <a:ea typeface="Calibri"/>
                <a:cs typeface="Calibri"/>
              </a:rPr>
              <a:t>Operating income bridge FY25A to FY35E (Rp bn)</a:t>
            </a:r>
          </a:p>
        </c:rich>
      </c:tx>
      <c:overlay val="0"/>
    </c:title>
    <c:autoTitleDeleted val="0"/>
    <c:plotArea>
      <c:layout/>
      <c:barChart>
        <c:barDir val="col"/>
        <c:grouping val="stacked"/>
        <c:varyColors val="0"/>
        <c:ser>
          <c:idx val="0"/>
          <c:order val="0"/>
          <c:tx>
            <c:strRef>
              <c:f>Charts!$F$3</c:f>
              <c:strCache>
                <c:ptCount val="1"/>
                <c:pt idx="0">
                  <c:v>Base (hidden)</c:v>
                </c:pt>
              </c:strCache>
            </c:strRef>
          </c:tx>
          <c:spPr>
            <a:noFill/>
            <a:ln w="0">
              <a:noFill/>
            </a:ln>
          </c:spPr>
          <c:invertIfNegative val="1"/>
          <c:dLbls>
            <c:spPr>
              <a:noFill/>
              <a:ln>
                <a:noFill/>
              </a:ln>
              <a:effectLst/>
            </c:spPr>
            <c:txPr>
              <a:bodyPr anchorCtr="1"/>
              <a:lstStyle/>
              <a:p>
                <a:pPr>
                  <a:defRPr sz="1000" b="0" spc="-1">
                    <a:solidFill>
                      <a:srgbClr val="000000"/>
                    </a:solidFill>
                    <a:latin typeface="Arial"/>
                    <a:ea typeface="Arial"/>
                    <a:cs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Charts!$B$4:$B$10</c:f>
              <c:strCache>
                <c:ptCount val="7"/>
                <c:pt idx="0">
                  <c:v>FY25A operating income</c:v>
                </c:pt>
                <c:pt idx="1">
                  <c:v>Financing volume</c:v>
                </c:pt>
                <c:pt idx="2">
                  <c:v>Gross yield</c:v>
                </c:pt>
                <c:pt idx="3">
                  <c:v>Funding cost</c:v>
                </c:pt>
                <c:pt idx="4">
                  <c:v>Fee income</c:v>
                </c:pt>
                <c:pt idx="5">
                  <c:v>Rights-issue capital deployed</c:v>
                </c:pt>
                <c:pt idx="6">
                  <c:v>FY35E operating income</c:v>
                </c:pt>
              </c:strCache>
            </c:strRef>
          </c:cat>
          <c:val>
            <c:numRef>
              <c:f>Charts!$F$4:$F$10</c:f>
              <c:numCache>
                <c:formatCode>#,##0.0</c:formatCode>
                <c:ptCount val="7"/>
                <c:pt idx="0">
                  <c:v>0</c:v>
                </c:pt>
                <c:pt idx="1">
                  <c:v>26065.682000000001</c:v>
                </c:pt>
                <c:pt idx="2">
                  <c:v>65081.399724095478</c:v>
                </c:pt>
                <c:pt idx="3">
                  <c:v>58522.710188226789</c:v>
                </c:pt>
                <c:pt idx="4">
                  <c:v>58522.710188226789</c:v>
                </c:pt>
                <c:pt idx="5">
                  <c:v>71622.859350070212</c:v>
                </c:pt>
                <c:pt idx="6">
                  <c:v>0</c:v>
                </c:pt>
              </c:numCache>
            </c:numRef>
          </c:val>
          <c:extLst>
            <c:ext xmlns:c16="http://schemas.microsoft.com/office/drawing/2014/chart" uri="{C3380CC4-5D6E-409C-BE32-E72D297353CC}">
              <c16:uniqueId val="{00000000-17F9-449A-84E4-E8E76DC94F50}"/>
            </c:ext>
          </c:extLst>
        </c:ser>
        <c:ser>
          <c:idx val="1"/>
          <c:order val="1"/>
          <c:tx>
            <c:strRef>
              <c:f>Charts!$G$3</c:f>
              <c:strCache>
                <c:ptCount val="1"/>
                <c:pt idx="0">
                  <c:v>Increase</c:v>
                </c:pt>
              </c:strCache>
            </c:strRef>
          </c:tx>
          <c:spPr>
            <a:solidFill>
              <a:srgbClr val="2E7D32"/>
            </a:solidFill>
            <a:ln w="0">
              <a:noFill/>
            </a:ln>
          </c:spPr>
          <c:invertIfNegative val="1"/>
          <c:dLbls>
            <c:spPr>
              <a:noFill/>
              <a:ln>
                <a:noFill/>
              </a:ln>
              <a:effectLst/>
            </c:spPr>
            <c:txPr>
              <a:bodyPr anchorCtr="1"/>
              <a:lstStyle/>
              <a:p>
                <a:pPr>
                  <a:defRPr sz="1000" b="0" spc="-1">
                    <a:solidFill>
                      <a:srgbClr val="000000"/>
                    </a:solidFill>
                    <a:latin typeface="Arial"/>
                    <a:ea typeface="Arial"/>
                    <a:cs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Charts!$B$4:$B$10</c:f>
              <c:strCache>
                <c:ptCount val="7"/>
                <c:pt idx="0">
                  <c:v>FY25A operating income</c:v>
                </c:pt>
                <c:pt idx="1">
                  <c:v>Financing volume</c:v>
                </c:pt>
                <c:pt idx="2">
                  <c:v>Gross yield</c:v>
                </c:pt>
                <c:pt idx="3">
                  <c:v>Funding cost</c:v>
                </c:pt>
                <c:pt idx="4">
                  <c:v>Fee income</c:v>
                </c:pt>
                <c:pt idx="5">
                  <c:v>Rights-issue capital deployed</c:v>
                </c:pt>
                <c:pt idx="6">
                  <c:v>FY35E operating income</c:v>
                </c:pt>
              </c:strCache>
            </c:strRef>
          </c:cat>
          <c:val>
            <c:numRef>
              <c:f>Charts!$G$4:$G$10</c:f>
              <c:numCache>
                <c:formatCode>#,##0.0</c:formatCode>
                <c:ptCount val="7"/>
                <c:pt idx="0">
                  <c:v>0</c:v>
                </c:pt>
                <c:pt idx="1">
                  <c:v>46413.355071242739</c:v>
                </c:pt>
                <c:pt idx="2">
                  <c:v>0</c:v>
                </c:pt>
                <c:pt idx="3">
                  <c:v>0</c:v>
                </c:pt>
                <c:pt idx="4">
                  <c:v>13100.149161843428</c:v>
                </c:pt>
                <c:pt idx="5">
                  <c:v>575.28</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w="0">
                    <a:noFill/>
                  </a:ln>
                </c14:spPr>
              </c14:invertSolidFillFmt>
            </c:ext>
            <c:ext xmlns:c16="http://schemas.microsoft.com/office/drawing/2014/chart" uri="{C3380CC4-5D6E-409C-BE32-E72D297353CC}">
              <c16:uniqueId val="{00000001-17F9-449A-84E4-E8E76DC94F50}"/>
            </c:ext>
          </c:extLst>
        </c:ser>
        <c:ser>
          <c:idx val="2"/>
          <c:order val="2"/>
          <c:tx>
            <c:strRef>
              <c:f>Charts!$H$3</c:f>
              <c:strCache>
                <c:ptCount val="1"/>
                <c:pt idx="0">
                  <c:v>Decrease</c:v>
                </c:pt>
              </c:strCache>
            </c:strRef>
          </c:tx>
          <c:spPr>
            <a:solidFill>
              <a:srgbClr val="C62828"/>
            </a:solidFill>
            <a:ln w="0">
              <a:noFill/>
            </a:ln>
          </c:spPr>
          <c:invertIfNegative val="1"/>
          <c:dLbls>
            <c:spPr>
              <a:noFill/>
              <a:ln>
                <a:noFill/>
              </a:ln>
              <a:effectLst/>
            </c:spPr>
            <c:txPr>
              <a:bodyPr anchorCtr="1"/>
              <a:lstStyle/>
              <a:p>
                <a:pPr>
                  <a:defRPr sz="1000" b="0" spc="-1">
                    <a:solidFill>
                      <a:srgbClr val="000000"/>
                    </a:solidFill>
                    <a:latin typeface="Arial"/>
                    <a:ea typeface="Arial"/>
                    <a:cs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Charts!$B$4:$B$10</c:f>
              <c:strCache>
                <c:ptCount val="7"/>
                <c:pt idx="0">
                  <c:v>FY25A operating income</c:v>
                </c:pt>
                <c:pt idx="1">
                  <c:v>Financing volume</c:v>
                </c:pt>
                <c:pt idx="2">
                  <c:v>Gross yield</c:v>
                </c:pt>
                <c:pt idx="3">
                  <c:v>Funding cost</c:v>
                </c:pt>
                <c:pt idx="4">
                  <c:v>Fee income</c:v>
                </c:pt>
                <c:pt idx="5">
                  <c:v>Rights-issue capital deployed</c:v>
                </c:pt>
                <c:pt idx="6">
                  <c:v>FY35E operating income</c:v>
                </c:pt>
              </c:strCache>
            </c:strRef>
          </c:cat>
          <c:val>
            <c:numRef>
              <c:f>Charts!$H$4:$H$10</c:f>
              <c:numCache>
                <c:formatCode>#,##0.0</c:formatCode>
                <c:ptCount val="7"/>
                <c:pt idx="0">
                  <c:v>0</c:v>
                </c:pt>
                <c:pt idx="1">
                  <c:v>0</c:v>
                </c:pt>
                <c:pt idx="2">
                  <c:v>7397.6373471472652</c:v>
                </c:pt>
                <c:pt idx="3">
                  <c:v>6558.6895358686852</c:v>
                </c:pt>
                <c:pt idx="4">
                  <c:v>0</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w="0">
                    <a:noFill/>
                  </a:ln>
                </c14:spPr>
              </c14:invertSolidFillFmt>
            </c:ext>
            <c:ext xmlns:c16="http://schemas.microsoft.com/office/drawing/2014/chart" uri="{C3380CC4-5D6E-409C-BE32-E72D297353CC}">
              <c16:uniqueId val="{00000002-17F9-449A-84E4-E8E76DC94F50}"/>
            </c:ext>
          </c:extLst>
        </c:ser>
        <c:ser>
          <c:idx val="3"/>
          <c:order val="3"/>
          <c:tx>
            <c:strRef>
              <c:f>Charts!$I$3</c:f>
              <c:strCache>
                <c:ptCount val="1"/>
                <c:pt idx="0">
                  <c:v>Total</c:v>
                </c:pt>
              </c:strCache>
            </c:strRef>
          </c:tx>
          <c:spPr>
            <a:solidFill>
              <a:srgbClr val="1F3864"/>
            </a:solidFill>
            <a:ln w="0">
              <a:noFill/>
            </a:ln>
          </c:spPr>
          <c:invertIfNegative val="1"/>
          <c:dLbls>
            <c:spPr>
              <a:noFill/>
              <a:ln>
                <a:noFill/>
              </a:ln>
              <a:effectLst/>
            </c:spPr>
            <c:txPr>
              <a:bodyPr anchorCtr="1"/>
              <a:lstStyle/>
              <a:p>
                <a:pPr>
                  <a:defRPr sz="1000" b="0" spc="-1">
                    <a:solidFill>
                      <a:srgbClr val="000000"/>
                    </a:solidFill>
                    <a:latin typeface="Arial"/>
                    <a:ea typeface="Arial"/>
                    <a:cs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Charts!$B$4:$B$10</c:f>
              <c:strCache>
                <c:ptCount val="7"/>
                <c:pt idx="0">
                  <c:v>FY25A operating income</c:v>
                </c:pt>
                <c:pt idx="1">
                  <c:v>Financing volume</c:v>
                </c:pt>
                <c:pt idx="2">
                  <c:v>Gross yield</c:v>
                </c:pt>
                <c:pt idx="3">
                  <c:v>Funding cost</c:v>
                </c:pt>
                <c:pt idx="4">
                  <c:v>Fee income</c:v>
                </c:pt>
                <c:pt idx="5">
                  <c:v>Rights-issue capital deployed</c:v>
                </c:pt>
                <c:pt idx="6">
                  <c:v>FY35E operating income</c:v>
                </c:pt>
              </c:strCache>
            </c:strRef>
          </c:cat>
          <c:val>
            <c:numRef>
              <c:f>Charts!$I$4:$I$10</c:f>
              <c:numCache>
                <c:formatCode>#,##0.0</c:formatCode>
                <c:ptCount val="7"/>
                <c:pt idx="0">
                  <c:v>26065.682000000001</c:v>
                </c:pt>
                <c:pt idx="1">
                  <c:v>0</c:v>
                </c:pt>
                <c:pt idx="2">
                  <c:v>0</c:v>
                </c:pt>
                <c:pt idx="3">
                  <c:v>0</c:v>
                </c:pt>
                <c:pt idx="4">
                  <c:v>0</c:v>
                </c:pt>
                <c:pt idx="5">
                  <c:v>0</c:v>
                </c:pt>
                <c:pt idx="6">
                  <c:v>72198.139350070211</c:v>
                </c:pt>
              </c:numCache>
            </c:numRef>
          </c:val>
          <c:extLst>
            <c:ext xmlns:c14="http://schemas.microsoft.com/office/drawing/2007/8/2/chart" uri="{6F2FDCE9-48DA-4B69-8628-5D25D57E5C99}">
              <c14:invertSolidFillFmt>
                <c14:spPr xmlns:c14="http://schemas.microsoft.com/office/drawing/2007/8/2/chart">
                  <a:solidFill>
                    <a:srgbClr val="FFFFFF"/>
                  </a:solidFill>
                  <a:ln w="0">
                    <a:noFill/>
                  </a:ln>
                </c14:spPr>
              </c14:invertSolidFillFmt>
            </c:ext>
            <c:ext xmlns:c16="http://schemas.microsoft.com/office/drawing/2014/chart" uri="{C3380CC4-5D6E-409C-BE32-E72D297353CC}">
              <c16:uniqueId val="{00000003-17F9-449A-84E4-E8E76DC94F50}"/>
            </c:ext>
          </c:extLst>
        </c:ser>
        <c:dLbls>
          <c:showLegendKey val="0"/>
          <c:showVal val="0"/>
          <c:showCatName val="0"/>
          <c:showSerName val="0"/>
          <c:showPercent val="0"/>
          <c:showBubbleSize val="0"/>
        </c:dLbls>
        <c:gapWidth val="150"/>
        <c:overlap val="100"/>
        <c:axId val="5508163"/>
        <c:axId val="85558600"/>
      </c:barChart>
      <c:catAx>
        <c:axId val="5508163"/>
        <c:scaling>
          <c:orientation val="minMax"/>
        </c:scaling>
        <c:delete val="0"/>
        <c:axPos val="b"/>
        <c:numFmt formatCode="General" sourceLinked="0"/>
        <c:majorTickMark val="none"/>
        <c:minorTickMark val="none"/>
        <c:tickLblPos val="nextTo"/>
        <c:spPr>
          <a:ln w="0">
            <a:solidFill>
              <a:srgbClr val="B3B3B3"/>
            </a:solidFill>
          </a:ln>
        </c:spPr>
        <c:txPr>
          <a:bodyPr anchorCtr="1"/>
          <a:lstStyle/>
          <a:p>
            <a:pPr>
              <a:defRPr sz="1000" b="0" spc="-1">
                <a:solidFill>
                  <a:srgbClr val="000000"/>
                </a:solidFill>
                <a:latin typeface="Calibri"/>
                <a:ea typeface="Calibri"/>
                <a:cs typeface="Calibri"/>
              </a:defRPr>
            </a:pPr>
            <a:endParaRPr lang="en-US"/>
          </a:p>
        </c:txPr>
        <c:crossAx val="85558600"/>
        <c:crosses val="autoZero"/>
        <c:auto val="1"/>
        <c:lblAlgn val="ctr"/>
        <c:lblOffset val="100"/>
        <c:noMultiLvlLbl val="1"/>
      </c:catAx>
      <c:valAx>
        <c:axId val="85558600"/>
        <c:scaling>
          <c:orientation val="minMax"/>
        </c:scaling>
        <c:delete val="0"/>
        <c:axPos val="l"/>
        <c:majorGridlines>
          <c:spPr>
            <a:ln w="0">
              <a:solidFill>
                <a:srgbClr val="B3B3B3"/>
              </a:solidFill>
            </a:ln>
          </c:spPr>
        </c:majorGridlines>
        <c:title>
          <c:tx>
            <c:rich>
              <a:bodyPr/>
              <a:lstStyle/>
              <a:p>
                <a:r>
                  <a:rPr sz="1000" b="1" spc="-1">
                    <a:solidFill>
                      <a:srgbClr val="000000"/>
                    </a:solidFill>
                    <a:latin typeface="Calibri"/>
                    <a:ea typeface="Calibri"/>
                    <a:cs typeface="Calibri"/>
                  </a:rPr>
                  <a:t>Rp bn</a:t>
                </a:r>
              </a:p>
            </c:rich>
          </c:tx>
          <c:overlay val="0"/>
        </c:title>
        <c:numFmt formatCode="#,##0.0" sourceLinked="0"/>
        <c:majorTickMark val="none"/>
        <c:minorTickMark val="none"/>
        <c:tickLblPos val="nextTo"/>
        <c:spPr>
          <a:ln w="0">
            <a:solidFill>
              <a:srgbClr val="B3B3B3"/>
            </a:solidFill>
          </a:ln>
        </c:spPr>
        <c:txPr>
          <a:bodyPr anchorCtr="1"/>
          <a:lstStyle/>
          <a:p>
            <a:pPr>
              <a:defRPr sz="1000" b="0" spc="-1">
                <a:solidFill>
                  <a:srgbClr val="000000"/>
                </a:solidFill>
                <a:latin typeface="Calibri"/>
                <a:ea typeface="Calibri"/>
                <a:cs typeface="Calibri"/>
              </a:defRPr>
            </a:pPr>
            <a:endParaRPr lang="en-US"/>
          </a:p>
        </c:txPr>
        <c:crossAx val="5508163"/>
        <c:crosses val="autoZero"/>
        <c:crossBetween val="between"/>
      </c:valAx>
      <c:spPr>
        <a:noFill/>
        <a:ln w="0">
          <a:noFill/>
        </a:ln>
      </c:spPr>
    </c:plotArea>
    <c:legend>
      <c:legendPos val="b"/>
      <c:overlay val="0"/>
      <c:spPr>
        <a:noFill/>
      </c:spPr>
      <c:txPr>
        <a:bodyPr anchorCtr="1"/>
        <a:lstStyle/>
        <a:p>
          <a:pPr>
            <a:defRPr sz="1000" b="0" spc="-1">
              <a:solidFill>
                <a:srgbClr val="000000"/>
              </a:solidFill>
              <a:latin typeface="Calibri"/>
              <a:ea typeface="Calibri"/>
              <a:cs typeface="Calibri"/>
            </a:defRPr>
          </a:pPr>
          <a:endParaRPr lang="en-US"/>
        </a:p>
      </c:txPr>
    </c:legend>
    <c:plotVisOnly val="1"/>
    <c:dispBlanksAs val="zero"/>
    <c:showDLblsOverMax val="1"/>
  </c:chart>
  <c:spPr>
    <a:solidFill>
      <a:srgbClr val="FFFFFF"/>
    </a:solidFill>
    <a:ln w="9360">
      <a:solidFill>
        <a:srgbClr val="D9D9D9"/>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800" b="1" spc="-1">
                <a:solidFill>
                  <a:srgbClr val="000000"/>
                </a:solidFill>
                <a:latin typeface="Calibri"/>
                <a:ea typeface="Calibri"/>
                <a:cs typeface="Calibri"/>
              </a:rPr>
              <a:t>Net margin income bridge FY25A to FY35E (Rp bn)</a:t>
            </a:r>
          </a:p>
        </c:rich>
      </c:tx>
      <c:overlay val="0"/>
    </c:title>
    <c:autoTitleDeleted val="0"/>
    <c:plotArea>
      <c:layout/>
      <c:barChart>
        <c:barDir val="col"/>
        <c:grouping val="stacked"/>
        <c:varyColors val="0"/>
        <c:ser>
          <c:idx val="0"/>
          <c:order val="0"/>
          <c:tx>
            <c:strRef>
              <c:f>Charts!$F$34</c:f>
              <c:strCache>
                <c:ptCount val="1"/>
                <c:pt idx="0">
                  <c:v>Base (hidden)</c:v>
                </c:pt>
              </c:strCache>
            </c:strRef>
          </c:tx>
          <c:spPr>
            <a:noFill/>
            <a:ln w="0">
              <a:noFill/>
            </a:ln>
          </c:spPr>
          <c:invertIfNegative val="1"/>
          <c:dLbls>
            <c:spPr>
              <a:noFill/>
              <a:ln>
                <a:noFill/>
              </a:ln>
              <a:effectLst/>
            </c:spPr>
            <c:txPr>
              <a:bodyPr anchorCtr="1"/>
              <a:lstStyle/>
              <a:p>
                <a:pPr>
                  <a:defRPr sz="1000" b="0" spc="-1">
                    <a:solidFill>
                      <a:srgbClr val="000000"/>
                    </a:solidFill>
                    <a:latin typeface="Arial"/>
                    <a:ea typeface="Arial"/>
                    <a:cs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Charts!$B$35:$B$41</c:f>
              <c:strCache>
                <c:ptCount val="7"/>
                <c:pt idx="0">
                  <c:v>FY25A NMI</c:v>
                </c:pt>
                <c:pt idx="1">
                  <c:v>Earning-asset volume</c:v>
                </c:pt>
                <c:pt idx="2">
                  <c:v>Gross yield</c:v>
                </c:pt>
                <c:pt idx="3">
                  <c:v>Funding volume</c:v>
                </c:pt>
                <c:pt idx="4">
                  <c:v>Funding rate</c:v>
                </c:pt>
                <c:pt idx="5">
                  <c:v>Rights-issue capital deployed</c:v>
                </c:pt>
                <c:pt idx="6">
                  <c:v>FY35E NMI</c:v>
                </c:pt>
              </c:strCache>
            </c:strRef>
          </c:cat>
          <c:val>
            <c:numRef>
              <c:f>Charts!$F$35:$F$41</c:f>
              <c:numCache>
                <c:formatCode>#,##0.0</c:formatCode>
                <c:ptCount val="7"/>
                <c:pt idx="0">
                  <c:v>0</c:v>
                </c:pt>
                <c:pt idx="1">
                  <c:v>19129.086000000003</c:v>
                </c:pt>
                <c:pt idx="2">
                  <c:v>58144.803724095473</c:v>
                </c:pt>
                <c:pt idx="3">
                  <c:v>43870.769889945142</c:v>
                </c:pt>
                <c:pt idx="4">
                  <c:v>43870.769889945142</c:v>
                </c:pt>
                <c:pt idx="5">
                  <c:v>51586.114188226784</c:v>
                </c:pt>
                <c:pt idx="6">
                  <c:v>0</c:v>
                </c:pt>
              </c:numCache>
            </c:numRef>
          </c:val>
          <c:extLst>
            <c:ext xmlns:c16="http://schemas.microsoft.com/office/drawing/2014/chart" uri="{C3380CC4-5D6E-409C-BE32-E72D297353CC}">
              <c16:uniqueId val="{00000000-77C8-4429-9468-256042DF299D}"/>
            </c:ext>
          </c:extLst>
        </c:ser>
        <c:ser>
          <c:idx val="1"/>
          <c:order val="1"/>
          <c:tx>
            <c:strRef>
              <c:f>Charts!$G$34</c:f>
              <c:strCache>
                <c:ptCount val="1"/>
                <c:pt idx="0">
                  <c:v>Increase</c:v>
                </c:pt>
              </c:strCache>
            </c:strRef>
          </c:tx>
          <c:spPr>
            <a:solidFill>
              <a:srgbClr val="2E7D32"/>
            </a:solidFill>
            <a:ln w="0">
              <a:noFill/>
            </a:ln>
          </c:spPr>
          <c:invertIfNegative val="1"/>
          <c:dLbls>
            <c:spPr>
              <a:noFill/>
              <a:ln>
                <a:noFill/>
              </a:ln>
              <a:effectLst/>
            </c:spPr>
            <c:txPr>
              <a:bodyPr anchorCtr="1"/>
              <a:lstStyle/>
              <a:p>
                <a:pPr>
                  <a:defRPr sz="1000" b="0" spc="-1">
                    <a:solidFill>
                      <a:srgbClr val="000000"/>
                    </a:solidFill>
                    <a:latin typeface="Arial"/>
                    <a:ea typeface="Arial"/>
                    <a:cs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Charts!$B$35:$B$41</c:f>
              <c:strCache>
                <c:ptCount val="7"/>
                <c:pt idx="0">
                  <c:v>FY25A NMI</c:v>
                </c:pt>
                <c:pt idx="1">
                  <c:v>Earning-asset volume</c:v>
                </c:pt>
                <c:pt idx="2">
                  <c:v>Gross yield</c:v>
                </c:pt>
                <c:pt idx="3">
                  <c:v>Funding volume</c:v>
                </c:pt>
                <c:pt idx="4">
                  <c:v>Funding rate</c:v>
                </c:pt>
                <c:pt idx="5">
                  <c:v>Rights-issue capital deployed</c:v>
                </c:pt>
                <c:pt idx="6">
                  <c:v>FY35E NMI</c:v>
                </c:pt>
              </c:strCache>
            </c:strRef>
          </c:cat>
          <c:val>
            <c:numRef>
              <c:f>Charts!$G$35:$G$41</c:f>
              <c:numCache>
                <c:formatCode>#,##0.0</c:formatCode>
                <c:ptCount val="7"/>
                <c:pt idx="0">
                  <c:v>0</c:v>
                </c:pt>
                <c:pt idx="1">
                  <c:v>46413.355071242739</c:v>
                </c:pt>
                <c:pt idx="2">
                  <c:v>0</c:v>
                </c:pt>
                <c:pt idx="3">
                  <c:v>0</c:v>
                </c:pt>
                <c:pt idx="4">
                  <c:v>7715.3442982816432</c:v>
                </c:pt>
                <c:pt idx="5">
                  <c:v>575.28</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w="0">
                    <a:noFill/>
                  </a:ln>
                </c14:spPr>
              </c14:invertSolidFillFmt>
            </c:ext>
            <c:ext xmlns:c16="http://schemas.microsoft.com/office/drawing/2014/chart" uri="{C3380CC4-5D6E-409C-BE32-E72D297353CC}">
              <c16:uniqueId val="{00000001-77C8-4429-9468-256042DF299D}"/>
            </c:ext>
          </c:extLst>
        </c:ser>
        <c:ser>
          <c:idx val="2"/>
          <c:order val="2"/>
          <c:tx>
            <c:strRef>
              <c:f>Charts!$H$34</c:f>
              <c:strCache>
                <c:ptCount val="1"/>
                <c:pt idx="0">
                  <c:v>Decrease</c:v>
                </c:pt>
              </c:strCache>
            </c:strRef>
          </c:tx>
          <c:spPr>
            <a:solidFill>
              <a:srgbClr val="C62828"/>
            </a:solidFill>
            <a:ln w="0">
              <a:noFill/>
            </a:ln>
          </c:spPr>
          <c:invertIfNegative val="1"/>
          <c:dLbls>
            <c:spPr>
              <a:noFill/>
              <a:ln>
                <a:noFill/>
              </a:ln>
              <a:effectLst/>
            </c:spPr>
            <c:txPr>
              <a:bodyPr anchorCtr="1"/>
              <a:lstStyle/>
              <a:p>
                <a:pPr>
                  <a:defRPr sz="1000" b="0" spc="-1">
                    <a:solidFill>
                      <a:srgbClr val="000000"/>
                    </a:solidFill>
                    <a:latin typeface="Arial"/>
                    <a:ea typeface="Arial"/>
                    <a:cs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Charts!$B$35:$B$41</c:f>
              <c:strCache>
                <c:ptCount val="7"/>
                <c:pt idx="0">
                  <c:v>FY25A NMI</c:v>
                </c:pt>
                <c:pt idx="1">
                  <c:v>Earning-asset volume</c:v>
                </c:pt>
                <c:pt idx="2">
                  <c:v>Gross yield</c:v>
                </c:pt>
                <c:pt idx="3">
                  <c:v>Funding volume</c:v>
                </c:pt>
                <c:pt idx="4">
                  <c:v>Funding rate</c:v>
                </c:pt>
                <c:pt idx="5">
                  <c:v>Rights-issue capital deployed</c:v>
                </c:pt>
                <c:pt idx="6">
                  <c:v>FY35E NMI</c:v>
                </c:pt>
              </c:strCache>
            </c:strRef>
          </c:cat>
          <c:val>
            <c:numRef>
              <c:f>Charts!$H$35:$H$41</c:f>
              <c:numCache>
                <c:formatCode>#,##0.0</c:formatCode>
                <c:ptCount val="7"/>
                <c:pt idx="0">
                  <c:v>0</c:v>
                </c:pt>
                <c:pt idx="1">
                  <c:v>0</c:v>
                </c:pt>
                <c:pt idx="2">
                  <c:v>7397.6373471472652</c:v>
                </c:pt>
                <c:pt idx="3">
                  <c:v>14274.033834150328</c:v>
                </c:pt>
                <c:pt idx="4">
                  <c:v>0</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w="0">
                    <a:noFill/>
                  </a:ln>
                </c14:spPr>
              </c14:invertSolidFillFmt>
            </c:ext>
            <c:ext xmlns:c16="http://schemas.microsoft.com/office/drawing/2014/chart" uri="{C3380CC4-5D6E-409C-BE32-E72D297353CC}">
              <c16:uniqueId val="{00000002-77C8-4429-9468-256042DF299D}"/>
            </c:ext>
          </c:extLst>
        </c:ser>
        <c:ser>
          <c:idx val="3"/>
          <c:order val="3"/>
          <c:tx>
            <c:strRef>
              <c:f>Charts!$I$34</c:f>
              <c:strCache>
                <c:ptCount val="1"/>
                <c:pt idx="0">
                  <c:v>Total</c:v>
                </c:pt>
              </c:strCache>
            </c:strRef>
          </c:tx>
          <c:spPr>
            <a:solidFill>
              <a:srgbClr val="1F3864"/>
            </a:solidFill>
            <a:ln w="0">
              <a:noFill/>
            </a:ln>
          </c:spPr>
          <c:invertIfNegative val="1"/>
          <c:dLbls>
            <c:spPr>
              <a:noFill/>
              <a:ln>
                <a:noFill/>
              </a:ln>
              <a:effectLst/>
            </c:spPr>
            <c:txPr>
              <a:bodyPr anchorCtr="1"/>
              <a:lstStyle/>
              <a:p>
                <a:pPr>
                  <a:defRPr sz="1000" b="0" spc="-1">
                    <a:solidFill>
                      <a:srgbClr val="000000"/>
                    </a:solidFill>
                    <a:latin typeface="Arial"/>
                    <a:ea typeface="Arial"/>
                    <a:cs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Charts!$B$35:$B$41</c:f>
              <c:strCache>
                <c:ptCount val="7"/>
                <c:pt idx="0">
                  <c:v>FY25A NMI</c:v>
                </c:pt>
                <c:pt idx="1">
                  <c:v>Earning-asset volume</c:v>
                </c:pt>
                <c:pt idx="2">
                  <c:v>Gross yield</c:v>
                </c:pt>
                <c:pt idx="3">
                  <c:v>Funding volume</c:v>
                </c:pt>
                <c:pt idx="4">
                  <c:v>Funding rate</c:v>
                </c:pt>
                <c:pt idx="5">
                  <c:v>Rights-issue capital deployed</c:v>
                </c:pt>
                <c:pt idx="6">
                  <c:v>FY35E NMI</c:v>
                </c:pt>
              </c:strCache>
            </c:strRef>
          </c:cat>
          <c:val>
            <c:numRef>
              <c:f>Charts!$I$35:$I$41</c:f>
              <c:numCache>
                <c:formatCode>#,##0.0</c:formatCode>
                <c:ptCount val="7"/>
                <c:pt idx="0">
                  <c:v>19129.086000000003</c:v>
                </c:pt>
                <c:pt idx="1">
                  <c:v>0</c:v>
                </c:pt>
                <c:pt idx="2">
                  <c:v>0</c:v>
                </c:pt>
                <c:pt idx="3">
                  <c:v>0</c:v>
                </c:pt>
                <c:pt idx="4">
                  <c:v>0</c:v>
                </c:pt>
                <c:pt idx="5">
                  <c:v>0</c:v>
                </c:pt>
                <c:pt idx="6">
                  <c:v>52161.394188226783</c:v>
                </c:pt>
              </c:numCache>
            </c:numRef>
          </c:val>
          <c:extLst>
            <c:ext xmlns:c14="http://schemas.microsoft.com/office/drawing/2007/8/2/chart" uri="{6F2FDCE9-48DA-4B69-8628-5D25D57E5C99}">
              <c14:invertSolidFillFmt>
                <c14:spPr xmlns:c14="http://schemas.microsoft.com/office/drawing/2007/8/2/chart">
                  <a:solidFill>
                    <a:srgbClr val="FFFFFF"/>
                  </a:solidFill>
                  <a:ln w="0">
                    <a:noFill/>
                  </a:ln>
                </c14:spPr>
              </c14:invertSolidFillFmt>
            </c:ext>
            <c:ext xmlns:c16="http://schemas.microsoft.com/office/drawing/2014/chart" uri="{C3380CC4-5D6E-409C-BE32-E72D297353CC}">
              <c16:uniqueId val="{00000003-77C8-4429-9468-256042DF299D}"/>
            </c:ext>
          </c:extLst>
        </c:ser>
        <c:dLbls>
          <c:showLegendKey val="0"/>
          <c:showVal val="0"/>
          <c:showCatName val="0"/>
          <c:showSerName val="0"/>
          <c:showPercent val="0"/>
          <c:showBubbleSize val="0"/>
        </c:dLbls>
        <c:gapWidth val="150"/>
        <c:overlap val="100"/>
        <c:axId val="62962081"/>
        <c:axId val="56888590"/>
      </c:barChart>
      <c:catAx>
        <c:axId val="62962081"/>
        <c:scaling>
          <c:orientation val="minMax"/>
        </c:scaling>
        <c:delete val="0"/>
        <c:axPos val="b"/>
        <c:numFmt formatCode="General" sourceLinked="0"/>
        <c:majorTickMark val="none"/>
        <c:minorTickMark val="none"/>
        <c:tickLblPos val="nextTo"/>
        <c:spPr>
          <a:ln w="0">
            <a:solidFill>
              <a:srgbClr val="B3B3B3"/>
            </a:solidFill>
          </a:ln>
        </c:spPr>
        <c:txPr>
          <a:bodyPr anchorCtr="1"/>
          <a:lstStyle/>
          <a:p>
            <a:pPr>
              <a:defRPr sz="1000" b="0" spc="-1">
                <a:solidFill>
                  <a:srgbClr val="000000"/>
                </a:solidFill>
                <a:latin typeface="Calibri"/>
                <a:ea typeface="Calibri"/>
                <a:cs typeface="Calibri"/>
              </a:defRPr>
            </a:pPr>
            <a:endParaRPr lang="en-US"/>
          </a:p>
        </c:txPr>
        <c:crossAx val="56888590"/>
        <c:crosses val="autoZero"/>
        <c:auto val="1"/>
        <c:lblAlgn val="ctr"/>
        <c:lblOffset val="100"/>
        <c:noMultiLvlLbl val="1"/>
      </c:catAx>
      <c:valAx>
        <c:axId val="56888590"/>
        <c:scaling>
          <c:orientation val="minMax"/>
        </c:scaling>
        <c:delete val="0"/>
        <c:axPos val="l"/>
        <c:majorGridlines>
          <c:spPr>
            <a:ln w="0">
              <a:solidFill>
                <a:srgbClr val="B3B3B3"/>
              </a:solidFill>
            </a:ln>
          </c:spPr>
        </c:majorGridlines>
        <c:title>
          <c:tx>
            <c:rich>
              <a:bodyPr/>
              <a:lstStyle/>
              <a:p>
                <a:r>
                  <a:rPr sz="1000" b="1" spc="-1">
                    <a:solidFill>
                      <a:srgbClr val="000000"/>
                    </a:solidFill>
                    <a:latin typeface="Calibri"/>
                    <a:ea typeface="Calibri"/>
                    <a:cs typeface="Calibri"/>
                  </a:rPr>
                  <a:t>Rp bn</a:t>
                </a:r>
              </a:p>
            </c:rich>
          </c:tx>
          <c:overlay val="0"/>
        </c:title>
        <c:numFmt formatCode="#,##0.0" sourceLinked="0"/>
        <c:majorTickMark val="none"/>
        <c:minorTickMark val="none"/>
        <c:tickLblPos val="nextTo"/>
        <c:spPr>
          <a:ln w="0">
            <a:solidFill>
              <a:srgbClr val="B3B3B3"/>
            </a:solidFill>
          </a:ln>
        </c:spPr>
        <c:txPr>
          <a:bodyPr anchorCtr="1"/>
          <a:lstStyle/>
          <a:p>
            <a:pPr>
              <a:defRPr sz="1000" b="0" spc="-1">
                <a:solidFill>
                  <a:srgbClr val="000000"/>
                </a:solidFill>
                <a:latin typeface="Calibri"/>
                <a:ea typeface="Calibri"/>
                <a:cs typeface="Calibri"/>
              </a:defRPr>
            </a:pPr>
            <a:endParaRPr lang="en-US"/>
          </a:p>
        </c:txPr>
        <c:crossAx val="62962081"/>
        <c:crosses val="autoZero"/>
        <c:crossBetween val="between"/>
      </c:valAx>
      <c:spPr>
        <a:noFill/>
        <a:ln w="0">
          <a:noFill/>
        </a:ln>
      </c:spPr>
    </c:plotArea>
    <c:legend>
      <c:legendPos val="b"/>
      <c:overlay val="0"/>
      <c:spPr>
        <a:noFill/>
      </c:spPr>
      <c:txPr>
        <a:bodyPr anchorCtr="1"/>
        <a:lstStyle/>
        <a:p>
          <a:pPr>
            <a:defRPr sz="1000" b="0" spc="-1">
              <a:solidFill>
                <a:srgbClr val="000000"/>
              </a:solidFill>
              <a:latin typeface="Calibri"/>
              <a:ea typeface="Calibri"/>
              <a:cs typeface="Calibri"/>
            </a:defRPr>
          </a:pPr>
          <a:endParaRPr lang="en-US"/>
        </a:p>
      </c:txPr>
    </c:legend>
    <c:plotVisOnly val="1"/>
    <c:dispBlanksAs val="zero"/>
    <c:showDLblsOverMax val="1"/>
  </c:chart>
  <c:spPr>
    <a:solidFill>
      <a:srgbClr val="FFFFFF"/>
    </a:solidFill>
    <a:ln w="9360">
      <a:solidFill>
        <a:srgbClr val="D9D9D9"/>
      </a:solid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800" b="1" spc="-1">
                <a:solidFill>
                  <a:srgbClr val="000000"/>
                </a:solidFill>
                <a:latin typeface="Calibri"/>
                <a:ea typeface="Calibri"/>
                <a:cs typeface="Calibri"/>
              </a:rPr>
              <a:t>Revenue to net profit FY35E (Rp bn)</a:t>
            </a:r>
          </a:p>
        </c:rich>
      </c:tx>
      <c:overlay val="0"/>
    </c:title>
    <c:autoTitleDeleted val="0"/>
    <c:plotArea>
      <c:layout/>
      <c:barChart>
        <c:barDir val="col"/>
        <c:grouping val="stacked"/>
        <c:varyColors val="0"/>
        <c:ser>
          <c:idx val="0"/>
          <c:order val="0"/>
          <c:tx>
            <c:strRef>
              <c:f>Charts!$F$65</c:f>
              <c:strCache>
                <c:ptCount val="1"/>
                <c:pt idx="0">
                  <c:v>Base (hidden)</c:v>
                </c:pt>
              </c:strCache>
            </c:strRef>
          </c:tx>
          <c:spPr>
            <a:noFill/>
            <a:ln w="0">
              <a:noFill/>
            </a:ln>
          </c:spPr>
          <c:invertIfNegative val="1"/>
          <c:dLbls>
            <c:spPr>
              <a:noFill/>
              <a:ln>
                <a:noFill/>
              </a:ln>
              <a:effectLst/>
            </c:spPr>
            <c:txPr>
              <a:bodyPr anchorCtr="1"/>
              <a:lstStyle/>
              <a:p>
                <a:pPr>
                  <a:defRPr sz="1000" b="0" spc="-1">
                    <a:solidFill>
                      <a:srgbClr val="000000"/>
                    </a:solidFill>
                    <a:latin typeface="Arial"/>
                    <a:ea typeface="Arial"/>
                    <a:cs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Charts!$B$66:$B$72</c:f>
              <c:strCache>
                <c:ptCount val="7"/>
                <c:pt idx="0">
                  <c:v>Gross margin income</c:v>
                </c:pt>
                <c:pt idx="1">
                  <c:v>Profit-sharing expense</c:v>
                </c:pt>
                <c:pt idx="2">
                  <c:v>Fee income</c:v>
                </c:pt>
                <c:pt idx="3">
                  <c:v>Overhead</c:v>
                </c:pt>
                <c:pt idx="4">
                  <c:v>Provisions</c:v>
                </c:pt>
                <c:pt idx="5">
                  <c:v>Tax &amp; other</c:v>
                </c:pt>
                <c:pt idx="6">
                  <c:v>Net profit FY35E</c:v>
                </c:pt>
              </c:strCache>
            </c:strRef>
          </c:cat>
          <c:val>
            <c:numRef>
              <c:f>Charts!$F$66:$F$72</c:f>
              <c:numCache>
                <c:formatCode>#,##0.0</c:formatCode>
                <c:ptCount val="7"/>
                <c:pt idx="0">
                  <c:v>0</c:v>
                </c:pt>
                <c:pt idx="1">
                  <c:v>52161.394188226783</c:v>
                </c:pt>
                <c:pt idx="2">
                  <c:v>52161.394188226783</c:v>
                </c:pt>
                <c:pt idx="3">
                  <c:v>35738.078978284757</c:v>
                </c:pt>
                <c:pt idx="4">
                  <c:v>29819.969100566941</c:v>
                </c:pt>
                <c:pt idx="5">
                  <c:v>22490.829277407418</c:v>
                </c:pt>
                <c:pt idx="6">
                  <c:v>0</c:v>
                </c:pt>
              </c:numCache>
            </c:numRef>
          </c:val>
          <c:extLst>
            <c:ext xmlns:c16="http://schemas.microsoft.com/office/drawing/2014/chart" uri="{C3380CC4-5D6E-409C-BE32-E72D297353CC}">
              <c16:uniqueId val="{00000000-9472-4E65-A3DE-DF07B5235EB4}"/>
            </c:ext>
          </c:extLst>
        </c:ser>
        <c:ser>
          <c:idx val="1"/>
          <c:order val="1"/>
          <c:tx>
            <c:strRef>
              <c:f>Charts!$G$65</c:f>
              <c:strCache>
                <c:ptCount val="1"/>
                <c:pt idx="0">
                  <c:v>Increase</c:v>
                </c:pt>
              </c:strCache>
            </c:strRef>
          </c:tx>
          <c:spPr>
            <a:solidFill>
              <a:srgbClr val="2E7D32"/>
            </a:solidFill>
            <a:ln w="0">
              <a:noFill/>
            </a:ln>
          </c:spPr>
          <c:invertIfNegative val="1"/>
          <c:dLbls>
            <c:spPr>
              <a:noFill/>
              <a:ln>
                <a:noFill/>
              </a:ln>
              <a:effectLst/>
            </c:spPr>
            <c:txPr>
              <a:bodyPr anchorCtr="1"/>
              <a:lstStyle/>
              <a:p>
                <a:pPr>
                  <a:defRPr sz="1000" b="0" spc="-1">
                    <a:solidFill>
                      <a:srgbClr val="000000"/>
                    </a:solidFill>
                    <a:latin typeface="Arial"/>
                    <a:ea typeface="Arial"/>
                    <a:cs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Charts!$B$66:$B$72</c:f>
              <c:strCache>
                <c:ptCount val="7"/>
                <c:pt idx="0">
                  <c:v>Gross margin income</c:v>
                </c:pt>
                <c:pt idx="1">
                  <c:v>Profit-sharing expense</c:v>
                </c:pt>
                <c:pt idx="2">
                  <c:v>Fee income</c:v>
                </c:pt>
                <c:pt idx="3">
                  <c:v>Overhead</c:v>
                </c:pt>
                <c:pt idx="4">
                  <c:v>Provisions</c:v>
                </c:pt>
                <c:pt idx="5">
                  <c:v>Tax &amp; other</c:v>
                </c:pt>
                <c:pt idx="6">
                  <c:v>Net profit FY35E</c:v>
                </c:pt>
              </c:strCache>
            </c:strRef>
          </c:cat>
          <c:val>
            <c:numRef>
              <c:f>Charts!$G$66:$G$72</c:f>
              <c:numCache>
                <c:formatCode>#,##0.0</c:formatCode>
                <c:ptCount val="7"/>
                <c:pt idx="0">
                  <c:v>0</c:v>
                </c:pt>
                <c:pt idx="1">
                  <c:v>0</c:v>
                </c:pt>
                <c:pt idx="2">
                  <c:v>20036.745161843428</c:v>
                </c:pt>
                <c:pt idx="3">
                  <c:v>0</c:v>
                </c:pt>
                <c:pt idx="4">
                  <c:v>0</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w="0">
                    <a:noFill/>
                  </a:ln>
                </c14:spPr>
              </c14:invertSolidFillFmt>
            </c:ext>
            <c:ext xmlns:c16="http://schemas.microsoft.com/office/drawing/2014/chart" uri="{C3380CC4-5D6E-409C-BE32-E72D297353CC}">
              <c16:uniqueId val="{00000001-9472-4E65-A3DE-DF07B5235EB4}"/>
            </c:ext>
          </c:extLst>
        </c:ser>
        <c:ser>
          <c:idx val="2"/>
          <c:order val="2"/>
          <c:tx>
            <c:strRef>
              <c:f>Charts!$H$65</c:f>
              <c:strCache>
                <c:ptCount val="1"/>
                <c:pt idx="0">
                  <c:v>Decrease</c:v>
                </c:pt>
              </c:strCache>
            </c:strRef>
          </c:tx>
          <c:spPr>
            <a:solidFill>
              <a:srgbClr val="C62828"/>
            </a:solidFill>
            <a:ln w="0">
              <a:noFill/>
            </a:ln>
          </c:spPr>
          <c:invertIfNegative val="1"/>
          <c:dLbls>
            <c:spPr>
              <a:noFill/>
              <a:ln>
                <a:noFill/>
              </a:ln>
              <a:effectLst/>
            </c:spPr>
            <c:txPr>
              <a:bodyPr anchorCtr="1"/>
              <a:lstStyle/>
              <a:p>
                <a:pPr>
                  <a:defRPr sz="1000" b="0" spc="-1">
                    <a:solidFill>
                      <a:srgbClr val="000000"/>
                    </a:solidFill>
                    <a:latin typeface="Arial"/>
                    <a:ea typeface="Arial"/>
                    <a:cs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Charts!$B$66:$B$72</c:f>
              <c:strCache>
                <c:ptCount val="7"/>
                <c:pt idx="0">
                  <c:v>Gross margin income</c:v>
                </c:pt>
                <c:pt idx="1">
                  <c:v>Profit-sharing expense</c:v>
                </c:pt>
                <c:pt idx="2">
                  <c:v>Fee income</c:v>
                </c:pt>
                <c:pt idx="3">
                  <c:v>Overhead</c:v>
                </c:pt>
                <c:pt idx="4">
                  <c:v>Provisions</c:v>
                </c:pt>
                <c:pt idx="5">
                  <c:v>Tax &amp; other</c:v>
                </c:pt>
                <c:pt idx="6">
                  <c:v>Net profit FY35E</c:v>
                </c:pt>
              </c:strCache>
            </c:strRef>
          </c:cat>
          <c:val>
            <c:numRef>
              <c:f>Charts!$H$66:$H$72</c:f>
              <c:numCache>
                <c:formatCode>#,##0.0</c:formatCode>
                <c:ptCount val="7"/>
                <c:pt idx="0">
                  <c:v>0</c:v>
                </c:pt>
                <c:pt idx="1">
                  <c:v>15695.094535868686</c:v>
                </c:pt>
                <c:pt idx="2">
                  <c:v>0</c:v>
                </c:pt>
                <c:pt idx="3">
                  <c:v>36460.060371785454</c:v>
                </c:pt>
                <c:pt idx="4">
                  <c:v>5918.1098777178149</c:v>
                </c:pt>
                <c:pt idx="5">
                  <c:v>7329.1398231595222</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w="0">
                    <a:noFill/>
                  </a:ln>
                </c14:spPr>
              </c14:invertSolidFillFmt>
            </c:ext>
            <c:ext xmlns:c16="http://schemas.microsoft.com/office/drawing/2014/chart" uri="{C3380CC4-5D6E-409C-BE32-E72D297353CC}">
              <c16:uniqueId val="{00000002-9472-4E65-A3DE-DF07B5235EB4}"/>
            </c:ext>
          </c:extLst>
        </c:ser>
        <c:ser>
          <c:idx val="3"/>
          <c:order val="3"/>
          <c:tx>
            <c:strRef>
              <c:f>Charts!$I$65</c:f>
              <c:strCache>
                <c:ptCount val="1"/>
                <c:pt idx="0">
                  <c:v>Total</c:v>
                </c:pt>
              </c:strCache>
            </c:strRef>
          </c:tx>
          <c:spPr>
            <a:solidFill>
              <a:srgbClr val="1F3864"/>
            </a:solidFill>
            <a:ln w="0">
              <a:noFill/>
            </a:ln>
          </c:spPr>
          <c:invertIfNegative val="1"/>
          <c:dLbls>
            <c:spPr>
              <a:noFill/>
              <a:ln>
                <a:noFill/>
              </a:ln>
              <a:effectLst/>
            </c:spPr>
            <c:txPr>
              <a:bodyPr anchorCtr="1"/>
              <a:lstStyle/>
              <a:p>
                <a:pPr>
                  <a:defRPr sz="1000" b="0" spc="-1">
                    <a:solidFill>
                      <a:srgbClr val="000000"/>
                    </a:solidFill>
                    <a:latin typeface="Arial"/>
                    <a:ea typeface="Arial"/>
                    <a:cs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Charts!$B$66:$B$72</c:f>
              <c:strCache>
                <c:ptCount val="7"/>
                <c:pt idx="0">
                  <c:v>Gross margin income</c:v>
                </c:pt>
                <c:pt idx="1">
                  <c:v>Profit-sharing expense</c:v>
                </c:pt>
                <c:pt idx="2">
                  <c:v>Fee income</c:v>
                </c:pt>
                <c:pt idx="3">
                  <c:v>Overhead</c:v>
                </c:pt>
                <c:pt idx="4">
                  <c:v>Provisions</c:v>
                </c:pt>
                <c:pt idx="5">
                  <c:v>Tax &amp; other</c:v>
                </c:pt>
                <c:pt idx="6">
                  <c:v>Net profit FY35E</c:v>
                </c:pt>
              </c:strCache>
            </c:strRef>
          </c:cat>
          <c:val>
            <c:numRef>
              <c:f>Charts!$I$66:$I$72</c:f>
              <c:numCache>
                <c:formatCode>#,##0.0</c:formatCode>
                <c:ptCount val="7"/>
                <c:pt idx="0">
                  <c:v>67856.48872409547</c:v>
                </c:pt>
                <c:pt idx="1">
                  <c:v>0</c:v>
                </c:pt>
                <c:pt idx="2">
                  <c:v>0</c:v>
                </c:pt>
                <c:pt idx="3">
                  <c:v>0</c:v>
                </c:pt>
                <c:pt idx="4">
                  <c:v>0</c:v>
                </c:pt>
                <c:pt idx="5">
                  <c:v>0</c:v>
                </c:pt>
                <c:pt idx="6">
                  <c:v>22490.829277407418</c:v>
                </c:pt>
              </c:numCache>
            </c:numRef>
          </c:val>
          <c:extLst>
            <c:ext xmlns:c14="http://schemas.microsoft.com/office/drawing/2007/8/2/chart" uri="{6F2FDCE9-48DA-4B69-8628-5D25D57E5C99}">
              <c14:invertSolidFillFmt>
                <c14:spPr xmlns:c14="http://schemas.microsoft.com/office/drawing/2007/8/2/chart">
                  <a:solidFill>
                    <a:srgbClr val="FFFFFF"/>
                  </a:solidFill>
                  <a:ln w="0">
                    <a:noFill/>
                  </a:ln>
                </c14:spPr>
              </c14:invertSolidFillFmt>
            </c:ext>
            <c:ext xmlns:c16="http://schemas.microsoft.com/office/drawing/2014/chart" uri="{C3380CC4-5D6E-409C-BE32-E72D297353CC}">
              <c16:uniqueId val="{00000003-9472-4E65-A3DE-DF07B5235EB4}"/>
            </c:ext>
          </c:extLst>
        </c:ser>
        <c:dLbls>
          <c:showLegendKey val="0"/>
          <c:showVal val="0"/>
          <c:showCatName val="0"/>
          <c:showSerName val="0"/>
          <c:showPercent val="0"/>
          <c:showBubbleSize val="0"/>
        </c:dLbls>
        <c:gapWidth val="150"/>
        <c:overlap val="100"/>
        <c:axId val="18948225"/>
        <c:axId val="67500859"/>
      </c:barChart>
      <c:catAx>
        <c:axId val="18948225"/>
        <c:scaling>
          <c:orientation val="minMax"/>
        </c:scaling>
        <c:delete val="0"/>
        <c:axPos val="b"/>
        <c:numFmt formatCode="General" sourceLinked="0"/>
        <c:majorTickMark val="none"/>
        <c:minorTickMark val="none"/>
        <c:tickLblPos val="nextTo"/>
        <c:spPr>
          <a:ln w="0">
            <a:solidFill>
              <a:srgbClr val="B3B3B3"/>
            </a:solidFill>
          </a:ln>
        </c:spPr>
        <c:txPr>
          <a:bodyPr anchorCtr="1"/>
          <a:lstStyle/>
          <a:p>
            <a:pPr>
              <a:defRPr sz="1000" b="0" spc="-1">
                <a:solidFill>
                  <a:srgbClr val="000000"/>
                </a:solidFill>
                <a:latin typeface="Calibri"/>
                <a:ea typeface="Calibri"/>
                <a:cs typeface="Calibri"/>
              </a:defRPr>
            </a:pPr>
            <a:endParaRPr lang="en-US"/>
          </a:p>
        </c:txPr>
        <c:crossAx val="67500859"/>
        <c:crosses val="autoZero"/>
        <c:auto val="1"/>
        <c:lblAlgn val="ctr"/>
        <c:lblOffset val="100"/>
        <c:noMultiLvlLbl val="1"/>
      </c:catAx>
      <c:valAx>
        <c:axId val="67500859"/>
        <c:scaling>
          <c:orientation val="minMax"/>
        </c:scaling>
        <c:delete val="0"/>
        <c:axPos val="l"/>
        <c:majorGridlines>
          <c:spPr>
            <a:ln w="0">
              <a:solidFill>
                <a:srgbClr val="B3B3B3"/>
              </a:solidFill>
            </a:ln>
          </c:spPr>
        </c:majorGridlines>
        <c:title>
          <c:tx>
            <c:rich>
              <a:bodyPr/>
              <a:lstStyle/>
              <a:p>
                <a:r>
                  <a:rPr sz="1000" b="1" spc="-1">
                    <a:solidFill>
                      <a:srgbClr val="000000"/>
                    </a:solidFill>
                    <a:latin typeface="Calibri"/>
                    <a:ea typeface="Calibri"/>
                    <a:cs typeface="Calibri"/>
                  </a:rPr>
                  <a:t>Rp bn</a:t>
                </a:r>
              </a:p>
            </c:rich>
          </c:tx>
          <c:overlay val="0"/>
        </c:title>
        <c:numFmt formatCode="#,##0.0" sourceLinked="0"/>
        <c:majorTickMark val="none"/>
        <c:minorTickMark val="none"/>
        <c:tickLblPos val="nextTo"/>
        <c:spPr>
          <a:ln w="0">
            <a:solidFill>
              <a:srgbClr val="B3B3B3"/>
            </a:solidFill>
          </a:ln>
        </c:spPr>
        <c:txPr>
          <a:bodyPr anchorCtr="1"/>
          <a:lstStyle/>
          <a:p>
            <a:pPr>
              <a:defRPr sz="1000" b="0" spc="-1">
                <a:solidFill>
                  <a:srgbClr val="000000"/>
                </a:solidFill>
                <a:latin typeface="Calibri"/>
                <a:ea typeface="Calibri"/>
                <a:cs typeface="Calibri"/>
              </a:defRPr>
            </a:pPr>
            <a:endParaRPr lang="en-US"/>
          </a:p>
        </c:txPr>
        <c:crossAx val="18948225"/>
        <c:crosses val="autoZero"/>
        <c:crossBetween val="between"/>
      </c:valAx>
      <c:spPr>
        <a:noFill/>
        <a:ln w="0">
          <a:noFill/>
        </a:ln>
      </c:spPr>
    </c:plotArea>
    <c:legend>
      <c:legendPos val="b"/>
      <c:overlay val="0"/>
      <c:spPr>
        <a:noFill/>
      </c:spPr>
      <c:txPr>
        <a:bodyPr anchorCtr="1"/>
        <a:lstStyle/>
        <a:p>
          <a:pPr>
            <a:defRPr sz="1000" b="0" spc="-1">
              <a:solidFill>
                <a:srgbClr val="000000"/>
              </a:solidFill>
              <a:latin typeface="Calibri"/>
              <a:ea typeface="Calibri"/>
              <a:cs typeface="Calibri"/>
            </a:defRPr>
          </a:pPr>
          <a:endParaRPr lang="en-US"/>
        </a:p>
      </c:txPr>
    </c:legend>
    <c:plotVisOnly val="1"/>
    <c:dispBlanksAs val="zero"/>
    <c:showDLblsOverMax val="1"/>
  </c:chart>
  <c:spPr>
    <a:solidFill>
      <a:srgbClr val="FFFFFF"/>
    </a:solidFill>
    <a:ln w="9360">
      <a:solidFill>
        <a:srgbClr val="D9D9D9"/>
      </a:solid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800" b="1" spc="-1">
                <a:solidFill>
                  <a:srgbClr val="000000"/>
                </a:solidFill>
                <a:latin typeface="Calibri"/>
                <a:ea typeface="Calibri"/>
                <a:cs typeface="Calibri"/>
              </a:rPr>
              <a:t>ROE walk FY25A to FY35E</a:t>
            </a:r>
          </a:p>
        </c:rich>
      </c:tx>
      <c:overlay val="0"/>
    </c:title>
    <c:autoTitleDeleted val="0"/>
    <c:plotArea>
      <c:layout/>
      <c:barChart>
        <c:barDir val="col"/>
        <c:grouping val="stacked"/>
        <c:varyColors val="0"/>
        <c:ser>
          <c:idx val="0"/>
          <c:order val="0"/>
          <c:tx>
            <c:strRef>
              <c:f>Charts!$F$96</c:f>
              <c:strCache>
                <c:ptCount val="1"/>
                <c:pt idx="0">
                  <c:v>Base (hidden)</c:v>
                </c:pt>
              </c:strCache>
            </c:strRef>
          </c:tx>
          <c:spPr>
            <a:noFill/>
            <a:ln w="0">
              <a:noFill/>
            </a:ln>
          </c:spPr>
          <c:invertIfNegative val="1"/>
          <c:dLbls>
            <c:spPr>
              <a:noFill/>
              <a:ln>
                <a:noFill/>
              </a:ln>
              <a:effectLst/>
            </c:spPr>
            <c:txPr>
              <a:bodyPr anchorCtr="1"/>
              <a:lstStyle/>
              <a:p>
                <a:pPr>
                  <a:defRPr sz="1000" b="0" spc="-1">
                    <a:solidFill>
                      <a:srgbClr val="000000"/>
                    </a:solidFill>
                    <a:latin typeface="Arial"/>
                    <a:ea typeface="Arial"/>
                    <a:cs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Charts!$B$97:$B$103</c:f>
              <c:strCache>
                <c:ptCount val="7"/>
                <c:pt idx="0">
                  <c:v>FY25A ROE</c:v>
                </c:pt>
                <c:pt idx="1">
                  <c:v>NMI / equity</c:v>
                </c:pt>
                <c:pt idx="2">
                  <c:v>Fees / equity</c:v>
                </c:pt>
                <c:pt idx="3">
                  <c:v>Overhead / equity</c:v>
                </c:pt>
                <c:pt idx="4">
                  <c:v>Provisions / equity</c:v>
                </c:pt>
                <c:pt idx="5">
                  <c:v>Tax / equity</c:v>
                </c:pt>
                <c:pt idx="6">
                  <c:v>FY35E ROE</c:v>
                </c:pt>
              </c:strCache>
            </c:strRef>
          </c:cat>
          <c:val>
            <c:numRef>
              <c:f>Charts!$F$97:$F$103</c:f>
              <c:numCache>
                <c:formatCode>#,##0.0</c:formatCode>
                <c:ptCount val="7"/>
                <c:pt idx="0">
                  <c:v>0</c:v>
                </c:pt>
                <c:pt idx="1">
                  <c:v>0.10066834659407403</c:v>
                </c:pt>
                <c:pt idx="2">
                  <c:v>8.7882424467364384E-2</c:v>
                </c:pt>
                <c:pt idx="3">
                  <c:v>8.7882424467364384E-2</c:v>
                </c:pt>
                <c:pt idx="4">
                  <c:v>0.13338619833761084</c:v>
                </c:pt>
                <c:pt idx="5">
                  <c:v>0.14351641603774665</c:v>
                </c:pt>
                <c:pt idx="6">
                  <c:v>0</c:v>
                </c:pt>
              </c:numCache>
            </c:numRef>
          </c:val>
          <c:extLst>
            <c:ext xmlns:c16="http://schemas.microsoft.com/office/drawing/2014/chart" uri="{C3380CC4-5D6E-409C-BE32-E72D297353CC}">
              <c16:uniqueId val="{00000000-2133-4B89-B822-A7D33557CEBA}"/>
            </c:ext>
          </c:extLst>
        </c:ser>
        <c:ser>
          <c:idx val="1"/>
          <c:order val="1"/>
          <c:tx>
            <c:strRef>
              <c:f>Charts!$G$96</c:f>
              <c:strCache>
                <c:ptCount val="1"/>
                <c:pt idx="0">
                  <c:v>Increase</c:v>
                </c:pt>
              </c:strCache>
            </c:strRef>
          </c:tx>
          <c:spPr>
            <a:solidFill>
              <a:srgbClr val="2E7D32"/>
            </a:solidFill>
            <a:ln w="0">
              <a:noFill/>
            </a:ln>
          </c:spPr>
          <c:invertIfNegative val="1"/>
          <c:dLbls>
            <c:spPr>
              <a:noFill/>
              <a:ln>
                <a:noFill/>
              </a:ln>
              <a:effectLst/>
            </c:spPr>
            <c:txPr>
              <a:bodyPr anchorCtr="1"/>
              <a:lstStyle/>
              <a:p>
                <a:pPr>
                  <a:defRPr sz="1000" b="0" spc="-1">
                    <a:solidFill>
                      <a:srgbClr val="000000"/>
                    </a:solidFill>
                    <a:latin typeface="Arial"/>
                    <a:ea typeface="Arial"/>
                    <a:cs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Charts!$B$97:$B$103</c:f>
              <c:strCache>
                <c:ptCount val="7"/>
                <c:pt idx="0">
                  <c:v>FY25A ROE</c:v>
                </c:pt>
                <c:pt idx="1">
                  <c:v>NMI / equity</c:v>
                </c:pt>
                <c:pt idx="2">
                  <c:v>Fees / equity</c:v>
                </c:pt>
                <c:pt idx="3">
                  <c:v>Overhead / equity</c:v>
                </c:pt>
                <c:pt idx="4">
                  <c:v>Provisions / equity</c:v>
                </c:pt>
                <c:pt idx="5">
                  <c:v>Tax / equity</c:v>
                </c:pt>
                <c:pt idx="6">
                  <c:v>FY35E ROE</c:v>
                </c:pt>
              </c:strCache>
            </c:strRef>
          </c:cat>
          <c:val>
            <c:numRef>
              <c:f>Charts!$G$97:$G$103</c:f>
              <c:numCache>
                <c:formatCode>#,##0.0</c:formatCode>
                <c:ptCount val="7"/>
                <c:pt idx="0">
                  <c:v>0</c:v>
                </c:pt>
                <c:pt idx="1">
                  <c:v>0</c:v>
                </c:pt>
                <c:pt idx="2">
                  <c:v>0</c:v>
                </c:pt>
                <c:pt idx="3">
                  <c:v>4.5503773870246456E-2</c:v>
                </c:pt>
                <c:pt idx="4">
                  <c:v>1.01302177001358E-2</c:v>
                </c:pt>
                <c:pt idx="5">
                  <c:v>2.6807336980223945E-3</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w="0">
                    <a:noFill/>
                  </a:ln>
                </c14:spPr>
              </c14:invertSolidFillFmt>
            </c:ext>
            <c:ext xmlns:c16="http://schemas.microsoft.com/office/drawing/2014/chart" uri="{C3380CC4-5D6E-409C-BE32-E72D297353CC}">
              <c16:uniqueId val="{00000001-2133-4B89-B822-A7D33557CEBA}"/>
            </c:ext>
          </c:extLst>
        </c:ser>
        <c:ser>
          <c:idx val="2"/>
          <c:order val="2"/>
          <c:tx>
            <c:strRef>
              <c:f>Charts!$H$96</c:f>
              <c:strCache>
                <c:ptCount val="1"/>
                <c:pt idx="0">
                  <c:v>Decrease</c:v>
                </c:pt>
              </c:strCache>
            </c:strRef>
          </c:tx>
          <c:spPr>
            <a:solidFill>
              <a:srgbClr val="C62828"/>
            </a:solidFill>
            <a:ln w="0">
              <a:noFill/>
            </a:ln>
          </c:spPr>
          <c:invertIfNegative val="1"/>
          <c:dLbls>
            <c:spPr>
              <a:noFill/>
              <a:ln>
                <a:noFill/>
              </a:ln>
              <a:effectLst/>
            </c:spPr>
            <c:txPr>
              <a:bodyPr anchorCtr="1"/>
              <a:lstStyle/>
              <a:p>
                <a:pPr>
                  <a:defRPr sz="1000" b="0" spc="-1">
                    <a:solidFill>
                      <a:srgbClr val="000000"/>
                    </a:solidFill>
                    <a:latin typeface="Arial"/>
                    <a:ea typeface="Arial"/>
                    <a:cs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Charts!$B$97:$B$103</c:f>
              <c:strCache>
                <c:ptCount val="7"/>
                <c:pt idx="0">
                  <c:v>FY25A ROE</c:v>
                </c:pt>
                <c:pt idx="1">
                  <c:v>NMI / equity</c:v>
                </c:pt>
                <c:pt idx="2">
                  <c:v>Fees / equity</c:v>
                </c:pt>
                <c:pt idx="3">
                  <c:v>Overhead / equity</c:v>
                </c:pt>
                <c:pt idx="4">
                  <c:v>Provisions / equity</c:v>
                </c:pt>
                <c:pt idx="5">
                  <c:v>Tax / equity</c:v>
                </c:pt>
                <c:pt idx="6">
                  <c:v>FY35E ROE</c:v>
                </c:pt>
              </c:strCache>
            </c:strRef>
          </c:cat>
          <c:val>
            <c:numRef>
              <c:f>Charts!$H$97:$H$103</c:f>
              <c:numCache>
                <c:formatCode>#,##0.0</c:formatCode>
                <c:ptCount val="7"/>
                <c:pt idx="0">
                  <c:v>0</c:v>
                </c:pt>
                <c:pt idx="1">
                  <c:v>5.5371989983548253E-2</c:v>
                </c:pt>
                <c:pt idx="2">
                  <c:v>1.2785922126709648E-2</c:v>
                </c:pt>
                <c:pt idx="3">
                  <c:v>0</c:v>
                </c:pt>
                <c:pt idx="4">
                  <c:v>0</c:v>
                </c:pt>
                <c:pt idx="5">
                  <c:v>0</c:v>
                </c:pt>
                <c:pt idx="6">
                  <c:v>0</c:v>
                </c:pt>
              </c:numCache>
            </c:numRef>
          </c:val>
          <c:extLst>
            <c:ext xmlns:c14="http://schemas.microsoft.com/office/drawing/2007/8/2/chart" uri="{6F2FDCE9-48DA-4B69-8628-5D25D57E5C99}">
              <c14:invertSolidFillFmt>
                <c14:spPr xmlns:c14="http://schemas.microsoft.com/office/drawing/2007/8/2/chart">
                  <a:solidFill>
                    <a:srgbClr val="FFFFFF"/>
                  </a:solidFill>
                  <a:ln w="0">
                    <a:noFill/>
                  </a:ln>
                </c14:spPr>
              </c14:invertSolidFillFmt>
            </c:ext>
            <c:ext xmlns:c16="http://schemas.microsoft.com/office/drawing/2014/chart" uri="{C3380CC4-5D6E-409C-BE32-E72D297353CC}">
              <c16:uniqueId val="{00000002-2133-4B89-B822-A7D33557CEBA}"/>
            </c:ext>
          </c:extLst>
        </c:ser>
        <c:ser>
          <c:idx val="3"/>
          <c:order val="3"/>
          <c:tx>
            <c:strRef>
              <c:f>Charts!$I$96</c:f>
              <c:strCache>
                <c:ptCount val="1"/>
                <c:pt idx="0">
                  <c:v>Total</c:v>
                </c:pt>
              </c:strCache>
            </c:strRef>
          </c:tx>
          <c:spPr>
            <a:solidFill>
              <a:srgbClr val="1F3864"/>
            </a:solidFill>
            <a:ln w="0">
              <a:noFill/>
            </a:ln>
          </c:spPr>
          <c:invertIfNegative val="1"/>
          <c:dLbls>
            <c:spPr>
              <a:noFill/>
              <a:ln>
                <a:noFill/>
              </a:ln>
              <a:effectLst/>
            </c:spPr>
            <c:txPr>
              <a:bodyPr anchorCtr="1"/>
              <a:lstStyle/>
              <a:p>
                <a:pPr>
                  <a:defRPr sz="1000" b="0" spc="-1">
                    <a:solidFill>
                      <a:srgbClr val="000000"/>
                    </a:solidFill>
                    <a:latin typeface="Arial"/>
                    <a:ea typeface="Arial"/>
                    <a:cs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Charts!$B$97:$B$103</c:f>
              <c:strCache>
                <c:ptCount val="7"/>
                <c:pt idx="0">
                  <c:v>FY25A ROE</c:v>
                </c:pt>
                <c:pt idx="1">
                  <c:v>NMI / equity</c:v>
                </c:pt>
                <c:pt idx="2">
                  <c:v>Fees / equity</c:v>
                </c:pt>
                <c:pt idx="3">
                  <c:v>Overhead / equity</c:v>
                </c:pt>
                <c:pt idx="4">
                  <c:v>Provisions / equity</c:v>
                </c:pt>
                <c:pt idx="5">
                  <c:v>Tax / equity</c:v>
                </c:pt>
                <c:pt idx="6">
                  <c:v>FY35E ROE</c:v>
                </c:pt>
              </c:strCache>
            </c:strRef>
          </c:cat>
          <c:val>
            <c:numRef>
              <c:f>Charts!$I$97:$I$103</c:f>
              <c:numCache>
                <c:formatCode>#,##0.0</c:formatCode>
                <c:ptCount val="7"/>
                <c:pt idx="0">
                  <c:v>0.15604033657762229</c:v>
                </c:pt>
                <c:pt idx="1">
                  <c:v>0</c:v>
                </c:pt>
                <c:pt idx="2">
                  <c:v>0</c:v>
                </c:pt>
                <c:pt idx="3">
                  <c:v>0</c:v>
                </c:pt>
                <c:pt idx="4">
                  <c:v>0</c:v>
                </c:pt>
                <c:pt idx="5">
                  <c:v>0</c:v>
                </c:pt>
                <c:pt idx="6">
                  <c:v>0.14619714973576903</c:v>
                </c:pt>
              </c:numCache>
            </c:numRef>
          </c:val>
          <c:extLst>
            <c:ext xmlns:c14="http://schemas.microsoft.com/office/drawing/2007/8/2/chart" uri="{6F2FDCE9-48DA-4B69-8628-5D25D57E5C99}">
              <c14:invertSolidFillFmt>
                <c14:spPr xmlns:c14="http://schemas.microsoft.com/office/drawing/2007/8/2/chart">
                  <a:solidFill>
                    <a:srgbClr val="FFFFFF"/>
                  </a:solidFill>
                  <a:ln w="0">
                    <a:noFill/>
                  </a:ln>
                </c14:spPr>
              </c14:invertSolidFillFmt>
            </c:ext>
            <c:ext xmlns:c16="http://schemas.microsoft.com/office/drawing/2014/chart" uri="{C3380CC4-5D6E-409C-BE32-E72D297353CC}">
              <c16:uniqueId val="{00000003-2133-4B89-B822-A7D33557CEBA}"/>
            </c:ext>
          </c:extLst>
        </c:ser>
        <c:dLbls>
          <c:showLegendKey val="0"/>
          <c:showVal val="0"/>
          <c:showCatName val="0"/>
          <c:showSerName val="0"/>
          <c:showPercent val="0"/>
          <c:showBubbleSize val="0"/>
        </c:dLbls>
        <c:gapWidth val="150"/>
        <c:overlap val="100"/>
        <c:axId val="5080055"/>
        <c:axId val="94459930"/>
      </c:barChart>
      <c:catAx>
        <c:axId val="5080055"/>
        <c:scaling>
          <c:orientation val="minMax"/>
        </c:scaling>
        <c:delete val="0"/>
        <c:axPos val="b"/>
        <c:numFmt formatCode="General" sourceLinked="0"/>
        <c:majorTickMark val="none"/>
        <c:minorTickMark val="none"/>
        <c:tickLblPos val="nextTo"/>
        <c:spPr>
          <a:ln w="0">
            <a:solidFill>
              <a:srgbClr val="B3B3B3"/>
            </a:solidFill>
          </a:ln>
        </c:spPr>
        <c:txPr>
          <a:bodyPr anchorCtr="1"/>
          <a:lstStyle/>
          <a:p>
            <a:pPr>
              <a:defRPr sz="1000" b="0" spc="-1">
                <a:solidFill>
                  <a:srgbClr val="000000"/>
                </a:solidFill>
                <a:latin typeface="Calibri"/>
                <a:ea typeface="Calibri"/>
                <a:cs typeface="Calibri"/>
              </a:defRPr>
            </a:pPr>
            <a:endParaRPr lang="en-US"/>
          </a:p>
        </c:txPr>
        <c:crossAx val="94459930"/>
        <c:crosses val="autoZero"/>
        <c:auto val="1"/>
        <c:lblAlgn val="ctr"/>
        <c:lblOffset val="100"/>
        <c:noMultiLvlLbl val="1"/>
      </c:catAx>
      <c:valAx>
        <c:axId val="94459930"/>
        <c:scaling>
          <c:orientation val="minMax"/>
        </c:scaling>
        <c:delete val="0"/>
        <c:axPos val="l"/>
        <c:majorGridlines>
          <c:spPr>
            <a:ln w="0">
              <a:solidFill>
                <a:srgbClr val="B3B3B3"/>
              </a:solidFill>
            </a:ln>
          </c:spPr>
        </c:majorGridlines>
        <c:title>
          <c:tx>
            <c:rich>
              <a:bodyPr/>
              <a:lstStyle/>
              <a:p>
                <a:r>
                  <a:rPr sz="1000" b="1" spc="-1">
                    <a:solidFill>
                      <a:srgbClr val="000000"/>
                    </a:solidFill>
                    <a:latin typeface="Calibri"/>
                    <a:ea typeface="Calibri"/>
                    <a:cs typeface="Calibri"/>
                  </a:rPr>
                  <a:t>% of average equity</a:t>
                </a:r>
              </a:p>
            </c:rich>
          </c:tx>
          <c:overlay val="0"/>
        </c:title>
        <c:numFmt formatCode="#,##0.0" sourceLinked="0"/>
        <c:majorTickMark val="none"/>
        <c:minorTickMark val="none"/>
        <c:tickLblPos val="nextTo"/>
        <c:spPr>
          <a:ln w="0">
            <a:solidFill>
              <a:srgbClr val="B3B3B3"/>
            </a:solidFill>
          </a:ln>
        </c:spPr>
        <c:txPr>
          <a:bodyPr anchorCtr="1"/>
          <a:lstStyle/>
          <a:p>
            <a:pPr>
              <a:defRPr sz="1000" b="0" spc="-1">
                <a:solidFill>
                  <a:srgbClr val="000000"/>
                </a:solidFill>
                <a:latin typeface="Calibri"/>
                <a:ea typeface="Calibri"/>
                <a:cs typeface="Calibri"/>
              </a:defRPr>
            </a:pPr>
            <a:endParaRPr lang="en-US"/>
          </a:p>
        </c:txPr>
        <c:crossAx val="5080055"/>
        <c:crosses val="autoZero"/>
        <c:crossBetween val="between"/>
      </c:valAx>
      <c:spPr>
        <a:noFill/>
        <a:ln w="0">
          <a:noFill/>
        </a:ln>
      </c:spPr>
    </c:plotArea>
    <c:legend>
      <c:legendPos val="b"/>
      <c:overlay val="0"/>
      <c:spPr>
        <a:noFill/>
      </c:spPr>
      <c:txPr>
        <a:bodyPr anchorCtr="1"/>
        <a:lstStyle/>
        <a:p>
          <a:pPr>
            <a:defRPr sz="1000" b="0" spc="-1">
              <a:solidFill>
                <a:srgbClr val="000000"/>
              </a:solidFill>
              <a:latin typeface="Calibri"/>
              <a:ea typeface="Calibri"/>
              <a:cs typeface="Calibri"/>
            </a:defRPr>
          </a:pPr>
          <a:endParaRPr lang="en-US"/>
        </a:p>
      </c:txPr>
    </c:legend>
    <c:plotVisOnly val="1"/>
    <c:dispBlanksAs val="zero"/>
    <c:showDLblsOverMax val="1"/>
  </c:chart>
  <c:spPr>
    <a:solidFill>
      <a:srgbClr val="FFFFFF"/>
    </a:solidFill>
    <a:ln w="9360">
      <a:solidFill>
        <a:srgbClr val="D9D9D9"/>
      </a:solid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800" b="1" spc="-1">
                <a:solidFill>
                  <a:srgbClr val="000000"/>
                </a:solidFill>
                <a:latin typeface="Calibri"/>
                <a:ea typeface="Calibri"/>
                <a:cs typeface="Calibri"/>
              </a:rPr>
              <a:t>Residual income value bridge (Rp per share, Dec-25)</a:t>
            </a:r>
          </a:p>
        </c:rich>
      </c:tx>
      <c:overlay val="0"/>
    </c:title>
    <c:autoTitleDeleted val="0"/>
    <c:plotArea>
      <c:layout/>
      <c:barChart>
        <c:barDir val="col"/>
        <c:grouping val="stacked"/>
        <c:varyColors val="0"/>
        <c:ser>
          <c:idx val="0"/>
          <c:order val="0"/>
          <c:tx>
            <c:strRef>
              <c:f>Charts!$F$127</c:f>
              <c:strCache>
                <c:ptCount val="1"/>
                <c:pt idx="0">
                  <c:v>Base (hidden)</c:v>
                </c:pt>
              </c:strCache>
            </c:strRef>
          </c:tx>
          <c:spPr>
            <a:noFill/>
            <a:ln w="0">
              <a:noFill/>
            </a:ln>
          </c:spPr>
          <c:invertIfNegative val="1"/>
          <c:dLbls>
            <c:spPr>
              <a:noFill/>
              <a:ln>
                <a:noFill/>
              </a:ln>
              <a:effectLst/>
            </c:spPr>
            <c:txPr>
              <a:bodyPr anchorCtr="1"/>
              <a:lstStyle/>
              <a:p>
                <a:pPr>
                  <a:defRPr sz="1000" b="0" spc="-1">
                    <a:solidFill>
                      <a:srgbClr val="000000"/>
                    </a:solidFill>
                    <a:latin typeface="Arial"/>
                    <a:ea typeface="Arial"/>
                    <a:cs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Charts!$B$128:$B$136</c:f>
              <c:strCache>
                <c:ptCount val="9"/>
                <c:pt idx="0">
                  <c:v>BVPS FY25A</c:v>
                </c:pt>
                <c:pt idx="1">
                  <c:v>PV RI FY26E</c:v>
                </c:pt>
                <c:pt idx="2">
                  <c:v>PV RI FY27E</c:v>
                </c:pt>
                <c:pt idx="3">
                  <c:v>PV RI FY28E</c:v>
                </c:pt>
                <c:pt idx="4">
                  <c:v>PV RI FY29E</c:v>
                </c:pt>
                <c:pt idx="5">
                  <c:v>PV RI FY30E</c:v>
                </c:pt>
                <c:pt idx="6">
                  <c:v>PV RI FY31-35E</c:v>
                </c:pt>
                <c:pt idx="7">
                  <c:v>PV terminal RI</c:v>
                </c:pt>
                <c:pt idx="8">
                  <c:v>RI value / share</c:v>
                </c:pt>
              </c:strCache>
            </c:strRef>
          </c:cat>
          <c:val>
            <c:numRef>
              <c:f>Charts!$F$128:$F$136</c:f>
              <c:numCache>
                <c:formatCode>#,##0.0</c:formatCode>
                <c:ptCount val="9"/>
                <c:pt idx="0">
                  <c:v>0</c:v>
                </c:pt>
                <c:pt idx="1">
                  <c:v>1126.2455543401304</c:v>
                </c:pt>
                <c:pt idx="2">
                  <c:v>1176.6675045929751</c:v>
                </c:pt>
                <c:pt idx="3">
                  <c:v>1241.5229051001654</c:v>
                </c:pt>
                <c:pt idx="4">
                  <c:v>1298.3361350176779</c:v>
                </c:pt>
                <c:pt idx="5">
                  <c:v>1354.2760508950073</c:v>
                </c:pt>
                <c:pt idx="6">
                  <c:v>1407.2523171323389</c:v>
                </c:pt>
                <c:pt idx="7">
                  <c:v>1597.8858456748239</c:v>
                </c:pt>
                <c:pt idx="8">
                  <c:v>0</c:v>
                </c:pt>
              </c:numCache>
            </c:numRef>
          </c:val>
          <c:extLst>
            <c:ext xmlns:c16="http://schemas.microsoft.com/office/drawing/2014/chart" uri="{C3380CC4-5D6E-409C-BE32-E72D297353CC}">
              <c16:uniqueId val="{00000000-48CD-4A64-8343-7EB5F1AEFEB7}"/>
            </c:ext>
          </c:extLst>
        </c:ser>
        <c:ser>
          <c:idx val="1"/>
          <c:order val="1"/>
          <c:tx>
            <c:strRef>
              <c:f>Charts!$G$127</c:f>
              <c:strCache>
                <c:ptCount val="1"/>
                <c:pt idx="0">
                  <c:v>Increase</c:v>
                </c:pt>
              </c:strCache>
            </c:strRef>
          </c:tx>
          <c:spPr>
            <a:solidFill>
              <a:srgbClr val="2E7D32"/>
            </a:solidFill>
            <a:ln w="0">
              <a:noFill/>
            </a:ln>
          </c:spPr>
          <c:invertIfNegative val="1"/>
          <c:dLbls>
            <c:spPr>
              <a:noFill/>
              <a:ln>
                <a:noFill/>
              </a:ln>
              <a:effectLst/>
            </c:spPr>
            <c:txPr>
              <a:bodyPr anchorCtr="1"/>
              <a:lstStyle/>
              <a:p>
                <a:pPr>
                  <a:defRPr sz="1000" b="0" spc="-1">
                    <a:solidFill>
                      <a:srgbClr val="000000"/>
                    </a:solidFill>
                    <a:latin typeface="Arial"/>
                    <a:ea typeface="Arial"/>
                    <a:cs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Charts!$B$128:$B$136</c:f>
              <c:strCache>
                <c:ptCount val="9"/>
                <c:pt idx="0">
                  <c:v>BVPS FY25A</c:v>
                </c:pt>
                <c:pt idx="1">
                  <c:v>PV RI FY26E</c:v>
                </c:pt>
                <c:pt idx="2">
                  <c:v>PV RI FY27E</c:v>
                </c:pt>
                <c:pt idx="3">
                  <c:v>PV RI FY28E</c:v>
                </c:pt>
                <c:pt idx="4">
                  <c:v>PV RI FY29E</c:v>
                </c:pt>
                <c:pt idx="5">
                  <c:v>PV RI FY30E</c:v>
                </c:pt>
                <c:pt idx="6">
                  <c:v>PV RI FY31-35E</c:v>
                </c:pt>
                <c:pt idx="7">
                  <c:v>PV terminal RI</c:v>
                </c:pt>
                <c:pt idx="8">
                  <c:v>RI value / share</c:v>
                </c:pt>
              </c:strCache>
            </c:strRef>
          </c:cat>
          <c:val>
            <c:numRef>
              <c:f>Charts!$G$128:$G$136</c:f>
              <c:numCache>
                <c:formatCode>#,##0.0</c:formatCode>
                <c:ptCount val="9"/>
                <c:pt idx="0">
                  <c:v>0</c:v>
                </c:pt>
                <c:pt idx="1">
                  <c:v>50.421950252844574</c:v>
                </c:pt>
                <c:pt idx="2">
                  <c:v>64.855400507190367</c:v>
                </c:pt>
                <c:pt idx="3">
                  <c:v>56.81322991751248</c:v>
                </c:pt>
                <c:pt idx="4">
                  <c:v>55.939915877329334</c:v>
                </c:pt>
                <c:pt idx="5">
                  <c:v>52.976266237331544</c:v>
                </c:pt>
                <c:pt idx="6">
                  <c:v>190.63352854248504</c:v>
                </c:pt>
                <c:pt idx="7">
                  <c:v>292.73485999013616</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w="0">
                    <a:noFill/>
                  </a:ln>
                </c14:spPr>
              </c14:invertSolidFillFmt>
            </c:ext>
            <c:ext xmlns:c16="http://schemas.microsoft.com/office/drawing/2014/chart" uri="{C3380CC4-5D6E-409C-BE32-E72D297353CC}">
              <c16:uniqueId val="{00000001-48CD-4A64-8343-7EB5F1AEFEB7}"/>
            </c:ext>
          </c:extLst>
        </c:ser>
        <c:ser>
          <c:idx val="2"/>
          <c:order val="2"/>
          <c:tx>
            <c:strRef>
              <c:f>Charts!$H$127</c:f>
              <c:strCache>
                <c:ptCount val="1"/>
                <c:pt idx="0">
                  <c:v>Decrease</c:v>
                </c:pt>
              </c:strCache>
            </c:strRef>
          </c:tx>
          <c:spPr>
            <a:solidFill>
              <a:srgbClr val="C62828"/>
            </a:solidFill>
            <a:ln w="0">
              <a:noFill/>
            </a:ln>
          </c:spPr>
          <c:invertIfNegative val="1"/>
          <c:dLbls>
            <c:spPr>
              <a:noFill/>
              <a:ln>
                <a:noFill/>
              </a:ln>
              <a:effectLst/>
            </c:spPr>
            <c:txPr>
              <a:bodyPr anchorCtr="1"/>
              <a:lstStyle/>
              <a:p>
                <a:pPr>
                  <a:defRPr sz="1000" b="0" spc="-1">
                    <a:solidFill>
                      <a:srgbClr val="000000"/>
                    </a:solidFill>
                    <a:latin typeface="Arial"/>
                    <a:ea typeface="Arial"/>
                    <a:cs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Charts!$B$128:$B$136</c:f>
              <c:strCache>
                <c:ptCount val="9"/>
                <c:pt idx="0">
                  <c:v>BVPS FY25A</c:v>
                </c:pt>
                <c:pt idx="1">
                  <c:v>PV RI FY26E</c:v>
                </c:pt>
                <c:pt idx="2">
                  <c:v>PV RI FY27E</c:v>
                </c:pt>
                <c:pt idx="3">
                  <c:v>PV RI FY28E</c:v>
                </c:pt>
                <c:pt idx="4">
                  <c:v>PV RI FY29E</c:v>
                </c:pt>
                <c:pt idx="5">
                  <c:v>PV RI FY30E</c:v>
                </c:pt>
                <c:pt idx="6">
                  <c:v>PV RI FY31-35E</c:v>
                </c:pt>
                <c:pt idx="7">
                  <c:v>PV terminal RI</c:v>
                </c:pt>
                <c:pt idx="8">
                  <c:v>RI value / share</c:v>
                </c:pt>
              </c:strCache>
            </c:strRef>
          </c:cat>
          <c:val>
            <c:numRef>
              <c:f>Charts!$H$128:$H$136</c:f>
              <c:numCache>
                <c:formatCode>#,##0.0</c:formatCode>
                <c:ptCount val="9"/>
                <c:pt idx="0">
                  <c:v>0</c:v>
                </c:pt>
                <c:pt idx="1">
                  <c:v>0</c:v>
                </c:pt>
                <c:pt idx="2">
                  <c:v>0</c:v>
                </c:pt>
                <c:pt idx="3">
                  <c:v>0</c:v>
                </c:pt>
                <c:pt idx="4">
                  <c:v>0</c:v>
                </c:pt>
                <c:pt idx="5">
                  <c:v>0</c:v>
                </c:pt>
                <c:pt idx="6">
                  <c:v>0</c:v>
                </c:pt>
                <c:pt idx="7">
                  <c:v>0</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w="0">
                    <a:noFill/>
                  </a:ln>
                </c14:spPr>
              </c14:invertSolidFillFmt>
            </c:ext>
            <c:ext xmlns:c16="http://schemas.microsoft.com/office/drawing/2014/chart" uri="{C3380CC4-5D6E-409C-BE32-E72D297353CC}">
              <c16:uniqueId val="{00000002-48CD-4A64-8343-7EB5F1AEFEB7}"/>
            </c:ext>
          </c:extLst>
        </c:ser>
        <c:ser>
          <c:idx val="3"/>
          <c:order val="3"/>
          <c:tx>
            <c:strRef>
              <c:f>Charts!$I$127</c:f>
              <c:strCache>
                <c:ptCount val="1"/>
                <c:pt idx="0">
                  <c:v>Total</c:v>
                </c:pt>
              </c:strCache>
            </c:strRef>
          </c:tx>
          <c:spPr>
            <a:solidFill>
              <a:srgbClr val="1F3864"/>
            </a:solidFill>
            <a:ln w="0">
              <a:noFill/>
            </a:ln>
          </c:spPr>
          <c:invertIfNegative val="1"/>
          <c:dLbls>
            <c:spPr>
              <a:noFill/>
              <a:ln>
                <a:noFill/>
              </a:ln>
              <a:effectLst/>
            </c:spPr>
            <c:txPr>
              <a:bodyPr anchorCtr="1"/>
              <a:lstStyle/>
              <a:p>
                <a:pPr>
                  <a:defRPr sz="1000" b="0" spc="-1">
                    <a:solidFill>
                      <a:srgbClr val="000000"/>
                    </a:solidFill>
                    <a:latin typeface="Arial"/>
                    <a:ea typeface="Arial"/>
                    <a:cs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Charts!$B$128:$B$136</c:f>
              <c:strCache>
                <c:ptCount val="9"/>
                <c:pt idx="0">
                  <c:v>BVPS FY25A</c:v>
                </c:pt>
                <c:pt idx="1">
                  <c:v>PV RI FY26E</c:v>
                </c:pt>
                <c:pt idx="2">
                  <c:v>PV RI FY27E</c:v>
                </c:pt>
                <c:pt idx="3">
                  <c:v>PV RI FY28E</c:v>
                </c:pt>
                <c:pt idx="4">
                  <c:v>PV RI FY29E</c:v>
                </c:pt>
                <c:pt idx="5">
                  <c:v>PV RI FY30E</c:v>
                </c:pt>
                <c:pt idx="6">
                  <c:v>PV RI FY31-35E</c:v>
                </c:pt>
                <c:pt idx="7">
                  <c:v>PV terminal RI</c:v>
                </c:pt>
                <c:pt idx="8">
                  <c:v>RI value / share</c:v>
                </c:pt>
              </c:strCache>
            </c:strRef>
          </c:cat>
          <c:val>
            <c:numRef>
              <c:f>Charts!$I$128:$I$136</c:f>
              <c:numCache>
                <c:formatCode>#,##0.0</c:formatCode>
                <c:ptCount val="9"/>
                <c:pt idx="0">
                  <c:v>1126.2455543401304</c:v>
                </c:pt>
                <c:pt idx="1">
                  <c:v>0</c:v>
                </c:pt>
                <c:pt idx="2">
                  <c:v>0</c:v>
                </c:pt>
                <c:pt idx="3">
                  <c:v>0</c:v>
                </c:pt>
                <c:pt idx="4">
                  <c:v>0</c:v>
                </c:pt>
                <c:pt idx="5">
                  <c:v>0</c:v>
                </c:pt>
                <c:pt idx="6">
                  <c:v>0</c:v>
                </c:pt>
                <c:pt idx="7">
                  <c:v>0</c:v>
                </c:pt>
                <c:pt idx="8">
                  <c:v>1890.62070566496</c:v>
                </c:pt>
              </c:numCache>
            </c:numRef>
          </c:val>
          <c:extLst>
            <c:ext xmlns:c14="http://schemas.microsoft.com/office/drawing/2007/8/2/chart" uri="{6F2FDCE9-48DA-4B69-8628-5D25D57E5C99}">
              <c14:invertSolidFillFmt>
                <c14:spPr xmlns:c14="http://schemas.microsoft.com/office/drawing/2007/8/2/chart">
                  <a:solidFill>
                    <a:srgbClr val="FFFFFF"/>
                  </a:solidFill>
                  <a:ln w="0">
                    <a:noFill/>
                  </a:ln>
                </c14:spPr>
              </c14:invertSolidFillFmt>
            </c:ext>
            <c:ext xmlns:c16="http://schemas.microsoft.com/office/drawing/2014/chart" uri="{C3380CC4-5D6E-409C-BE32-E72D297353CC}">
              <c16:uniqueId val="{00000003-48CD-4A64-8343-7EB5F1AEFEB7}"/>
            </c:ext>
          </c:extLst>
        </c:ser>
        <c:dLbls>
          <c:showLegendKey val="0"/>
          <c:showVal val="0"/>
          <c:showCatName val="0"/>
          <c:showSerName val="0"/>
          <c:showPercent val="0"/>
          <c:showBubbleSize val="0"/>
        </c:dLbls>
        <c:gapWidth val="150"/>
        <c:overlap val="100"/>
        <c:axId val="99925939"/>
        <c:axId val="4300710"/>
      </c:barChart>
      <c:catAx>
        <c:axId val="99925939"/>
        <c:scaling>
          <c:orientation val="minMax"/>
        </c:scaling>
        <c:delete val="0"/>
        <c:axPos val="b"/>
        <c:numFmt formatCode="General" sourceLinked="0"/>
        <c:majorTickMark val="none"/>
        <c:minorTickMark val="none"/>
        <c:tickLblPos val="nextTo"/>
        <c:spPr>
          <a:ln w="0">
            <a:solidFill>
              <a:srgbClr val="B3B3B3"/>
            </a:solidFill>
          </a:ln>
        </c:spPr>
        <c:txPr>
          <a:bodyPr anchorCtr="1"/>
          <a:lstStyle/>
          <a:p>
            <a:pPr>
              <a:defRPr sz="1000" b="0" spc="-1">
                <a:solidFill>
                  <a:srgbClr val="000000"/>
                </a:solidFill>
                <a:latin typeface="Calibri"/>
                <a:ea typeface="Calibri"/>
                <a:cs typeface="Calibri"/>
              </a:defRPr>
            </a:pPr>
            <a:endParaRPr lang="en-US"/>
          </a:p>
        </c:txPr>
        <c:crossAx val="4300710"/>
        <c:crosses val="autoZero"/>
        <c:auto val="1"/>
        <c:lblAlgn val="ctr"/>
        <c:lblOffset val="100"/>
        <c:noMultiLvlLbl val="1"/>
      </c:catAx>
      <c:valAx>
        <c:axId val="4300710"/>
        <c:scaling>
          <c:orientation val="minMax"/>
        </c:scaling>
        <c:delete val="0"/>
        <c:axPos val="l"/>
        <c:majorGridlines>
          <c:spPr>
            <a:ln w="0">
              <a:solidFill>
                <a:srgbClr val="B3B3B3"/>
              </a:solidFill>
            </a:ln>
          </c:spPr>
        </c:majorGridlines>
        <c:title>
          <c:tx>
            <c:rich>
              <a:bodyPr/>
              <a:lstStyle/>
              <a:p>
                <a:r>
                  <a:rPr sz="1000" b="1" spc="-1">
                    <a:solidFill>
                      <a:srgbClr val="000000"/>
                    </a:solidFill>
                    <a:latin typeface="Calibri"/>
                    <a:ea typeface="Calibri"/>
                    <a:cs typeface="Calibri"/>
                  </a:rPr>
                  <a:t>Rp per share</a:t>
                </a:r>
              </a:p>
            </c:rich>
          </c:tx>
          <c:overlay val="0"/>
        </c:title>
        <c:numFmt formatCode="#,##0.0" sourceLinked="0"/>
        <c:majorTickMark val="none"/>
        <c:minorTickMark val="none"/>
        <c:tickLblPos val="nextTo"/>
        <c:spPr>
          <a:ln w="0">
            <a:solidFill>
              <a:srgbClr val="B3B3B3"/>
            </a:solidFill>
          </a:ln>
        </c:spPr>
        <c:txPr>
          <a:bodyPr anchorCtr="1"/>
          <a:lstStyle/>
          <a:p>
            <a:pPr>
              <a:defRPr sz="1000" b="0" spc="-1">
                <a:solidFill>
                  <a:srgbClr val="000000"/>
                </a:solidFill>
                <a:latin typeface="Calibri"/>
                <a:ea typeface="Calibri"/>
                <a:cs typeface="Calibri"/>
              </a:defRPr>
            </a:pPr>
            <a:endParaRPr lang="en-US"/>
          </a:p>
        </c:txPr>
        <c:crossAx val="99925939"/>
        <c:crosses val="autoZero"/>
        <c:crossBetween val="between"/>
      </c:valAx>
      <c:spPr>
        <a:noFill/>
        <a:ln w="0">
          <a:noFill/>
        </a:ln>
      </c:spPr>
    </c:plotArea>
    <c:legend>
      <c:legendPos val="b"/>
      <c:overlay val="0"/>
      <c:spPr>
        <a:noFill/>
      </c:spPr>
      <c:txPr>
        <a:bodyPr anchorCtr="1"/>
        <a:lstStyle/>
        <a:p>
          <a:pPr>
            <a:defRPr sz="1000" b="0" spc="-1">
              <a:solidFill>
                <a:srgbClr val="000000"/>
              </a:solidFill>
              <a:latin typeface="Calibri"/>
              <a:ea typeface="Calibri"/>
              <a:cs typeface="Calibri"/>
            </a:defRPr>
          </a:pPr>
          <a:endParaRPr lang="en-US"/>
        </a:p>
      </c:txPr>
    </c:legend>
    <c:plotVisOnly val="1"/>
    <c:dispBlanksAs val="zero"/>
    <c:showDLblsOverMax val="1"/>
  </c:chart>
  <c:spPr>
    <a:solidFill>
      <a:srgbClr val="FFFFFF"/>
    </a:solidFill>
    <a:ln w="9360">
      <a:solidFill>
        <a:srgbClr val="D9D9D9"/>
      </a:solid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800" b="1" spc="-1">
                <a:solidFill>
                  <a:srgbClr val="000000"/>
                </a:solidFill>
                <a:latin typeface="Calibri"/>
                <a:ea typeface="Calibri"/>
                <a:cs typeface="Calibri"/>
              </a:rPr>
              <a:t>Football field (Rp per share)</a:t>
            </a:r>
          </a:p>
        </c:rich>
      </c:tx>
      <c:overlay val="0"/>
    </c:title>
    <c:autoTitleDeleted val="0"/>
    <c:plotArea>
      <c:layout/>
      <c:barChart>
        <c:barDir val="bar"/>
        <c:grouping val="stacked"/>
        <c:varyColors val="0"/>
        <c:ser>
          <c:idx val="0"/>
          <c:order val="0"/>
          <c:tx>
            <c:strRef>
              <c:f>Charts!$E$160</c:f>
              <c:strCache>
                <c:ptCount val="1"/>
                <c:pt idx="0">
                  <c:v>Low</c:v>
                </c:pt>
              </c:strCache>
            </c:strRef>
          </c:tx>
          <c:spPr>
            <a:noFill/>
            <a:ln w="0">
              <a:noFill/>
            </a:ln>
          </c:spPr>
          <c:invertIfNegative val="1"/>
          <c:dLbls>
            <c:spPr>
              <a:noFill/>
              <a:ln>
                <a:noFill/>
              </a:ln>
              <a:effectLst/>
            </c:spPr>
            <c:txPr>
              <a:bodyPr anchorCtr="1"/>
              <a:lstStyle/>
              <a:p>
                <a:pPr>
                  <a:defRPr sz="1000" b="0" spc="-1">
                    <a:solidFill>
                      <a:srgbClr val="000000"/>
                    </a:solidFill>
                    <a:latin typeface="Arial"/>
                    <a:ea typeface="Arial"/>
                    <a:cs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Charts!$B$161:$B$168</c:f>
              <c:strCache>
                <c:ptCount val="8"/>
                <c:pt idx="0">
                  <c:v>DDM 12m PT (Bear-Bull)</c:v>
                </c:pt>
                <c:pt idx="1">
                  <c:v>RI 12m PT (Bear-Bull)</c:v>
                </c:pt>
                <c:pt idx="2">
                  <c:v>Blended 12m PT (Bear-Bull)</c:v>
                </c:pt>
                <c:pt idx="3">
                  <c:v>Peer P/B regression (+/-10%)</c:v>
                </c:pt>
                <c:pt idx="4">
                  <c:v>Peer-median P/B (+/-10%)</c:v>
                </c:pt>
                <c:pt idx="5">
                  <c:v>52-week trading range</c:v>
                </c:pt>
                <c:pt idx="6">
                  <c:v>Sell-side TP range (consensus avg ~2,740)</c:v>
                </c:pt>
                <c:pt idx="7">
                  <c:v>Current price</c:v>
                </c:pt>
              </c:strCache>
            </c:strRef>
          </c:cat>
          <c:val>
            <c:numRef>
              <c:f>Charts!$E$161:$E$168</c:f>
              <c:numCache>
                <c:formatCode>#,##0</c:formatCode>
                <c:ptCount val="8"/>
                <c:pt idx="0">
                  <c:v>1368.08407237864</c:v>
                </c:pt>
                <c:pt idx="1">
                  <c:v>1368.08407237864</c:v>
                </c:pt>
                <c:pt idx="2">
                  <c:v>1325.1816488269901</c:v>
                </c:pt>
                <c:pt idx="3">
                  <c:v>1012.9126602496556</c:v>
                </c:pt>
                <c:pt idx="4">
                  <c:v>1107.1172536169447</c:v>
                </c:pt>
                <c:pt idx="5">
                  <c:v>1095</c:v>
                </c:pt>
                <c:pt idx="6">
                  <c:v>2460</c:v>
                </c:pt>
                <c:pt idx="7">
                  <c:v>1089.5250000000001</c:v>
                </c:pt>
              </c:numCache>
            </c:numRef>
          </c:val>
          <c:extLst>
            <c:ext xmlns:c16="http://schemas.microsoft.com/office/drawing/2014/chart" uri="{C3380CC4-5D6E-409C-BE32-E72D297353CC}">
              <c16:uniqueId val="{00000000-F7CF-4944-8313-966946751C4B}"/>
            </c:ext>
          </c:extLst>
        </c:ser>
        <c:ser>
          <c:idx val="1"/>
          <c:order val="1"/>
          <c:tx>
            <c:strRef>
              <c:f>Charts!$F$160</c:f>
              <c:strCache>
                <c:ptCount val="1"/>
                <c:pt idx="0">
                  <c:v>Range (high-low)</c:v>
                </c:pt>
              </c:strCache>
            </c:strRef>
          </c:tx>
          <c:spPr>
            <a:solidFill>
              <a:srgbClr val="1F3864"/>
            </a:solidFill>
            <a:ln w="0">
              <a:noFill/>
            </a:ln>
          </c:spPr>
          <c:invertIfNegative val="1"/>
          <c:dLbls>
            <c:spPr>
              <a:noFill/>
              <a:ln>
                <a:noFill/>
              </a:ln>
              <a:effectLst/>
            </c:spPr>
            <c:txPr>
              <a:bodyPr anchorCtr="1"/>
              <a:lstStyle/>
              <a:p>
                <a:pPr>
                  <a:defRPr sz="1000" b="0" spc="-1">
                    <a:solidFill>
                      <a:srgbClr val="000000"/>
                    </a:solidFill>
                    <a:latin typeface="Arial"/>
                    <a:ea typeface="Arial"/>
                    <a:cs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Charts!$B$161:$B$168</c:f>
              <c:strCache>
                <c:ptCount val="8"/>
                <c:pt idx="0">
                  <c:v>DDM 12m PT (Bear-Bull)</c:v>
                </c:pt>
                <c:pt idx="1">
                  <c:v>RI 12m PT (Bear-Bull)</c:v>
                </c:pt>
                <c:pt idx="2">
                  <c:v>Blended 12m PT (Bear-Bull)</c:v>
                </c:pt>
                <c:pt idx="3">
                  <c:v>Peer P/B regression (+/-10%)</c:v>
                </c:pt>
                <c:pt idx="4">
                  <c:v>Peer-median P/B (+/-10%)</c:v>
                </c:pt>
                <c:pt idx="5">
                  <c:v>52-week trading range</c:v>
                </c:pt>
                <c:pt idx="6">
                  <c:v>Sell-side TP range (consensus avg ~2,740)</c:v>
                </c:pt>
                <c:pt idx="7">
                  <c:v>Current price</c:v>
                </c:pt>
              </c:strCache>
            </c:strRef>
          </c:cat>
          <c:val>
            <c:numRef>
              <c:f>Charts!$F$161:$F$168</c:f>
              <c:numCache>
                <c:formatCode>#,##0</c:formatCode>
                <c:ptCount val="8"/>
                <c:pt idx="0">
                  <c:v>1820.3939251225802</c:v>
                </c:pt>
                <c:pt idx="1">
                  <c:v>1820.3939251225802</c:v>
                </c:pt>
                <c:pt idx="2">
                  <c:v>1206.9308131292</c:v>
                </c:pt>
                <c:pt idx="3">
                  <c:v>225.09170227770142</c:v>
                </c:pt>
                <c:pt idx="4">
                  <c:v>246.02605635932105</c:v>
                </c:pt>
                <c:pt idx="5">
                  <c:v>1645</c:v>
                </c:pt>
                <c:pt idx="6">
                  <c:v>1340</c:v>
                </c:pt>
                <c:pt idx="7">
                  <c:v>10.949999999999818</c:v>
                </c:pt>
              </c:numCache>
            </c:numRef>
          </c:val>
          <c:extLst>
            <c:ext xmlns:c14="http://schemas.microsoft.com/office/drawing/2007/8/2/chart" uri="{6F2FDCE9-48DA-4B69-8628-5D25D57E5C99}">
              <c14:invertSolidFillFmt>
                <c14:spPr xmlns:c14="http://schemas.microsoft.com/office/drawing/2007/8/2/chart">
                  <a:solidFill>
                    <a:srgbClr val="FFFFFF"/>
                  </a:solidFill>
                  <a:ln w="0">
                    <a:noFill/>
                  </a:ln>
                </c14:spPr>
              </c14:invertSolidFillFmt>
            </c:ext>
            <c:ext xmlns:c16="http://schemas.microsoft.com/office/drawing/2014/chart" uri="{C3380CC4-5D6E-409C-BE32-E72D297353CC}">
              <c16:uniqueId val="{00000001-F7CF-4944-8313-966946751C4B}"/>
            </c:ext>
          </c:extLst>
        </c:ser>
        <c:dLbls>
          <c:showLegendKey val="0"/>
          <c:showVal val="0"/>
          <c:showCatName val="0"/>
          <c:showSerName val="0"/>
          <c:showPercent val="0"/>
          <c:showBubbleSize val="0"/>
        </c:dLbls>
        <c:gapWidth val="150"/>
        <c:overlap val="100"/>
        <c:axId val="31936181"/>
        <c:axId val="59119047"/>
      </c:barChart>
      <c:catAx>
        <c:axId val="31936181"/>
        <c:scaling>
          <c:orientation val="minMax"/>
        </c:scaling>
        <c:delete val="0"/>
        <c:axPos val="l"/>
        <c:numFmt formatCode="General" sourceLinked="0"/>
        <c:majorTickMark val="none"/>
        <c:minorTickMark val="none"/>
        <c:tickLblPos val="low"/>
        <c:spPr>
          <a:ln w="0">
            <a:solidFill>
              <a:srgbClr val="B3B3B3"/>
            </a:solidFill>
          </a:ln>
        </c:spPr>
        <c:txPr>
          <a:bodyPr anchorCtr="1"/>
          <a:lstStyle/>
          <a:p>
            <a:pPr>
              <a:defRPr sz="1000" b="0" spc="-1">
                <a:solidFill>
                  <a:srgbClr val="000000"/>
                </a:solidFill>
                <a:latin typeface="Calibri"/>
                <a:ea typeface="Calibri"/>
                <a:cs typeface="Calibri"/>
              </a:defRPr>
            </a:pPr>
            <a:endParaRPr lang="en-US"/>
          </a:p>
        </c:txPr>
        <c:crossAx val="59119047"/>
        <c:crosses val="autoZero"/>
        <c:auto val="1"/>
        <c:lblAlgn val="ctr"/>
        <c:lblOffset val="100"/>
        <c:noMultiLvlLbl val="1"/>
      </c:catAx>
      <c:valAx>
        <c:axId val="59119047"/>
        <c:scaling>
          <c:orientation val="minMax"/>
        </c:scaling>
        <c:delete val="0"/>
        <c:axPos val="b"/>
        <c:majorGridlines>
          <c:spPr>
            <a:ln w="0">
              <a:solidFill>
                <a:srgbClr val="B3B3B3"/>
              </a:solidFill>
            </a:ln>
          </c:spPr>
        </c:majorGridlines>
        <c:numFmt formatCode="#,##0" sourceLinked="0"/>
        <c:majorTickMark val="none"/>
        <c:minorTickMark val="none"/>
        <c:tickLblPos val="nextTo"/>
        <c:spPr>
          <a:ln w="0">
            <a:solidFill>
              <a:srgbClr val="B3B3B3"/>
            </a:solidFill>
          </a:ln>
        </c:spPr>
        <c:txPr>
          <a:bodyPr anchorCtr="1"/>
          <a:lstStyle/>
          <a:p>
            <a:pPr>
              <a:defRPr sz="1000" b="0" spc="-1">
                <a:solidFill>
                  <a:srgbClr val="000000"/>
                </a:solidFill>
                <a:latin typeface="Calibri"/>
                <a:ea typeface="Calibri"/>
                <a:cs typeface="Calibri"/>
              </a:defRPr>
            </a:pPr>
            <a:endParaRPr lang="en-US"/>
          </a:p>
        </c:txPr>
        <c:crossAx val="31936181"/>
        <c:crosses val="autoZero"/>
        <c:crossBetween val="between"/>
      </c:valAx>
      <c:spPr>
        <a:noFill/>
        <a:ln w="0">
          <a:noFill/>
        </a:ln>
      </c:spPr>
    </c:plotArea>
    <c:plotVisOnly val="1"/>
    <c:dispBlanksAs val="zero"/>
    <c:showDLblsOverMax val="1"/>
  </c:chart>
  <c:spPr>
    <a:solidFill>
      <a:srgbClr val="FFFFFF"/>
    </a:solidFill>
    <a:ln w="9360">
      <a:solidFill>
        <a:srgbClr val="D9D9D9"/>
      </a:solid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800" b="1" spc="-1">
                <a:solidFill>
                  <a:srgbClr val="000000"/>
                </a:solidFill>
                <a:latin typeface="Calibri"/>
                <a:ea typeface="Calibri"/>
                <a:cs typeface="Calibri"/>
              </a:rPr>
              <a:t>Tornado: change in 12m target vs base (Rp per share)</a:t>
            </a:r>
          </a:p>
        </c:rich>
      </c:tx>
      <c:overlay val="0"/>
    </c:title>
    <c:autoTitleDeleted val="0"/>
    <c:plotArea>
      <c:layout/>
      <c:barChart>
        <c:barDir val="bar"/>
        <c:grouping val="clustered"/>
        <c:varyColors val="0"/>
        <c:ser>
          <c:idx val="0"/>
          <c:order val="0"/>
          <c:tx>
            <c:strRef>
              <c:f>Sheet1!$H$446</c:f>
              <c:strCache>
                <c:ptCount val="1"/>
                <c:pt idx="0">
                  <c:v>Delta low</c:v>
                </c:pt>
              </c:strCache>
            </c:strRef>
          </c:tx>
          <c:spPr>
            <a:solidFill>
              <a:srgbClr val="C62828"/>
            </a:solidFill>
            <a:ln w="0">
              <a:noFill/>
            </a:ln>
          </c:spPr>
          <c:invertIfNegative val="0"/>
          <c:dLbls>
            <c:spPr>
              <a:noFill/>
              <a:ln>
                <a:noFill/>
              </a:ln>
              <a:effectLst/>
            </c:spPr>
            <c:txPr>
              <a:bodyPr anchorCtr="1"/>
              <a:lstStyle/>
              <a:p>
                <a:pPr>
                  <a:defRPr sz="1000" b="0" spc="-1">
                    <a:solidFill>
                      <a:srgbClr val="000000"/>
                    </a:solidFill>
                    <a:latin typeface="Arial"/>
                    <a:ea typeface="Arial"/>
                    <a:cs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Sheet1!$B$447:$B$454</c:f>
              <c:strCache>
                <c:ptCount val="8"/>
                <c:pt idx="0">
                  <c:v>CIR +/-1.5pp</c:v>
                </c:pt>
                <c:pt idx="1">
                  <c:v>Cost of credit +/-15bp</c:v>
                </c:pt>
                <c:pt idx="2">
                  <c:v>Payout +/-10pp</c:v>
                </c:pt>
                <c:pt idx="3">
                  <c:v>Financing growth +/-2pp</c:v>
                </c:pt>
                <c:pt idx="4">
                  <c:v>Cost of equity +/-100bp</c:v>
                </c:pt>
                <c:pt idx="5">
                  <c:v>Time-deposit rate +/-25bp</c:v>
                </c:pt>
                <c:pt idx="6">
                  <c:v>Fee growth +/-5pp</c:v>
                </c:pt>
                <c:pt idx="7">
                  <c:v>Gross margin yield +/-25bp</c:v>
                </c:pt>
              </c:strCache>
            </c:strRef>
          </c:cat>
          <c:val>
            <c:numRef>
              <c:f>Sheet1!$H$447:$H$454</c:f>
              <c:numCache>
                <c:formatCode>#,##0</c:formatCode>
                <c:ptCount val="8"/>
                <c:pt idx="0">
                  <c:v>41.711779382970008</c:v>
                </c:pt>
                <c:pt idx="1">
                  <c:v>45.833006925440031</c:v>
                </c:pt>
                <c:pt idx="2">
                  <c:v>-1.6340154544700454</c:v>
                </c:pt>
                <c:pt idx="3">
                  <c:v>-76.021732483770165</c:v>
                </c:pt>
                <c:pt idx="4">
                  <c:v>142.31579757094983</c:v>
                </c:pt>
                <c:pt idx="5">
                  <c:v>104.76721376018986</c:v>
                </c:pt>
                <c:pt idx="6">
                  <c:v>-91.333269645630025</c:v>
                </c:pt>
                <c:pt idx="7">
                  <c:v>-233.52630932761008</c:v>
                </c:pt>
              </c:numCache>
            </c:numRef>
          </c:val>
          <c:extLst>
            <c:ext xmlns:c16="http://schemas.microsoft.com/office/drawing/2014/chart" uri="{C3380CC4-5D6E-409C-BE32-E72D297353CC}">
              <c16:uniqueId val="{00000000-C2C3-4C7B-BA4F-54106BDC00AC}"/>
            </c:ext>
          </c:extLst>
        </c:ser>
        <c:ser>
          <c:idx val="1"/>
          <c:order val="1"/>
          <c:tx>
            <c:strRef>
              <c:f>Sheet1!$I$446</c:f>
              <c:strCache>
                <c:ptCount val="1"/>
                <c:pt idx="0">
                  <c:v>Delta high</c:v>
                </c:pt>
              </c:strCache>
            </c:strRef>
          </c:tx>
          <c:spPr>
            <a:solidFill>
              <a:srgbClr val="2E7D32"/>
            </a:solidFill>
            <a:ln w="0">
              <a:noFill/>
            </a:ln>
          </c:spPr>
          <c:invertIfNegative val="0"/>
          <c:dLbls>
            <c:spPr>
              <a:noFill/>
              <a:ln>
                <a:noFill/>
              </a:ln>
              <a:effectLst/>
            </c:spPr>
            <c:txPr>
              <a:bodyPr anchorCtr="1"/>
              <a:lstStyle/>
              <a:p>
                <a:pPr>
                  <a:defRPr sz="1000" b="0" spc="-1">
                    <a:solidFill>
                      <a:srgbClr val="000000"/>
                    </a:solidFill>
                    <a:latin typeface="Arial"/>
                    <a:ea typeface="Arial"/>
                    <a:cs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Sheet1!$B$447:$B$454</c:f>
              <c:strCache>
                <c:ptCount val="8"/>
                <c:pt idx="0">
                  <c:v>CIR +/-1.5pp</c:v>
                </c:pt>
                <c:pt idx="1">
                  <c:v>Cost of credit +/-15bp</c:v>
                </c:pt>
                <c:pt idx="2">
                  <c:v>Payout +/-10pp</c:v>
                </c:pt>
                <c:pt idx="3">
                  <c:v>Financing growth +/-2pp</c:v>
                </c:pt>
                <c:pt idx="4">
                  <c:v>Cost of equity +/-100bp</c:v>
                </c:pt>
                <c:pt idx="5">
                  <c:v>Time-deposit rate +/-25bp</c:v>
                </c:pt>
                <c:pt idx="6">
                  <c:v>Fee growth +/-5pp</c:v>
                </c:pt>
                <c:pt idx="7">
                  <c:v>Gross margin yield +/-25bp</c:v>
                </c:pt>
              </c:strCache>
            </c:strRef>
          </c:cat>
          <c:val>
            <c:numRef>
              <c:f>Sheet1!$I$447:$I$454</c:f>
              <c:numCache>
                <c:formatCode>#,##0</c:formatCode>
                <c:ptCount val="8"/>
                <c:pt idx="0">
                  <c:v>-41.711779382970008</c:v>
                </c:pt>
                <c:pt idx="1">
                  <c:v>-45.833006925440031</c:v>
                </c:pt>
                <c:pt idx="2">
                  <c:v>1.6340154544700454</c:v>
                </c:pt>
                <c:pt idx="3">
                  <c:v>84.835710636889871</c:v>
                </c:pt>
                <c:pt idx="4">
                  <c:v>-121.48609159313014</c:v>
                </c:pt>
                <c:pt idx="5">
                  <c:v>-104.76721376019009</c:v>
                </c:pt>
                <c:pt idx="6">
                  <c:v>121.58279144456992</c:v>
                </c:pt>
                <c:pt idx="7">
                  <c:v>233.52630932761008</c:v>
                </c:pt>
              </c:numCache>
            </c:numRef>
          </c:val>
          <c:extLst>
            <c:ext xmlns:c16="http://schemas.microsoft.com/office/drawing/2014/chart" uri="{C3380CC4-5D6E-409C-BE32-E72D297353CC}">
              <c16:uniqueId val="{00000001-C2C3-4C7B-BA4F-54106BDC00AC}"/>
            </c:ext>
          </c:extLst>
        </c:ser>
        <c:dLbls>
          <c:showLegendKey val="0"/>
          <c:showVal val="0"/>
          <c:showCatName val="0"/>
          <c:showSerName val="0"/>
          <c:showPercent val="0"/>
          <c:showBubbleSize val="0"/>
        </c:dLbls>
        <c:gapWidth val="150"/>
        <c:overlap val="100"/>
        <c:axId val="78410850"/>
        <c:axId val="16554688"/>
      </c:barChart>
      <c:catAx>
        <c:axId val="78410850"/>
        <c:scaling>
          <c:orientation val="minMax"/>
        </c:scaling>
        <c:delete val="0"/>
        <c:axPos val="l"/>
        <c:numFmt formatCode="General" sourceLinked="0"/>
        <c:majorTickMark val="none"/>
        <c:minorTickMark val="none"/>
        <c:tickLblPos val="low"/>
        <c:spPr>
          <a:ln w="0">
            <a:solidFill>
              <a:srgbClr val="B3B3B3"/>
            </a:solidFill>
          </a:ln>
        </c:spPr>
        <c:txPr>
          <a:bodyPr anchorCtr="1"/>
          <a:lstStyle/>
          <a:p>
            <a:pPr>
              <a:defRPr sz="1000" b="0" spc="-1">
                <a:solidFill>
                  <a:srgbClr val="000000"/>
                </a:solidFill>
                <a:latin typeface="Calibri"/>
                <a:ea typeface="Calibri"/>
                <a:cs typeface="Calibri"/>
              </a:defRPr>
            </a:pPr>
            <a:endParaRPr lang="en-US"/>
          </a:p>
        </c:txPr>
        <c:crossAx val="16554688"/>
        <c:crosses val="autoZero"/>
        <c:auto val="1"/>
        <c:lblAlgn val="ctr"/>
        <c:lblOffset val="100"/>
        <c:noMultiLvlLbl val="1"/>
      </c:catAx>
      <c:valAx>
        <c:axId val="16554688"/>
        <c:scaling>
          <c:orientation val="minMax"/>
        </c:scaling>
        <c:delete val="0"/>
        <c:axPos val="b"/>
        <c:majorGridlines>
          <c:spPr>
            <a:ln w="0">
              <a:solidFill>
                <a:srgbClr val="B3B3B3"/>
              </a:solidFill>
            </a:ln>
          </c:spPr>
        </c:majorGridlines>
        <c:numFmt formatCode="#,##0" sourceLinked="0"/>
        <c:majorTickMark val="none"/>
        <c:minorTickMark val="none"/>
        <c:tickLblPos val="nextTo"/>
        <c:spPr>
          <a:ln w="0">
            <a:solidFill>
              <a:srgbClr val="B3B3B3"/>
            </a:solidFill>
          </a:ln>
        </c:spPr>
        <c:txPr>
          <a:bodyPr anchorCtr="1"/>
          <a:lstStyle/>
          <a:p>
            <a:pPr>
              <a:defRPr sz="1000" b="0" spc="-1">
                <a:solidFill>
                  <a:srgbClr val="000000"/>
                </a:solidFill>
                <a:latin typeface="Calibri"/>
                <a:ea typeface="Calibri"/>
                <a:cs typeface="Calibri"/>
              </a:defRPr>
            </a:pPr>
            <a:endParaRPr lang="en-US"/>
          </a:p>
        </c:txPr>
        <c:crossAx val="78410850"/>
        <c:crosses val="autoZero"/>
        <c:crossBetween val="between"/>
      </c:valAx>
      <c:spPr>
        <a:noFill/>
        <a:ln w="0">
          <a:noFill/>
        </a:ln>
      </c:spPr>
    </c:plotArea>
    <c:legend>
      <c:legendPos val="b"/>
      <c:overlay val="0"/>
      <c:spPr>
        <a:noFill/>
      </c:spPr>
      <c:txPr>
        <a:bodyPr anchorCtr="1"/>
        <a:lstStyle/>
        <a:p>
          <a:pPr>
            <a:defRPr sz="1000" b="0" spc="-1">
              <a:solidFill>
                <a:srgbClr val="000000"/>
              </a:solidFill>
              <a:latin typeface="Calibri"/>
              <a:ea typeface="Calibri"/>
              <a:cs typeface="Calibri"/>
            </a:defRPr>
          </a:pPr>
          <a:endParaRPr lang="en-US"/>
        </a:p>
      </c:txPr>
    </c:legend>
    <c:plotVisOnly val="1"/>
    <c:dispBlanksAs val="zero"/>
    <c:showDLblsOverMax val="1"/>
  </c:chart>
  <c:spPr>
    <a:solidFill>
      <a:srgbClr val="FFFFFF"/>
    </a:solidFill>
    <a:ln w="9360">
      <a:solidFill>
        <a:srgbClr val="D9D9D9"/>
      </a:solid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800" b="1" spc="-1">
                <a:solidFill>
                  <a:srgbClr val="000000"/>
                </a:solidFill>
                <a:latin typeface="Calibri"/>
                <a:ea typeface="Calibri"/>
                <a:cs typeface="Calibri"/>
              </a:rPr>
              <a:t>CAR vs target and regulatory minimum</a:t>
            </a:r>
          </a:p>
        </c:rich>
      </c:tx>
      <c:overlay val="0"/>
    </c:title>
    <c:autoTitleDeleted val="0"/>
    <c:plotArea>
      <c:layout/>
      <c:lineChart>
        <c:grouping val="standard"/>
        <c:varyColors val="0"/>
        <c:ser>
          <c:idx val="0"/>
          <c:order val="0"/>
          <c:tx>
            <c:v>CAR (model)</c:v>
          </c:tx>
          <c:spPr>
            <a:ln w="28440">
              <a:solidFill>
                <a:srgbClr val="1F3864"/>
              </a:solidFill>
            </a:ln>
          </c:spPr>
          <c:marker>
            <c:symbol val="none"/>
          </c:marker>
          <c:dLbls>
            <c:spPr>
              <a:noFill/>
              <a:ln>
                <a:noFill/>
              </a:ln>
              <a:effectLst/>
            </c:spPr>
            <c:txPr>
              <a:bodyPr anchorCtr="1"/>
              <a:lstStyle/>
              <a:p>
                <a:pPr>
                  <a:defRPr sz="1000" b="0" spc="-1">
                    <a:solidFill>
                      <a:srgbClr val="000000"/>
                    </a:solidFill>
                    <a:latin typeface="Arial"/>
                    <a:ea typeface="Arial"/>
                    <a:cs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Sheet1!$E$140:$S$140</c:f>
              <c:strCache>
                <c:ptCount val="15"/>
                <c:pt idx="0">
                  <c:v>FY21A</c:v>
                </c:pt>
                <c:pt idx="1">
                  <c:v>FY22A</c:v>
                </c:pt>
                <c:pt idx="2">
                  <c:v>FY23A</c:v>
                </c:pt>
                <c:pt idx="3">
                  <c:v>FY24A</c:v>
                </c:pt>
                <c:pt idx="4">
                  <c:v>FY25A</c:v>
                </c:pt>
                <c:pt idx="5">
                  <c:v>FY26E</c:v>
                </c:pt>
                <c:pt idx="6">
                  <c:v>FY27E</c:v>
                </c:pt>
                <c:pt idx="7">
                  <c:v>FY28E</c:v>
                </c:pt>
                <c:pt idx="8">
                  <c:v>FY29E</c:v>
                </c:pt>
                <c:pt idx="9">
                  <c:v>FY30E</c:v>
                </c:pt>
                <c:pt idx="10">
                  <c:v>FY31E</c:v>
                </c:pt>
                <c:pt idx="11">
                  <c:v>FY32E</c:v>
                </c:pt>
                <c:pt idx="12">
                  <c:v>FY33E</c:v>
                </c:pt>
                <c:pt idx="13">
                  <c:v>FY34E</c:v>
                </c:pt>
                <c:pt idx="14">
                  <c:v>FY35E</c:v>
                </c:pt>
              </c:strCache>
            </c:strRef>
          </c:cat>
          <c:val>
            <c:numRef>
              <c:f>Sheet1!$E$328:$S$328</c:f>
              <c:numCache>
                <c:formatCode>0.0%</c:formatCode>
                <c:ptCount val="15"/>
                <c:pt idx="0">
                  <c:v>0.22086521815038754</c:v>
                </c:pt>
                <c:pt idx="1">
                  <c:v>0.20293205958405799</c:v>
                </c:pt>
                <c:pt idx="2">
                  <c:v>0.21044249323486508</c:v>
                </c:pt>
                <c:pt idx="3">
                  <c:v>0.21403664446695822</c:v>
                </c:pt>
                <c:pt idx="4">
                  <c:v>0.21996524721384358</c:v>
                </c:pt>
                <c:pt idx="5">
                  <c:v>0.22000883624760575</c:v>
                </c:pt>
                <c:pt idx="6">
                  <c:v>0.24524347352430514</c:v>
                </c:pt>
                <c:pt idx="7">
                  <c:v>0.24758546831325884</c:v>
                </c:pt>
                <c:pt idx="8">
                  <c:v>0.25175609540588806</c:v>
                </c:pt>
                <c:pt idx="9">
                  <c:v>0.25651249954318212</c:v>
                </c:pt>
                <c:pt idx="10">
                  <c:v>0.26208880727592776</c:v>
                </c:pt>
                <c:pt idx="11">
                  <c:v>0.26524103865691562</c:v>
                </c:pt>
                <c:pt idx="12">
                  <c:v>0.26615704261128365</c:v>
                </c:pt>
                <c:pt idx="13">
                  <c:v>0.26672525733579877</c:v>
                </c:pt>
                <c:pt idx="14">
                  <c:v>0.26696652662695464</c:v>
                </c:pt>
              </c:numCache>
            </c:numRef>
          </c:val>
          <c:smooth val="1"/>
          <c:extLst>
            <c:ext xmlns:c16="http://schemas.microsoft.com/office/drawing/2014/chart" uri="{C3380CC4-5D6E-409C-BE32-E72D297353CC}">
              <c16:uniqueId val="{00000000-B4AF-41C9-AC4E-F28DF56C14C2}"/>
            </c:ext>
          </c:extLst>
        </c:ser>
        <c:ser>
          <c:idx val="1"/>
          <c:order val="1"/>
          <c:tx>
            <c:v>Target CAR</c:v>
          </c:tx>
          <c:spPr>
            <a:ln w="28440">
              <a:solidFill>
                <a:srgbClr val="C62828"/>
              </a:solidFill>
              <a:prstDash val="dash"/>
            </a:ln>
          </c:spPr>
          <c:marker>
            <c:symbol val="none"/>
          </c:marker>
          <c:dLbls>
            <c:spPr>
              <a:noFill/>
              <a:ln>
                <a:noFill/>
              </a:ln>
              <a:effectLst/>
            </c:spPr>
            <c:txPr>
              <a:bodyPr anchorCtr="1"/>
              <a:lstStyle/>
              <a:p>
                <a:pPr>
                  <a:defRPr sz="1000" b="0" spc="-1">
                    <a:solidFill>
                      <a:srgbClr val="000000"/>
                    </a:solidFill>
                    <a:latin typeface="Arial"/>
                    <a:ea typeface="Arial"/>
                    <a:cs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Sheet1!$E$140:$S$140</c:f>
              <c:strCache>
                <c:ptCount val="15"/>
                <c:pt idx="0">
                  <c:v>FY21A</c:v>
                </c:pt>
                <c:pt idx="1">
                  <c:v>FY22A</c:v>
                </c:pt>
                <c:pt idx="2">
                  <c:v>FY23A</c:v>
                </c:pt>
                <c:pt idx="3">
                  <c:v>FY24A</c:v>
                </c:pt>
                <c:pt idx="4">
                  <c:v>FY25A</c:v>
                </c:pt>
                <c:pt idx="5">
                  <c:v>FY26E</c:v>
                </c:pt>
                <c:pt idx="6">
                  <c:v>FY27E</c:v>
                </c:pt>
                <c:pt idx="7">
                  <c:v>FY28E</c:v>
                </c:pt>
                <c:pt idx="8">
                  <c:v>FY29E</c:v>
                </c:pt>
                <c:pt idx="9">
                  <c:v>FY30E</c:v>
                </c:pt>
                <c:pt idx="10">
                  <c:v>FY31E</c:v>
                </c:pt>
                <c:pt idx="11">
                  <c:v>FY32E</c:v>
                </c:pt>
                <c:pt idx="12">
                  <c:v>FY33E</c:v>
                </c:pt>
                <c:pt idx="13">
                  <c:v>FY34E</c:v>
                </c:pt>
                <c:pt idx="14">
                  <c:v>FY35E</c:v>
                </c:pt>
              </c:strCache>
            </c:strRef>
          </c:cat>
          <c:val>
            <c:numRef>
              <c:f>Charts!$E$213:$S$213</c:f>
              <c:numCache>
                <c:formatCode>0.0%</c:formatCode>
                <c:ptCount val="15"/>
                <c:pt idx="0">
                  <c:v>0.2</c:v>
                </c:pt>
                <c:pt idx="1">
                  <c:v>0.2</c:v>
                </c:pt>
                <c:pt idx="2">
                  <c:v>0.2</c:v>
                </c:pt>
                <c:pt idx="3">
                  <c:v>0.2</c:v>
                </c:pt>
                <c:pt idx="4">
                  <c:v>0.2</c:v>
                </c:pt>
                <c:pt idx="5">
                  <c:v>0.2</c:v>
                </c:pt>
                <c:pt idx="6">
                  <c:v>0.2</c:v>
                </c:pt>
                <c:pt idx="7">
                  <c:v>0.2</c:v>
                </c:pt>
                <c:pt idx="8">
                  <c:v>0.2</c:v>
                </c:pt>
                <c:pt idx="9">
                  <c:v>0.2</c:v>
                </c:pt>
                <c:pt idx="10">
                  <c:v>0.2</c:v>
                </c:pt>
                <c:pt idx="11">
                  <c:v>0.2</c:v>
                </c:pt>
                <c:pt idx="12">
                  <c:v>0.2</c:v>
                </c:pt>
                <c:pt idx="13">
                  <c:v>0.2</c:v>
                </c:pt>
                <c:pt idx="14">
                  <c:v>0.2</c:v>
                </c:pt>
              </c:numCache>
            </c:numRef>
          </c:val>
          <c:smooth val="1"/>
          <c:extLst>
            <c:ext xmlns:c16="http://schemas.microsoft.com/office/drawing/2014/chart" uri="{C3380CC4-5D6E-409C-BE32-E72D297353CC}">
              <c16:uniqueId val="{00000001-B4AF-41C9-AC4E-F28DF56C14C2}"/>
            </c:ext>
          </c:extLst>
        </c:ser>
        <c:ser>
          <c:idx val="2"/>
          <c:order val="2"/>
          <c:tx>
            <c:v>Regulatory minimum</c:v>
          </c:tx>
          <c:spPr>
            <a:ln w="28440">
              <a:solidFill>
                <a:srgbClr val="7F7F7F"/>
              </a:solidFill>
              <a:prstDash val="dash"/>
            </a:ln>
          </c:spPr>
          <c:marker>
            <c:symbol val="none"/>
          </c:marker>
          <c:dLbls>
            <c:spPr>
              <a:noFill/>
              <a:ln>
                <a:noFill/>
              </a:ln>
              <a:effectLst/>
            </c:spPr>
            <c:txPr>
              <a:bodyPr anchorCtr="1"/>
              <a:lstStyle/>
              <a:p>
                <a:pPr>
                  <a:defRPr sz="1000" b="0" spc="-1">
                    <a:solidFill>
                      <a:srgbClr val="000000"/>
                    </a:solidFill>
                    <a:latin typeface="Arial"/>
                    <a:ea typeface="Arial"/>
                    <a:cs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Sheet1!$E$140:$S$140</c:f>
              <c:strCache>
                <c:ptCount val="15"/>
                <c:pt idx="0">
                  <c:v>FY21A</c:v>
                </c:pt>
                <c:pt idx="1">
                  <c:v>FY22A</c:v>
                </c:pt>
                <c:pt idx="2">
                  <c:v>FY23A</c:v>
                </c:pt>
                <c:pt idx="3">
                  <c:v>FY24A</c:v>
                </c:pt>
                <c:pt idx="4">
                  <c:v>FY25A</c:v>
                </c:pt>
                <c:pt idx="5">
                  <c:v>FY26E</c:v>
                </c:pt>
                <c:pt idx="6">
                  <c:v>FY27E</c:v>
                </c:pt>
                <c:pt idx="7">
                  <c:v>FY28E</c:v>
                </c:pt>
                <c:pt idx="8">
                  <c:v>FY29E</c:v>
                </c:pt>
                <c:pt idx="9">
                  <c:v>FY30E</c:v>
                </c:pt>
                <c:pt idx="10">
                  <c:v>FY31E</c:v>
                </c:pt>
                <c:pt idx="11">
                  <c:v>FY32E</c:v>
                </c:pt>
                <c:pt idx="12">
                  <c:v>FY33E</c:v>
                </c:pt>
                <c:pt idx="13">
                  <c:v>FY34E</c:v>
                </c:pt>
                <c:pt idx="14">
                  <c:v>FY35E</c:v>
                </c:pt>
              </c:strCache>
            </c:strRef>
          </c:cat>
          <c:val>
            <c:numRef>
              <c:f>Charts!$E$214:$S$214</c:f>
              <c:numCache>
                <c:formatCode>0.0%</c:formatCode>
                <c:ptCount val="15"/>
                <c:pt idx="0">
                  <c:v>0.13489999999999999</c:v>
                </c:pt>
                <c:pt idx="1">
                  <c:v>0.13489999999999999</c:v>
                </c:pt>
                <c:pt idx="2">
                  <c:v>0.13489999999999999</c:v>
                </c:pt>
                <c:pt idx="3">
                  <c:v>0.13489999999999999</c:v>
                </c:pt>
                <c:pt idx="4">
                  <c:v>0.13489999999999999</c:v>
                </c:pt>
                <c:pt idx="5">
                  <c:v>0.13489999999999999</c:v>
                </c:pt>
                <c:pt idx="6">
                  <c:v>0.13489999999999999</c:v>
                </c:pt>
                <c:pt idx="7">
                  <c:v>0.13489999999999999</c:v>
                </c:pt>
                <c:pt idx="8">
                  <c:v>0.13489999999999999</c:v>
                </c:pt>
                <c:pt idx="9">
                  <c:v>0.13489999999999999</c:v>
                </c:pt>
                <c:pt idx="10">
                  <c:v>0.13489999999999999</c:v>
                </c:pt>
                <c:pt idx="11">
                  <c:v>0.13489999999999999</c:v>
                </c:pt>
                <c:pt idx="12">
                  <c:v>0.13489999999999999</c:v>
                </c:pt>
                <c:pt idx="13">
                  <c:v>0.13489999999999999</c:v>
                </c:pt>
                <c:pt idx="14">
                  <c:v>0.13489999999999999</c:v>
                </c:pt>
              </c:numCache>
            </c:numRef>
          </c:val>
          <c:smooth val="1"/>
          <c:extLst>
            <c:ext xmlns:c16="http://schemas.microsoft.com/office/drawing/2014/chart" uri="{C3380CC4-5D6E-409C-BE32-E72D297353CC}">
              <c16:uniqueId val="{00000002-B4AF-41C9-AC4E-F28DF56C14C2}"/>
            </c:ext>
          </c:extLst>
        </c:ser>
        <c:dLbls>
          <c:showLegendKey val="0"/>
          <c:showVal val="0"/>
          <c:showCatName val="0"/>
          <c:showSerName val="0"/>
          <c:showPercent val="0"/>
          <c:showBubbleSize val="0"/>
        </c:dLbls>
        <c:smooth val="0"/>
        <c:axId val="46004033"/>
        <c:axId val="24991905"/>
      </c:lineChart>
      <c:catAx>
        <c:axId val="46004033"/>
        <c:scaling>
          <c:orientation val="minMax"/>
        </c:scaling>
        <c:delete val="0"/>
        <c:axPos val="b"/>
        <c:numFmt formatCode="General" sourceLinked="0"/>
        <c:majorTickMark val="none"/>
        <c:minorTickMark val="none"/>
        <c:tickLblPos val="nextTo"/>
        <c:spPr>
          <a:ln w="0">
            <a:solidFill>
              <a:srgbClr val="B3B3B3"/>
            </a:solidFill>
          </a:ln>
        </c:spPr>
        <c:txPr>
          <a:bodyPr anchorCtr="1"/>
          <a:lstStyle/>
          <a:p>
            <a:pPr>
              <a:defRPr sz="1000" b="0" spc="-1">
                <a:solidFill>
                  <a:srgbClr val="000000"/>
                </a:solidFill>
                <a:latin typeface="Calibri"/>
                <a:ea typeface="Calibri"/>
                <a:cs typeface="Calibri"/>
              </a:defRPr>
            </a:pPr>
            <a:endParaRPr lang="en-US"/>
          </a:p>
        </c:txPr>
        <c:crossAx val="24991905"/>
        <c:crosses val="autoZero"/>
        <c:auto val="1"/>
        <c:lblAlgn val="ctr"/>
        <c:lblOffset val="100"/>
        <c:noMultiLvlLbl val="1"/>
      </c:catAx>
      <c:valAx>
        <c:axId val="24991905"/>
        <c:scaling>
          <c:orientation val="minMax"/>
        </c:scaling>
        <c:delete val="0"/>
        <c:axPos val="l"/>
        <c:majorGridlines>
          <c:spPr>
            <a:ln w="0">
              <a:solidFill>
                <a:srgbClr val="B3B3B3"/>
              </a:solidFill>
            </a:ln>
          </c:spPr>
        </c:majorGridlines>
        <c:title>
          <c:tx>
            <c:rich>
              <a:bodyPr/>
              <a:lstStyle/>
              <a:p>
                <a:r>
                  <a:rPr sz="1000" b="1" spc="-1">
                    <a:solidFill>
                      <a:srgbClr val="000000"/>
                    </a:solidFill>
                    <a:latin typeface="Calibri"/>
                    <a:ea typeface="Calibri"/>
                    <a:cs typeface="Calibri"/>
                  </a:rPr>
                  <a:t>CAR</a:t>
                </a:r>
              </a:p>
            </c:rich>
          </c:tx>
          <c:overlay val="0"/>
        </c:title>
        <c:numFmt formatCode="0%" sourceLinked="0"/>
        <c:majorTickMark val="none"/>
        <c:minorTickMark val="none"/>
        <c:tickLblPos val="nextTo"/>
        <c:spPr>
          <a:ln w="0">
            <a:solidFill>
              <a:srgbClr val="B3B3B3"/>
            </a:solidFill>
          </a:ln>
        </c:spPr>
        <c:txPr>
          <a:bodyPr anchorCtr="1"/>
          <a:lstStyle/>
          <a:p>
            <a:pPr>
              <a:defRPr sz="1000" b="0" spc="-1">
                <a:solidFill>
                  <a:srgbClr val="000000"/>
                </a:solidFill>
                <a:latin typeface="Calibri"/>
                <a:ea typeface="Calibri"/>
                <a:cs typeface="Calibri"/>
              </a:defRPr>
            </a:pPr>
            <a:endParaRPr lang="en-US"/>
          </a:p>
        </c:txPr>
        <c:crossAx val="46004033"/>
        <c:crosses val="autoZero"/>
        <c:crossBetween val="between"/>
      </c:valAx>
      <c:spPr>
        <a:noFill/>
        <a:ln w="0">
          <a:noFill/>
        </a:ln>
      </c:spPr>
    </c:plotArea>
    <c:legend>
      <c:legendPos val="b"/>
      <c:overlay val="0"/>
      <c:spPr>
        <a:noFill/>
      </c:spPr>
      <c:txPr>
        <a:bodyPr anchorCtr="1"/>
        <a:lstStyle/>
        <a:p>
          <a:pPr>
            <a:defRPr sz="1000" b="0" spc="-1">
              <a:solidFill>
                <a:srgbClr val="000000"/>
              </a:solidFill>
              <a:latin typeface="Calibri"/>
              <a:ea typeface="Calibri"/>
              <a:cs typeface="Calibri"/>
            </a:defRPr>
          </a:pPr>
          <a:endParaRPr lang="en-US"/>
        </a:p>
      </c:txPr>
    </c:legend>
    <c:plotVisOnly val="1"/>
    <c:dispBlanksAs val="zero"/>
    <c:showDLblsOverMax val="1"/>
  </c:chart>
  <c:spPr>
    <a:solidFill>
      <a:srgbClr val="FFFFFF"/>
    </a:solidFill>
    <a:ln w="9360">
      <a:solidFill>
        <a:srgbClr val="D9D9D9"/>
      </a:solidFill>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800" b="1" spc="-1">
                <a:solidFill>
                  <a:srgbClr val="000000"/>
                </a:solidFill>
                <a:latin typeface="Calibri"/>
                <a:ea typeface="Calibri"/>
                <a:cs typeface="Calibri"/>
              </a:rPr>
              <a:t>ROE vs cost of equity</a:t>
            </a:r>
          </a:p>
        </c:rich>
      </c:tx>
      <c:overlay val="0"/>
    </c:title>
    <c:autoTitleDeleted val="0"/>
    <c:plotArea>
      <c:layout/>
      <c:lineChart>
        <c:grouping val="standard"/>
        <c:varyColors val="0"/>
        <c:ser>
          <c:idx val="0"/>
          <c:order val="0"/>
          <c:tx>
            <c:v>ROE (average equity)</c:v>
          </c:tx>
          <c:spPr>
            <a:ln w="28440">
              <a:solidFill>
                <a:srgbClr val="1F3864"/>
              </a:solidFill>
            </a:ln>
          </c:spPr>
          <c:marker>
            <c:symbol val="none"/>
          </c:marker>
          <c:dLbls>
            <c:spPr>
              <a:noFill/>
              <a:ln>
                <a:noFill/>
              </a:ln>
              <a:effectLst/>
            </c:spPr>
            <c:txPr>
              <a:bodyPr anchorCtr="1"/>
              <a:lstStyle/>
              <a:p>
                <a:pPr>
                  <a:defRPr sz="1000" b="0" spc="-1">
                    <a:solidFill>
                      <a:srgbClr val="000000"/>
                    </a:solidFill>
                    <a:latin typeface="Arial"/>
                    <a:ea typeface="Arial"/>
                    <a:cs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Sheet1!$E$140:$S$140</c:f>
              <c:strCache>
                <c:ptCount val="15"/>
                <c:pt idx="0">
                  <c:v>FY21A</c:v>
                </c:pt>
                <c:pt idx="1">
                  <c:v>FY22A</c:v>
                </c:pt>
                <c:pt idx="2">
                  <c:v>FY23A</c:v>
                </c:pt>
                <c:pt idx="3">
                  <c:v>FY24A</c:v>
                </c:pt>
                <c:pt idx="4">
                  <c:v>FY25A</c:v>
                </c:pt>
                <c:pt idx="5">
                  <c:v>FY26E</c:v>
                </c:pt>
                <c:pt idx="6">
                  <c:v>FY27E</c:v>
                </c:pt>
                <c:pt idx="7">
                  <c:v>FY28E</c:v>
                </c:pt>
                <c:pt idx="8">
                  <c:v>FY29E</c:v>
                </c:pt>
                <c:pt idx="9">
                  <c:v>FY30E</c:v>
                </c:pt>
                <c:pt idx="10">
                  <c:v>FY31E</c:v>
                </c:pt>
                <c:pt idx="11">
                  <c:v>FY32E</c:v>
                </c:pt>
                <c:pt idx="12">
                  <c:v>FY33E</c:v>
                </c:pt>
                <c:pt idx="13">
                  <c:v>FY34E</c:v>
                </c:pt>
                <c:pt idx="14">
                  <c:v>FY35E</c:v>
                </c:pt>
              </c:strCache>
            </c:strRef>
          </c:cat>
          <c:val>
            <c:numRef>
              <c:f>Sheet1!$E$347:$S$347</c:f>
              <c:numCache>
                <c:formatCode>0.0%</c:formatCode>
                <c:ptCount val="15"/>
                <c:pt idx="1">
                  <c:v>0.1455914150552528</c:v>
                </c:pt>
                <c:pt idx="2">
                  <c:v>0.15789974246150132</c:v>
                </c:pt>
                <c:pt idx="3">
                  <c:v>0.16724349606418271</c:v>
                </c:pt>
                <c:pt idx="4">
                  <c:v>0.1560403365776222</c:v>
                </c:pt>
                <c:pt idx="5">
                  <c:v>0.15199022731428394</c:v>
                </c:pt>
                <c:pt idx="6">
                  <c:v>0.15653778798789025</c:v>
                </c:pt>
                <c:pt idx="7">
                  <c:v>0.15372454768257623</c:v>
                </c:pt>
                <c:pt idx="8">
                  <c:v>0.15386886346413017</c:v>
                </c:pt>
                <c:pt idx="9">
                  <c:v>0.15271595223249482</c:v>
                </c:pt>
                <c:pt idx="10">
                  <c:v>0.14967758394475775</c:v>
                </c:pt>
                <c:pt idx="11">
                  <c:v>0.14743885690328595</c:v>
                </c:pt>
                <c:pt idx="12">
                  <c:v>0.14651133285646717</c:v>
                </c:pt>
                <c:pt idx="13">
                  <c:v>0.1462659102074344</c:v>
                </c:pt>
                <c:pt idx="14">
                  <c:v>0.146197149735769</c:v>
                </c:pt>
              </c:numCache>
            </c:numRef>
          </c:val>
          <c:smooth val="1"/>
          <c:extLst>
            <c:ext xmlns:c16="http://schemas.microsoft.com/office/drawing/2014/chart" uri="{C3380CC4-5D6E-409C-BE32-E72D297353CC}">
              <c16:uniqueId val="{00000000-1818-4451-81DA-B47FCA5A16C4}"/>
            </c:ext>
          </c:extLst>
        </c:ser>
        <c:ser>
          <c:idx val="1"/>
          <c:order val="1"/>
          <c:tx>
            <c:v>Cost of equity (yearly)</c:v>
          </c:tx>
          <c:spPr>
            <a:ln w="28440">
              <a:solidFill>
                <a:srgbClr val="C62828"/>
              </a:solidFill>
              <a:prstDash val="dash"/>
            </a:ln>
          </c:spPr>
          <c:marker>
            <c:symbol val="none"/>
          </c:marker>
          <c:dLbls>
            <c:spPr>
              <a:noFill/>
              <a:ln>
                <a:noFill/>
              </a:ln>
              <a:effectLst/>
            </c:spPr>
            <c:txPr>
              <a:bodyPr anchorCtr="1"/>
              <a:lstStyle/>
              <a:p>
                <a:pPr>
                  <a:defRPr sz="1000" b="0" spc="-1">
                    <a:solidFill>
                      <a:srgbClr val="000000"/>
                    </a:solidFill>
                    <a:latin typeface="Arial"/>
                    <a:ea typeface="Arial"/>
                    <a:cs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Sheet1!$E$140:$S$140</c:f>
              <c:strCache>
                <c:ptCount val="15"/>
                <c:pt idx="0">
                  <c:v>FY21A</c:v>
                </c:pt>
                <c:pt idx="1">
                  <c:v>FY22A</c:v>
                </c:pt>
                <c:pt idx="2">
                  <c:v>FY23A</c:v>
                </c:pt>
                <c:pt idx="3">
                  <c:v>FY24A</c:v>
                </c:pt>
                <c:pt idx="4">
                  <c:v>FY25A</c:v>
                </c:pt>
                <c:pt idx="5">
                  <c:v>FY26E</c:v>
                </c:pt>
                <c:pt idx="6">
                  <c:v>FY27E</c:v>
                </c:pt>
                <c:pt idx="7">
                  <c:v>FY28E</c:v>
                </c:pt>
                <c:pt idx="8">
                  <c:v>FY29E</c:v>
                </c:pt>
                <c:pt idx="9">
                  <c:v>FY30E</c:v>
                </c:pt>
                <c:pt idx="10">
                  <c:v>FY31E</c:v>
                </c:pt>
                <c:pt idx="11">
                  <c:v>FY32E</c:v>
                </c:pt>
                <c:pt idx="12">
                  <c:v>FY33E</c:v>
                </c:pt>
                <c:pt idx="13">
                  <c:v>FY34E</c:v>
                </c:pt>
                <c:pt idx="14">
                  <c:v>FY35E</c:v>
                </c:pt>
              </c:strCache>
            </c:strRef>
          </c:cat>
          <c:val>
            <c:numRef>
              <c:f>Charts!$E$215:$S$215</c:f>
              <c:numCache>
                <c:formatCode>0.00%</c:formatCode>
                <c:ptCount val="15"/>
                <c:pt idx="0">
                  <c:v>0.11229724000000002</c:v>
                </c:pt>
                <c:pt idx="1">
                  <c:v>0.11229724000000002</c:v>
                </c:pt>
                <c:pt idx="2">
                  <c:v>0.11229724000000002</c:v>
                </c:pt>
                <c:pt idx="3">
                  <c:v>0.11229724000000002</c:v>
                </c:pt>
                <c:pt idx="4">
                  <c:v>0.11229724000000002</c:v>
                </c:pt>
                <c:pt idx="5">
                  <c:v>0.11229724000000002</c:v>
                </c:pt>
                <c:pt idx="6">
                  <c:v>0.11343088000000001</c:v>
                </c:pt>
                <c:pt idx="7">
                  <c:v>0.11456452</c:v>
                </c:pt>
                <c:pt idx="8">
                  <c:v>0.11569816000000002</c:v>
                </c:pt>
                <c:pt idx="9">
                  <c:v>0.11683180000000001</c:v>
                </c:pt>
                <c:pt idx="10">
                  <c:v>0.11796544</c:v>
                </c:pt>
                <c:pt idx="11">
                  <c:v>0.11909908</c:v>
                </c:pt>
                <c:pt idx="12">
                  <c:v>0.12023272000000002</c:v>
                </c:pt>
                <c:pt idx="13">
                  <c:v>0.12136636000000001</c:v>
                </c:pt>
                <c:pt idx="14">
                  <c:v>0.1225</c:v>
                </c:pt>
              </c:numCache>
            </c:numRef>
          </c:val>
          <c:smooth val="1"/>
          <c:extLst>
            <c:ext xmlns:c16="http://schemas.microsoft.com/office/drawing/2014/chart" uri="{C3380CC4-5D6E-409C-BE32-E72D297353CC}">
              <c16:uniqueId val="{00000001-1818-4451-81DA-B47FCA5A16C4}"/>
            </c:ext>
          </c:extLst>
        </c:ser>
        <c:dLbls>
          <c:showLegendKey val="0"/>
          <c:showVal val="0"/>
          <c:showCatName val="0"/>
          <c:showSerName val="0"/>
          <c:showPercent val="0"/>
          <c:showBubbleSize val="0"/>
        </c:dLbls>
        <c:smooth val="0"/>
        <c:axId val="66789120"/>
        <c:axId val="17976543"/>
      </c:lineChart>
      <c:catAx>
        <c:axId val="66789120"/>
        <c:scaling>
          <c:orientation val="minMax"/>
        </c:scaling>
        <c:delete val="0"/>
        <c:axPos val="b"/>
        <c:numFmt formatCode="General" sourceLinked="0"/>
        <c:majorTickMark val="none"/>
        <c:minorTickMark val="none"/>
        <c:tickLblPos val="nextTo"/>
        <c:spPr>
          <a:ln w="0">
            <a:solidFill>
              <a:srgbClr val="B3B3B3"/>
            </a:solidFill>
          </a:ln>
        </c:spPr>
        <c:txPr>
          <a:bodyPr anchorCtr="1"/>
          <a:lstStyle/>
          <a:p>
            <a:pPr>
              <a:defRPr sz="1000" b="0" spc="-1">
                <a:solidFill>
                  <a:srgbClr val="000000"/>
                </a:solidFill>
                <a:latin typeface="Calibri"/>
                <a:ea typeface="Calibri"/>
                <a:cs typeface="Calibri"/>
              </a:defRPr>
            </a:pPr>
            <a:endParaRPr lang="en-US"/>
          </a:p>
        </c:txPr>
        <c:crossAx val="17976543"/>
        <c:crosses val="autoZero"/>
        <c:auto val="1"/>
        <c:lblAlgn val="ctr"/>
        <c:lblOffset val="100"/>
        <c:noMultiLvlLbl val="1"/>
      </c:catAx>
      <c:valAx>
        <c:axId val="17976543"/>
        <c:scaling>
          <c:orientation val="minMax"/>
        </c:scaling>
        <c:delete val="0"/>
        <c:axPos val="l"/>
        <c:majorGridlines>
          <c:spPr>
            <a:ln w="0">
              <a:solidFill>
                <a:srgbClr val="B3B3B3"/>
              </a:solidFill>
            </a:ln>
          </c:spPr>
        </c:majorGridlines>
        <c:title>
          <c:tx>
            <c:rich>
              <a:bodyPr/>
              <a:lstStyle/>
              <a:p>
                <a:r>
                  <a:rPr sz="1000" b="1" spc="-1">
                    <a:solidFill>
                      <a:srgbClr val="000000"/>
                    </a:solidFill>
                    <a:latin typeface="Calibri"/>
                    <a:ea typeface="Calibri"/>
                    <a:cs typeface="Calibri"/>
                  </a:rPr>
                  <a:t>% of average equity</a:t>
                </a:r>
              </a:p>
            </c:rich>
          </c:tx>
          <c:overlay val="0"/>
        </c:title>
        <c:numFmt formatCode="0%" sourceLinked="0"/>
        <c:majorTickMark val="none"/>
        <c:minorTickMark val="none"/>
        <c:tickLblPos val="nextTo"/>
        <c:spPr>
          <a:ln w="0">
            <a:solidFill>
              <a:srgbClr val="B3B3B3"/>
            </a:solidFill>
          </a:ln>
        </c:spPr>
        <c:txPr>
          <a:bodyPr anchorCtr="1"/>
          <a:lstStyle/>
          <a:p>
            <a:pPr>
              <a:defRPr sz="1000" b="0" spc="-1">
                <a:solidFill>
                  <a:srgbClr val="000000"/>
                </a:solidFill>
                <a:latin typeface="Calibri"/>
                <a:ea typeface="Calibri"/>
                <a:cs typeface="Calibri"/>
              </a:defRPr>
            </a:pPr>
            <a:endParaRPr lang="en-US"/>
          </a:p>
        </c:txPr>
        <c:crossAx val="66789120"/>
        <c:crosses val="autoZero"/>
        <c:crossBetween val="between"/>
      </c:valAx>
      <c:spPr>
        <a:noFill/>
        <a:ln w="0">
          <a:noFill/>
        </a:ln>
      </c:spPr>
    </c:plotArea>
    <c:legend>
      <c:legendPos val="b"/>
      <c:overlay val="0"/>
      <c:spPr>
        <a:noFill/>
      </c:spPr>
      <c:txPr>
        <a:bodyPr anchorCtr="1"/>
        <a:lstStyle/>
        <a:p>
          <a:pPr>
            <a:defRPr sz="1000" b="0" spc="-1">
              <a:solidFill>
                <a:srgbClr val="000000"/>
              </a:solidFill>
              <a:latin typeface="Calibri"/>
              <a:ea typeface="Calibri"/>
              <a:cs typeface="Calibri"/>
            </a:defRPr>
          </a:pPr>
          <a:endParaRPr lang="en-US"/>
        </a:p>
      </c:txPr>
    </c:legend>
    <c:plotVisOnly val="1"/>
    <c:dispBlanksAs val="zero"/>
    <c:showDLblsOverMax val="1"/>
  </c:chart>
  <c:spPr>
    <a:solidFill>
      <a:srgbClr val="FFFFFF"/>
    </a:solidFill>
    <a:ln w="9360">
      <a:solidFill>
        <a:srgbClr val="D9D9D9"/>
      </a:solidFill>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800" b="1" spc="-1">
                <a:solidFill>
                  <a:srgbClr val="000000"/>
                </a:solidFill>
                <a:latin typeface="Calibri"/>
                <a:ea typeface="Calibri"/>
                <a:cs typeface="Calibri"/>
              </a:rPr>
              <a:t>Gross financing and net profit (Rp bn)</a:t>
            </a:r>
          </a:p>
        </c:rich>
      </c:tx>
      <c:overlay val="0"/>
    </c:title>
    <c:autoTitleDeleted val="0"/>
    <c:plotArea>
      <c:layout/>
      <c:barChart>
        <c:barDir val="col"/>
        <c:grouping val="clustered"/>
        <c:varyColors val="0"/>
        <c:ser>
          <c:idx val="0"/>
          <c:order val="0"/>
          <c:tx>
            <c:v>Gross financing</c:v>
          </c:tx>
          <c:spPr>
            <a:solidFill>
              <a:srgbClr val="1F3864"/>
            </a:solidFill>
            <a:ln w="0">
              <a:noFill/>
            </a:ln>
          </c:spPr>
          <c:invertIfNegative val="0"/>
          <c:dLbls>
            <c:spPr>
              <a:noFill/>
              <a:ln>
                <a:noFill/>
              </a:ln>
              <a:effectLst/>
            </c:spPr>
            <c:txPr>
              <a:bodyPr anchorCtr="1"/>
              <a:lstStyle/>
              <a:p>
                <a:pPr>
                  <a:defRPr sz="1000" b="0" spc="-1">
                    <a:solidFill>
                      <a:srgbClr val="000000"/>
                    </a:solidFill>
                    <a:latin typeface="Arial"/>
                    <a:ea typeface="Arial"/>
                    <a:cs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Sheet1!$E$140:$S$140</c:f>
              <c:strCache>
                <c:ptCount val="15"/>
                <c:pt idx="0">
                  <c:v>FY21A</c:v>
                </c:pt>
                <c:pt idx="1">
                  <c:v>FY22A</c:v>
                </c:pt>
                <c:pt idx="2">
                  <c:v>FY23A</c:v>
                </c:pt>
                <c:pt idx="3">
                  <c:v>FY24A</c:v>
                </c:pt>
                <c:pt idx="4">
                  <c:v>FY25A</c:v>
                </c:pt>
                <c:pt idx="5">
                  <c:v>FY26E</c:v>
                </c:pt>
                <c:pt idx="6">
                  <c:v>FY27E</c:v>
                </c:pt>
                <c:pt idx="7">
                  <c:v>FY28E</c:v>
                </c:pt>
                <c:pt idx="8">
                  <c:v>FY29E</c:v>
                </c:pt>
                <c:pt idx="9">
                  <c:v>FY30E</c:v>
                </c:pt>
                <c:pt idx="10">
                  <c:v>FY31E</c:v>
                </c:pt>
                <c:pt idx="11">
                  <c:v>FY32E</c:v>
                </c:pt>
                <c:pt idx="12">
                  <c:v>FY33E</c:v>
                </c:pt>
                <c:pt idx="13">
                  <c:v>FY34E</c:v>
                </c:pt>
                <c:pt idx="14">
                  <c:v>FY35E</c:v>
                </c:pt>
              </c:strCache>
            </c:strRef>
          </c:cat>
          <c:val>
            <c:numRef>
              <c:f>Sheet1!$E$212:$S$212</c:f>
              <c:numCache>
                <c:formatCode>#,##0</c:formatCode>
                <c:ptCount val="15"/>
                <c:pt idx="0">
                  <c:v>171291</c:v>
                </c:pt>
                <c:pt idx="1">
                  <c:v>207704</c:v>
                </c:pt>
                <c:pt idx="2">
                  <c:v>240316</c:v>
                </c:pt>
                <c:pt idx="3">
                  <c:v>278481</c:v>
                </c:pt>
                <c:pt idx="4">
                  <c:v>318844</c:v>
                </c:pt>
                <c:pt idx="5">
                  <c:v>364695.64</c:v>
                </c:pt>
                <c:pt idx="6">
                  <c:v>411892.25539999997</c:v>
                </c:pt>
                <c:pt idx="7">
                  <c:v>459428.36733200005</c:v>
                </c:pt>
                <c:pt idx="8">
                  <c:v>508515.23515956011</c:v>
                </c:pt>
                <c:pt idx="9">
                  <c:v>558446.82981367095</c:v>
                </c:pt>
                <c:pt idx="10">
                  <c:v>609584.47077508958</c:v>
                </c:pt>
                <c:pt idx="11">
                  <c:v>661362.19548640749</c:v>
                </c:pt>
                <c:pt idx="12">
                  <c:v>713145.78812081413</c:v>
                </c:pt>
                <c:pt idx="13">
                  <c:v>764243.40632352745</c:v>
                </c:pt>
                <c:pt idx="14">
                  <c:v>813919.22773455665</c:v>
                </c:pt>
              </c:numCache>
            </c:numRef>
          </c:val>
          <c:extLst>
            <c:ext xmlns:c16="http://schemas.microsoft.com/office/drawing/2014/chart" uri="{C3380CC4-5D6E-409C-BE32-E72D297353CC}">
              <c16:uniqueId val="{00000000-24E4-4920-9B7E-F0F1C942C83D}"/>
            </c:ext>
          </c:extLst>
        </c:ser>
        <c:dLbls>
          <c:showLegendKey val="0"/>
          <c:showVal val="0"/>
          <c:showCatName val="0"/>
          <c:showSerName val="0"/>
          <c:showPercent val="0"/>
          <c:showBubbleSize val="0"/>
        </c:dLbls>
        <c:gapWidth val="150"/>
        <c:axId val="47069474"/>
        <c:axId val="81467405"/>
      </c:barChart>
      <c:lineChart>
        <c:grouping val="standard"/>
        <c:varyColors val="0"/>
        <c:ser>
          <c:idx val="1"/>
          <c:order val="1"/>
          <c:tx>
            <c:v>Net profit</c:v>
          </c:tx>
          <c:spPr>
            <a:ln w="28440">
              <a:solidFill>
                <a:srgbClr val="C62828"/>
              </a:solidFill>
            </a:ln>
          </c:spPr>
          <c:marker>
            <c:symbol val="none"/>
          </c:marker>
          <c:dLbls>
            <c:spPr>
              <a:noFill/>
              <a:ln>
                <a:noFill/>
              </a:ln>
              <a:effectLst/>
            </c:spPr>
            <c:txPr>
              <a:bodyPr anchorCtr="1"/>
              <a:lstStyle/>
              <a:p>
                <a:pPr>
                  <a:defRPr sz="1000" b="0" spc="-1">
                    <a:solidFill>
                      <a:srgbClr val="000000"/>
                    </a:solidFill>
                    <a:latin typeface="Arial"/>
                    <a:ea typeface="Arial"/>
                    <a:cs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Sheet1!$E$140:$S$140</c:f>
              <c:strCache>
                <c:ptCount val="15"/>
                <c:pt idx="0">
                  <c:v>FY21A</c:v>
                </c:pt>
                <c:pt idx="1">
                  <c:v>FY22A</c:v>
                </c:pt>
                <c:pt idx="2">
                  <c:v>FY23A</c:v>
                </c:pt>
                <c:pt idx="3">
                  <c:v>FY24A</c:v>
                </c:pt>
                <c:pt idx="4">
                  <c:v>FY25A</c:v>
                </c:pt>
                <c:pt idx="5">
                  <c:v>FY26E</c:v>
                </c:pt>
                <c:pt idx="6">
                  <c:v>FY27E</c:v>
                </c:pt>
                <c:pt idx="7">
                  <c:v>FY28E</c:v>
                </c:pt>
                <c:pt idx="8">
                  <c:v>FY29E</c:v>
                </c:pt>
                <c:pt idx="9">
                  <c:v>FY30E</c:v>
                </c:pt>
                <c:pt idx="10">
                  <c:v>FY31E</c:v>
                </c:pt>
                <c:pt idx="11">
                  <c:v>FY32E</c:v>
                </c:pt>
                <c:pt idx="12">
                  <c:v>FY33E</c:v>
                </c:pt>
                <c:pt idx="13">
                  <c:v>FY34E</c:v>
                </c:pt>
                <c:pt idx="14">
                  <c:v>FY35E</c:v>
                </c:pt>
              </c:strCache>
            </c:strRef>
          </c:cat>
          <c:val>
            <c:numRef>
              <c:f>Sheet1!$E$154:$S$154</c:f>
              <c:numCache>
                <c:formatCode>#,##0</c:formatCode>
                <c:ptCount val="15"/>
                <c:pt idx="0">
                  <c:v>3028.2049999999999</c:v>
                </c:pt>
                <c:pt idx="1">
                  <c:v>4260</c:v>
                </c:pt>
                <c:pt idx="2">
                  <c:v>5703.7430000000004</c:v>
                </c:pt>
                <c:pt idx="3">
                  <c:v>7005.8879999999999</c:v>
                </c:pt>
                <c:pt idx="4">
                  <c:v>7567.5230000000001</c:v>
                </c:pt>
                <c:pt idx="5">
                  <c:v>8421.2868241320521</c:v>
                </c:pt>
                <c:pt idx="6">
                  <c:v>10381.774224213914</c:v>
                </c:pt>
                <c:pt idx="7">
                  <c:v>12070.326809385186</c:v>
                </c:pt>
                <c:pt idx="8">
                  <c:v>13606.69832127552</c:v>
                </c:pt>
                <c:pt idx="9">
                  <c:v>15139.179114098893</c:v>
                </c:pt>
                <c:pt idx="10">
                  <c:v>16565.310453952501</c:v>
                </c:pt>
                <c:pt idx="11">
                  <c:v>18045.762078045143</c:v>
                </c:pt>
                <c:pt idx="12">
                  <c:v>19539.168725392068</c:v>
                </c:pt>
                <c:pt idx="13">
                  <c:v>21027.394740456861</c:v>
                </c:pt>
                <c:pt idx="14">
                  <c:v>22490.829277407418</c:v>
                </c:pt>
              </c:numCache>
            </c:numRef>
          </c:val>
          <c:smooth val="1"/>
          <c:extLst>
            <c:ext xmlns:c16="http://schemas.microsoft.com/office/drawing/2014/chart" uri="{C3380CC4-5D6E-409C-BE32-E72D297353CC}">
              <c16:uniqueId val="{00000001-24E4-4920-9B7E-F0F1C942C83D}"/>
            </c:ext>
          </c:extLst>
        </c:ser>
        <c:dLbls>
          <c:showLegendKey val="0"/>
          <c:showVal val="0"/>
          <c:showCatName val="0"/>
          <c:showSerName val="0"/>
          <c:showPercent val="0"/>
          <c:showBubbleSize val="0"/>
        </c:dLbls>
        <c:marker val="1"/>
        <c:smooth val="0"/>
        <c:axId val="83860315"/>
        <c:axId val="80726352"/>
      </c:lineChart>
      <c:catAx>
        <c:axId val="47069474"/>
        <c:scaling>
          <c:orientation val="minMax"/>
        </c:scaling>
        <c:delete val="0"/>
        <c:axPos val="b"/>
        <c:numFmt formatCode="General" sourceLinked="0"/>
        <c:majorTickMark val="none"/>
        <c:minorTickMark val="none"/>
        <c:tickLblPos val="nextTo"/>
        <c:spPr>
          <a:ln w="0">
            <a:solidFill>
              <a:srgbClr val="B3B3B3"/>
            </a:solidFill>
          </a:ln>
        </c:spPr>
        <c:txPr>
          <a:bodyPr anchorCtr="1"/>
          <a:lstStyle/>
          <a:p>
            <a:pPr>
              <a:defRPr sz="1000" b="0" spc="-1">
                <a:solidFill>
                  <a:srgbClr val="000000"/>
                </a:solidFill>
                <a:latin typeface="Calibri"/>
                <a:ea typeface="Calibri"/>
                <a:cs typeface="Calibri"/>
              </a:defRPr>
            </a:pPr>
            <a:endParaRPr lang="en-US"/>
          </a:p>
        </c:txPr>
        <c:crossAx val="81467405"/>
        <c:crosses val="autoZero"/>
        <c:auto val="1"/>
        <c:lblAlgn val="ctr"/>
        <c:lblOffset val="100"/>
        <c:noMultiLvlLbl val="0"/>
      </c:catAx>
      <c:valAx>
        <c:axId val="81467405"/>
        <c:scaling>
          <c:orientation val="minMax"/>
        </c:scaling>
        <c:delete val="0"/>
        <c:axPos val="l"/>
        <c:majorGridlines>
          <c:spPr>
            <a:ln w="0">
              <a:solidFill>
                <a:srgbClr val="B3B3B3"/>
              </a:solidFill>
            </a:ln>
          </c:spPr>
        </c:majorGridlines>
        <c:title>
          <c:tx>
            <c:rich>
              <a:bodyPr/>
              <a:lstStyle/>
              <a:p>
                <a:pPr>
                  <a:buNone/>
                  <a:defRPr sz="1000" b="1" spc="-1">
                    <a:solidFill>
                      <a:srgbClr val="000000"/>
                    </a:solidFill>
                    <a:latin typeface="Calibri"/>
                    <a:ea typeface="Calibri"/>
                    <a:cs typeface="Calibri"/>
                  </a:defRPr>
                </a:pPr>
                <a:r>
                  <a:rPr sz="1000" b="1" spc="-1">
                    <a:solidFill>
                      <a:srgbClr val="000000"/>
                    </a:solidFill>
                    <a:latin typeface="Calibri"/>
                    <a:ea typeface="Calibri"/>
                    <a:cs typeface="Calibri"/>
                  </a:rPr>
                  <a:t>Gross financing</a:t>
                </a:r>
              </a:p>
            </c:rich>
          </c:tx>
          <c:overlay val="0"/>
        </c:title>
        <c:numFmt formatCode="#,##0" sourceLinked="0"/>
        <c:majorTickMark val="none"/>
        <c:minorTickMark val="none"/>
        <c:tickLblPos val="nextTo"/>
        <c:spPr>
          <a:ln w="0">
            <a:solidFill>
              <a:srgbClr val="B3B3B3"/>
            </a:solidFill>
          </a:ln>
        </c:spPr>
        <c:txPr>
          <a:bodyPr anchorCtr="1"/>
          <a:lstStyle/>
          <a:p>
            <a:pPr>
              <a:defRPr sz="1000" b="0" spc="-1">
                <a:solidFill>
                  <a:srgbClr val="000000"/>
                </a:solidFill>
                <a:latin typeface="Calibri"/>
                <a:ea typeface="Calibri"/>
                <a:cs typeface="Calibri"/>
              </a:defRPr>
            </a:pPr>
            <a:endParaRPr lang="en-US"/>
          </a:p>
        </c:txPr>
        <c:crossAx val="47069474"/>
        <c:crosses val="autoZero"/>
        <c:crossBetween val="between"/>
      </c:valAx>
      <c:catAx>
        <c:axId val="83860315"/>
        <c:scaling>
          <c:orientation val="minMax"/>
        </c:scaling>
        <c:delete val="0"/>
        <c:axPos val="b"/>
        <c:numFmt formatCode="General" sourceLinked="0"/>
        <c:majorTickMark val="none"/>
        <c:minorTickMark val="none"/>
        <c:tickLblPos val="nextTo"/>
        <c:spPr>
          <a:ln w="0">
            <a:solidFill>
              <a:srgbClr val="B3B3B3"/>
            </a:solidFill>
          </a:ln>
        </c:spPr>
        <c:txPr>
          <a:bodyPr anchorCtr="1"/>
          <a:lstStyle/>
          <a:p>
            <a:pPr>
              <a:defRPr sz="1000" b="0" spc="-1">
                <a:solidFill>
                  <a:srgbClr val="000000"/>
                </a:solidFill>
                <a:latin typeface="Calibri"/>
                <a:ea typeface="Calibri"/>
                <a:cs typeface="Calibri"/>
              </a:defRPr>
            </a:pPr>
            <a:endParaRPr lang="en-US"/>
          </a:p>
        </c:txPr>
        <c:crossAx val="80726352"/>
        <c:crosses val="autoZero"/>
        <c:auto val="1"/>
        <c:lblAlgn val="ctr"/>
        <c:lblOffset val="100"/>
        <c:noMultiLvlLbl val="0"/>
      </c:catAx>
      <c:valAx>
        <c:axId val="80726352"/>
        <c:scaling>
          <c:orientation val="minMax"/>
        </c:scaling>
        <c:delete val="0"/>
        <c:axPos val="r"/>
        <c:title>
          <c:tx>
            <c:rich>
              <a:bodyPr/>
              <a:lstStyle/>
              <a:p>
                <a:pPr>
                  <a:buNone/>
                  <a:defRPr sz="1000" b="1" spc="-1">
                    <a:solidFill>
                      <a:srgbClr val="000000"/>
                    </a:solidFill>
                    <a:latin typeface="Calibri"/>
                    <a:ea typeface="Calibri"/>
                    <a:cs typeface="Calibri"/>
                  </a:defRPr>
                </a:pPr>
                <a:r>
                  <a:rPr sz="1000" b="1" spc="-1">
                    <a:solidFill>
                      <a:srgbClr val="000000"/>
                    </a:solidFill>
                    <a:latin typeface="Calibri"/>
                    <a:ea typeface="Calibri"/>
                    <a:cs typeface="Calibri"/>
                  </a:rPr>
                  <a:t>Net profit</a:t>
                </a:r>
              </a:p>
            </c:rich>
          </c:tx>
          <c:overlay val="0"/>
        </c:title>
        <c:numFmt formatCode="#,##0" sourceLinked="0"/>
        <c:majorTickMark val="none"/>
        <c:minorTickMark val="none"/>
        <c:tickLblPos val="nextTo"/>
        <c:spPr>
          <a:ln w="0">
            <a:solidFill>
              <a:srgbClr val="B3B3B3"/>
            </a:solidFill>
          </a:ln>
        </c:spPr>
        <c:txPr>
          <a:bodyPr anchorCtr="1"/>
          <a:lstStyle/>
          <a:p>
            <a:pPr>
              <a:defRPr sz="1000" b="0" spc="-1">
                <a:solidFill>
                  <a:srgbClr val="000000"/>
                </a:solidFill>
                <a:latin typeface="Calibri"/>
                <a:ea typeface="Calibri"/>
                <a:cs typeface="Calibri"/>
              </a:defRPr>
            </a:pPr>
            <a:endParaRPr lang="en-US"/>
          </a:p>
        </c:txPr>
        <c:crossAx val="83860315"/>
        <c:crosses val="max"/>
        <c:crossBetween val="between"/>
      </c:valAx>
      <c:spPr>
        <a:noFill/>
        <a:ln w="0">
          <a:noFill/>
        </a:ln>
      </c:spPr>
    </c:plotArea>
    <c:legend>
      <c:legendPos val="b"/>
      <c:overlay val="0"/>
      <c:spPr>
        <a:noFill/>
      </c:spPr>
      <c:txPr>
        <a:bodyPr anchorCtr="1"/>
        <a:lstStyle/>
        <a:p>
          <a:pPr>
            <a:defRPr sz="1000" b="0" spc="-1">
              <a:solidFill>
                <a:srgbClr val="000000"/>
              </a:solidFill>
              <a:latin typeface="Calibri"/>
              <a:ea typeface="Calibri"/>
              <a:cs typeface="Calibri"/>
            </a:defRPr>
          </a:pPr>
          <a:endParaRPr lang="en-US"/>
        </a:p>
      </c:txPr>
    </c:legend>
    <c:plotVisOnly val="1"/>
    <c:dispBlanksAs val="zero"/>
    <c:showDLblsOverMax val="1"/>
  </c:chart>
  <c:spPr>
    <a:solidFill>
      <a:srgbClr val="FFFFFF"/>
    </a:solidFill>
    <a:ln w="9360">
      <a:solidFill>
        <a:srgbClr val="D9D9D9"/>
      </a:solidFill>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sz="1800" b="1" spc="-1">
                <a:solidFill>
                  <a:srgbClr val="000000"/>
                </a:solidFill>
                <a:latin typeface="Calibri"/>
                <a:ea typeface="Calibri"/>
                <a:cs typeface="Calibri"/>
              </a:rPr>
              <a:t>Cost-to-income ratio and cost of credit</a:t>
            </a:r>
          </a:p>
        </c:rich>
      </c:tx>
      <c:overlay val="0"/>
    </c:title>
    <c:autoTitleDeleted val="0"/>
    <c:plotArea>
      <c:layout/>
      <c:lineChart>
        <c:grouping val="standard"/>
        <c:varyColors val="0"/>
        <c:ser>
          <c:idx val="0"/>
          <c:order val="0"/>
          <c:tx>
            <c:v>Cost-to-income ratio</c:v>
          </c:tx>
          <c:spPr>
            <a:ln w="28440">
              <a:solidFill>
                <a:srgbClr val="1F3864"/>
              </a:solidFill>
            </a:ln>
          </c:spPr>
          <c:marker>
            <c:symbol val="none"/>
          </c:marker>
          <c:dLbls>
            <c:spPr>
              <a:noFill/>
              <a:ln>
                <a:noFill/>
              </a:ln>
              <a:effectLst/>
            </c:spPr>
            <c:txPr>
              <a:bodyPr anchorCtr="1"/>
              <a:lstStyle/>
              <a:p>
                <a:pPr>
                  <a:defRPr sz="1000" b="0" spc="-1">
                    <a:solidFill>
                      <a:srgbClr val="000000"/>
                    </a:solidFill>
                    <a:latin typeface="Arial"/>
                    <a:ea typeface="Arial"/>
                    <a:cs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Sheet1!$E$140:$S$140</c:f>
              <c:strCache>
                <c:ptCount val="15"/>
                <c:pt idx="0">
                  <c:v>FY21A</c:v>
                </c:pt>
                <c:pt idx="1">
                  <c:v>FY22A</c:v>
                </c:pt>
                <c:pt idx="2">
                  <c:v>FY23A</c:v>
                </c:pt>
                <c:pt idx="3">
                  <c:v>FY24A</c:v>
                </c:pt>
                <c:pt idx="4">
                  <c:v>FY25A</c:v>
                </c:pt>
                <c:pt idx="5">
                  <c:v>FY26E</c:v>
                </c:pt>
                <c:pt idx="6">
                  <c:v>FY27E</c:v>
                </c:pt>
                <c:pt idx="7">
                  <c:v>FY28E</c:v>
                </c:pt>
                <c:pt idx="8">
                  <c:v>FY29E</c:v>
                </c:pt>
                <c:pt idx="9">
                  <c:v>FY30E</c:v>
                </c:pt>
                <c:pt idx="10">
                  <c:v>FY31E</c:v>
                </c:pt>
                <c:pt idx="11">
                  <c:v>FY32E</c:v>
                </c:pt>
                <c:pt idx="12">
                  <c:v>FY33E</c:v>
                </c:pt>
                <c:pt idx="13">
                  <c:v>FY34E</c:v>
                </c:pt>
                <c:pt idx="14">
                  <c:v>FY35E</c:v>
                </c:pt>
              </c:strCache>
            </c:strRef>
          </c:cat>
          <c:val>
            <c:numRef>
              <c:f>Sheet1!$E$95:$S$95</c:f>
              <c:numCache>
                <c:formatCode>0.0%</c:formatCode>
                <c:ptCount val="15"/>
                <c:pt idx="0">
                  <c:v>0.53417114147167311</c:v>
                </c:pt>
                <c:pt idx="1">
                  <c:v>0.51292945238359466</c:v>
                </c:pt>
                <c:pt idx="2">
                  <c:v>0.50086416774515585</c:v>
                </c:pt>
                <c:pt idx="3">
                  <c:v>0.51353392825364041</c:v>
                </c:pt>
                <c:pt idx="4">
                  <c:v>0.52562269423834751</c:v>
                </c:pt>
                <c:pt idx="5">
                  <c:v>0.54500000000000004</c:v>
                </c:pt>
                <c:pt idx="6">
                  <c:v>0.52</c:v>
                </c:pt>
                <c:pt idx="7">
                  <c:v>0.51500000000000001</c:v>
                </c:pt>
                <c:pt idx="8">
                  <c:v>0.51</c:v>
                </c:pt>
                <c:pt idx="9">
                  <c:v>0.505</c:v>
                </c:pt>
                <c:pt idx="10">
                  <c:v>0.505</c:v>
                </c:pt>
                <c:pt idx="11">
                  <c:v>0.505</c:v>
                </c:pt>
                <c:pt idx="12">
                  <c:v>0.505</c:v>
                </c:pt>
                <c:pt idx="13">
                  <c:v>0.505</c:v>
                </c:pt>
                <c:pt idx="14">
                  <c:v>0.505</c:v>
                </c:pt>
              </c:numCache>
            </c:numRef>
          </c:val>
          <c:smooth val="1"/>
          <c:extLst>
            <c:ext xmlns:c16="http://schemas.microsoft.com/office/drawing/2014/chart" uri="{C3380CC4-5D6E-409C-BE32-E72D297353CC}">
              <c16:uniqueId val="{00000000-1BA2-47D2-A605-C437DD631ECA}"/>
            </c:ext>
          </c:extLst>
        </c:ser>
        <c:ser>
          <c:idx val="1"/>
          <c:order val="1"/>
          <c:tx>
            <c:v>Cost of credit</c:v>
          </c:tx>
          <c:spPr>
            <a:ln w="28440">
              <a:solidFill>
                <a:srgbClr val="C62828"/>
              </a:solidFill>
              <a:prstDash val="dash"/>
            </a:ln>
          </c:spPr>
          <c:marker>
            <c:symbol val="none"/>
          </c:marker>
          <c:dLbls>
            <c:spPr>
              <a:noFill/>
              <a:ln>
                <a:noFill/>
              </a:ln>
              <a:effectLst/>
            </c:spPr>
            <c:txPr>
              <a:bodyPr anchorCtr="1"/>
              <a:lstStyle/>
              <a:p>
                <a:pPr>
                  <a:defRPr sz="1000" b="0" spc="-1">
                    <a:solidFill>
                      <a:srgbClr val="000000"/>
                    </a:solidFill>
                    <a:latin typeface="Arial"/>
                    <a:ea typeface="Arial"/>
                    <a:cs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Sheet1!$E$140:$S$140</c:f>
              <c:strCache>
                <c:ptCount val="15"/>
                <c:pt idx="0">
                  <c:v>FY21A</c:v>
                </c:pt>
                <c:pt idx="1">
                  <c:v>FY22A</c:v>
                </c:pt>
                <c:pt idx="2">
                  <c:v>FY23A</c:v>
                </c:pt>
                <c:pt idx="3">
                  <c:v>FY24A</c:v>
                </c:pt>
                <c:pt idx="4">
                  <c:v>FY25A</c:v>
                </c:pt>
                <c:pt idx="5">
                  <c:v>FY26E</c:v>
                </c:pt>
                <c:pt idx="6">
                  <c:v>FY27E</c:v>
                </c:pt>
                <c:pt idx="7">
                  <c:v>FY28E</c:v>
                </c:pt>
                <c:pt idx="8">
                  <c:v>FY29E</c:v>
                </c:pt>
                <c:pt idx="9">
                  <c:v>FY30E</c:v>
                </c:pt>
                <c:pt idx="10">
                  <c:v>FY31E</c:v>
                </c:pt>
                <c:pt idx="11">
                  <c:v>FY32E</c:v>
                </c:pt>
                <c:pt idx="12">
                  <c:v>FY33E</c:v>
                </c:pt>
                <c:pt idx="13">
                  <c:v>FY34E</c:v>
                </c:pt>
                <c:pt idx="14">
                  <c:v>FY35E</c:v>
                </c:pt>
              </c:strCache>
            </c:strRef>
          </c:cat>
          <c:val>
            <c:numRef>
              <c:f>Sheet1!$E$99:$S$99</c:f>
              <c:numCache>
                <c:formatCode>0.00%</c:formatCode>
                <c:ptCount val="15"/>
                <c:pt idx="1">
                  <c:v>1.9782830908059473E-2</c:v>
                </c:pt>
                <c:pt idx="2">
                  <c:v>1.1706972902995402E-2</c:v>
                </c:pt>
                <c:pt idx="3">
                  <c:v>7.3009944159276169E-3</c:v>
                </c:pt>
                <c:pt idx="4">
                  <c:v>7.8916871050098356E-3</c:v>
                </c:pt>
                <c:pt idx="5">
                  <c:v>7.0000000000000001E-3</c:v>
                </c:pt>
                <c:pt idx="6">
                  <c:v>7.4999999999999997E-3</c:v>
                </c:pt>
                <c:pt idx="7">
                  <c:v>7.4999999999999997E-3</c:v>
                </c:pt>
                <c:pt idx="8">
                  <c:v>7.4999999999999997E-3</c:v>
                </c:pt>
                <c:pt idx="9">
                  <c:v>7.4999999999999997E-3</c:v>
                </c:pt>
                <c:pt idx="10">
                  <c:v>7.4999999999999997E-3</c:v>
                </c:pt>
                <c:pt idx="11">
                  <c:v>7.4999999999999997E-3</c:v>
                </c:pt>
                <c:pt idx="12">
                  <c:v>7.4999999999999997E-3</c:v>
                </c:pt>
                <c:pt idx="13">
                  <c:v>7.4999999999999997E-3</c:v>
                </c:pt>
                <c:pt idx="14">
                  <c:v>7.4999999999999997E-3</c:v>
                </c:pt>
              </c:numCache>
            </c:numRef>
          </c:val>
          <c:smooth val="1"/>
          <c:extLst>
            <c:ext xmlns:c16="http://schemas.microsoft.com/office/drawing/2014/chart" uri="{C3380CC4-5D6E-409C-BE32-E72D297353CC}">
              <c16:uniqueId val="{00000001-1BA2-47D2-A605-C437DD631ECA}"/>
            </c:ext>
          </c:extLst>
        </c:ser>
        <c:dLbls>
          <c:showLegendKey val="0"/>
          <c:showVal val="0"/>
          <c:showCatName val="0"/>
          <c:showSerName val="0"/>
          <c:showPercent val="0"/>
          <c:showBubbleSize val="0"/>
        </c:dLbls>
        <c:smooth val="0"/>
        <c:axId val="85992943"/>
        <c:axId val="3847881"/>
      </c:lineChart>
      <c:catAx>
        <c:axId val="85992943"/>
        <c:scaling>
          <c:orientation val="minMax"/>
        </c:scaling>
        <c:delete val="0"/>
        <c:axPos val="b"/>
        <c:numFmt formatCode="General" sourceLinked="0"/>
        <c:majorTickMark val="none"/>
        <c:minorTickMark val="none"/>
        <c:tickLblPos val="nextTo"/>
        <c:spPr>
          <a:ln w="0">
            <a:solidFill>
              <a:srgbClr val="B3B3B3"/>
            </a:solidFill>
          </a:ln>
        </c:spPr>
        <c:txPr>
          <a:bodyPr anchorCtr="1"/>
          <a:lstStyle/>
          <a:p>
            <a:pPr>
              <a:defRPr sz="1000" b="0" spc="-1">
                <a:solidFill>
                  <a:srgbClr val="000000"/>
                </a:solidFill>
                <a:latin typeface="Calibri"/>
                <a:ea typeface="Calibri"/>
                <a:cs typeface="Calibri"/>
              </a:defRPr>
            </a:pPr>
            <a:endParaRPr lang="en-US"/>
          </a:p>
        </c:txPr>
        <c:crossAx val="3847881"/>
        <c:crosses val="autoZero"/>
        <c:auto val="1"/>
        <c:lblAlgn val="ctr"/>
        <c:lblOffset val="100"/>
        <c:noMultiLvlLbl val="1"/>
      </c:catAx>
      <c:valAx>
        <c:axId val="3847881"/>
        <c:scaling>
          <c:orientation val="minMax"/>
        </c:scaling>
        <c:delete val="0"/>
        <c:axPos val="l"/>
        <c:majorGridlines>
          <c:spPr>
            <a:ln w="0">
              <a:solidFill>
                <a:srgbClr val="B3B3B3"/>
              </a:solidFill>
            </a:ln>
          </c:spPr>
        </c:majorGridlines>
        <c:title>
          <c:tx>
            <c:rich>
              <a:bodyPr/>
              <a:lstStyle/>
              <a:p>
                <a:r>
                  <a:rPr sz="1000" b="1" spc="-1">
                    <a:solidFill>
                      <a:srgbClr val="000000"/>
                    </a:solidFill>
                    <a:latin typeface="Calibri"/>
                    <a:ea typeface="Calibri"/>
                    <a:cs typeface="Calibri"/>
                  </a:rPr>
                  <a:t>Ratio</a:t>
                </a:r>
              </a:p>
            </c:rich>
          </c:tx>
          <c:overlay val="0"/>
        </c:title>
        <c:numFmt formatCode="0%" sourceLinked="0"/>
        <c:majorTickMark val="none"/>
        <c:minorTickMark val="none"/>
        <c:tickLblPos val="nextTo"/>
        <c:spPr>
          <a:ln w="0">
            <a:solidFill>
              <a:srgbClr val="B3B3B3"/>
            </a:solidFill>
          </a:ln>
        </c:spPr>
        <c:txPr>
          <a:bodyPr anchorCtr="1"/>
          <a:lstStyle/>
          <a:p>
            <a:pPr>
              <a:defRPr sz="1000" b="0" spc="-1">
                <a:solidFill>
                  <a:srgbClr val="000000"/>
                </a:solidFill>
                <a:latin typeface="Calibri"/>
                <a:ea typeface="Calibri"/>
                <a:cs typeface="Calibri"/>
              </a:defRPr>
            </a:pPr>
            <a:endParaRPr lang="en-US"/>
          </a:p>
        </c:txPr>
        <c:crossAx val="85992943"/>
        <c:crosses val="autoZero"/>
        <c:crossBetween val="between"/>
      </c:valAx>
      <c:spPr>
        <a:noFill/>
        <a:ln w="0">
          <a:noFill/>
        </a:ln>
      </c:spPr>
    </c:plotArea>
    <c:legend>
      <c:legendPos val="b"/>
      <c:overlay val="0"/>
      <c:spPr>
        <a:noFill/>
      </c:spPr>
      <c:txPr>
        <a:bodyPr anchorCtr="1"/>
        <a:lstStyle/>
        <a:p>
          <a:pPr>
            <a:defRPr sz="1000" b="0" spc="-1">
              <a:solidFill>
                <a:srgbClr val="000000"/>
              </a:solidFill>
              <a:latin typeface="Calibri"/>
              <a:ea typeface="Calibri"/>
              <a:cs typeface="Calibri"/>
            </a:defRPr>
          </a:pPr>
          <a:endParaRPr lang="en-US"/>
        </a:p>
      </c:txPr>
    </c:legend>
    <c:plotVisOnly val="1"/>
    <c:dispBlanksAs val="zero"/>
    <c:showDLblsOverMax val="1"/>
  </c:chart>
  <c:spPr>
    <a:solidFill>
      <a:srgbClr val="FFFFFF"/>
    </a:solidFill>
    <a:ln w="9360">
      <a:solidFill>
        <a:srgbClr val="D9D9D9"/>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7</xdr:col>
      <xdr:colOff>0</xdr:colOff>
      <xdr:row>39</xdr:row>
      <xdr:rowOff>131040</xdr:rowOff>
    </xdr:from>
    <xdr:to>
      <xdr:col>9</xdr:col>
      <xdr:colOff>169200</xdr:colOff>
      <xdr:row>53</xdr:row>
      <xdr:rowOff>162000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12</xdr:row>
      <xdr:rowOff>0</xdr:rowOff>
    </xdr:from>
    <xdr:to>
      <xdr:col>3</xdr:col>
      <xdr:colOff>1069560</xdr:colOff>
      <xdr:row>28</xdr:row>
      <xdr:rowOff>135720</xdr:rowOff>
    </xdr:to>
    <xdr:graphicFrame macro="">
      <xdr:nvGraphicFramePr>
        <xdr:cNvPr id="2" name="Char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43</xdr:row>
      <xdr:rowOff>0</xdr:rowOff>
    </xdr:from>
    <xdr:to>
      <xdr:col>3</xdr:col>
      <xdr:colOff>1069560</xdr:colOff>
      <xdr:row>59</xdr:row>
      <xdr:rowOff>135720</xdr:rowOff>
    </xdr:to>
    <xdr:graphicFrame macro="">
      <xdr:nvGraphicFramePr>
        <xdr:cNvPr id="3" name="Chart">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74</xdr:row>
      <xdr:rowOff>0</xdr:rowOff>
    </xdr:from>
    <xdr:to>
      <xdr:col>3</xdr:col>
      <xdr:colOff>1069560</xdr:colOff>
      <xdr:row>90</xdr:row>
      <xdr:rowOff>135720</xdr:rowOff>
    </xdr:to>
    <xdr:graphicFrame macro="">
      <xdr:nvGraphicFramePr>
        <xdr:cNvPr id="4" name="Chart">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105</xdr:row>
      <xdr:rowOff>0</xdr:rowOff>
    </xdr:from>
    <xdr:to>
      <xdr:col>3</xdr:col>
      <xdr:colOff>1069560</xdr:colOff>
      <xdr:row>121</xdr:row>
      <xdr:rowOff>135720</xdr:rowOff>
    </xdr:to>
    <xdr:graphicFrame macro="">
      <xdr:nvGraphicFramePr>
        <xdr:cNvPr id="5" name="Chart">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138</xdr:row>
      <xdr:rowOff>0</xdr:rowOff>
    </xdr:from>
    <xdr:to>
      <xdr:col>3</xdr:col>
      <xdr:colOff>1069560</xdr:colOff>
      <xdr:row>154</xdr:row>
      <xdr:rowOff>135720</xdr:rowOff>
    </xdr:to>
    <xdr:graphicFrame macro="">
      <xdr:nvGraphicFramePr>
        <xdr:cNvPr id="6" name="Chart">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169</xdr:row>
      <xdr:rowOff>0</xdr:rowOff>
    </xdr:from>
    <xdr:to>
      <xdr:col>3</xdr:col>
      <xdr:colOff>1069560</xdr:colOff>
      <xdr:row>185</xdr:row>
      <xdr:rowOff>135720</xdr:rowOff>
    </xdr:to>
    <xdr:graphicFrame macro="">
      <xdr:nvGraphicFramePr>
        <xdr:cNvPr id="7" name="Chart">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191</xdr:row>
      <xdr:rowOff>0</xdr:rowOff>
    </xdr:from>
    <xdr:to>
      <xdr:col>3</xdr:col>
      <xdr:colOff>1069560</xdr:colOff>
      <xdr:row>207</xdr:row>
      <xdr:rowOff>135720</xdr:rowOff>
    </xdr:to>
    <xdr:graphicFrame macro="">
      <xdr:nvGraphicFramePr>
        <xdr:cNvPr id="8" name="Chart">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0</xdr:colOff>
      <xdr:row>217</xdr:row>
      <xdr:rowOff>0</xdr:rowOff>
    </xdr:from>
    <xdr:to>
      <xdr:col>3</xdr:col>
      <xdr:colOff>1069560</xdr:colOff>
      <xdr:row>233</xdr:row>
      <xdr:rowOff>135720</xdr:rowOff>
    </xdr:to>
    <xdr:graphicFrame macro="">
      <xdr:nvGraphicFramePr>
        <xdr:cNvPr id="9" name="Chart">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0</xdr:colOff>
      <xdr:row>235</xdr:row>
      <xdr:rowOff>0</xdr:rowOff>
    </xdr:from>
    <xdr:to>
      <xdr:col>3</xdr:col>
      <xdr:colOff>1069560</xdr:colOff>
      <xdr:row>251</xdr:row>
      <xdr:rowOff>135720</xdr:rowOff>
    </xdr:to>
    <xdr:graphicFrame macro="">
      <xdr:nvGraphicFramePr>
        <xdr:cNvPr id="10" name="Chart">
          <a:extLst>
            <a:ext uri="{FF2B5EF4-FFF2-40B4-BE49-F238E27FC236}">
              <a16:creationId xmlns:a16="http://schemas.microsoft.com/office/drawing/2014/main" id="{00000000-0008-0000-0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0</xdr:colOff>
      <xdr:row>253</xdr:row>
      <xdr:rowOff>0</xdr:rowOff>
    </xdr:from>
    <xdr:to>
      <xdr:col>3</xdr:col>
      <xdr:colOff>1069560</xdr:colOff>
      <xdr:row>269</xdr:row>
      <xdr:rowOff>135720</xdr:rowOff>
    </xdr:to>
    <xdr:graphicFrame macro="">
      <xdr:nvGraphicFramePr>
        <xdr:cNvPr id="11" name="Chart">
          <a:extLst>
            <a:ext uri="{FF2B5EF4-FFF2-40B4-BE49-F238E27FC236}">
              <a16:creationId xmlns:a16="http://schemas.microsoft.com/office/drawing/2014/main" id="{00000000-0008-0000-04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0</xdr:colOff>
      <xdr:row>271</xdr:row>
      <xdr:rowOff>0</xdr:rowOff>
    </xdr:from>
    <xdr:to>
      <xdr:col>3</xdr:col>
      <xdr:colOff>1069560</xdr:colOff>
      <xdr:row>287</xdr:row>
      <xdr:rowOff>135720</xdr:rowOff>
    </xdr:to>
    <xdr:graphicFrame macro="">
      <xdr:nvGraphicFramePr>
        <xdr:cNvPr id="12" name="Chart">
          <a:extLst>
            <a:ext uri="{FF2B5EF4-FFF2-40B4-BE49-F238E27FC236}">
              <a16:creationId xmlns:a16="http://schemas.microsoft.com/office/drawing/2014/main" id="{00000000-0008-0000-04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04040"/>
  </sheetPr>
  <dimension ref="A1:D35"/>
  <sheetViews>
    <sheetView showGridLines="0" tabSelected="1" workbookViewId="0">
      <pane ySplit="2" topLeftCell="A3" activePane="bottomLeft" state="frozen"/>
      <selection pane="bottomLeft"/>
    </sheetView>
  </sheetViews>
  <sheetFormatPr defaultColWidth="10.85546875" defaultRowHeight="15"/>
  <cols>
    <col min="1" max="1" width="42" style="11" customWidth="1"/>
    <col min="2" max="2" width="65" customWidth="1"/>
    <col min="3" max="4" width="17.42578125" customWidth="1"/>
  </cols>
  <sheetData>
    <row r="1" spans="1:4" ht="27.95" customHeight="1">
      <c r="A1" s="228" t="s">
        <v>0</v>
      </c>
      <c r="B1" s="228"/>
      <c r="C1" s="228"/>
      <c r="D1" s="228"/>
    </row>
    <row r="2" spans="1:4" ht="23.1" customHeight="1">
      <c r="A2" s="229" t="s">
        <v>1</v>
      </c>
      <c r="B2" s="230"/>
      <c r="C2" s="230"/>
      <c r="D2" s="230"/>
    </row>
    <row r="3" spans="1:4" ht="21" customHeight="1"/>
    <row r="4" spans="1:4" ht="21" customHeight="1">
      <c r="A4" s="13" t="s">
        <v>2</v>
      </c>
      <c r="B4" s="14"/>
      <c r="C4" s="14"/>
      <c r="D4" s="14"/>
    </row>
    <row r="5" spans="1:4" ht="21" customHeight="1">
      <c r="A5" s="15" t="s">
        <v>3</v>
      </c>
      <c r="B5" s="16" t="s">
        <v>4</v>
      </c>
      <c r="C5" s="16"/>
      <c r="D5" s="16"/>
    </row>
    <row r="6" spans="1:4" ht="21" customHeight="1">
      <c r="A6" s="17" t="s">
        <v>5</v>
      </c>
      <c r="B6" s="16" t="s">
        <v>6</v>
      </c>
      <c r="C6" s="16"/>
      <c r="D6" s="16"/>
    </row>
    <row r="7" spans="1:4" ht="21" customHeight="1">
      <c r="A7" s="18" t="s">
        <v>7</v>
      </c>
      <c r="B7" s="16" t="s">
        <v>8</v>
      </c>
      <c r="C7" s="16"/>
      <c r="D7" s="16"/>
    </row>
    <row r="8" spans="1:4" ht="21" customHeight="1">
      <c r="A8" s="17" t="s">
        <v>9</v>
      </c>
      <c r="B8" s="16" t="s">
        <v>10</v>
      </c>
      <c r="C8" s="16"/>
      <c r="D8" s="16"/>
    </row>
    <row r="9" spans="1:4" ht="21" customHeight="1">
      <c r="A9" s="16"/>
      <c r="B9" s="16"/>
      <c r="C9" s="16"/>
      <c r="D9" s="16"/>
    </row>
    <row r="10" spans="1:4" ht="21" customHeight="1">
      <c r="A10" s="19" t="s">
        <v>11</v>
      </c>
      <c r="B10" s="19" t="s">
        <v>12</v>
      </c>
      <c r="C10" s="19" t="s">
        <v>13</v>
      </c>
      <c r="D10" s="19" t="s">
        <v>14</v>
      </c>
    </row>
    <row r="11" spans="1:4" ht="21" customHeight="1">
      <c r="A11" s="20" t="s">
        <v>15</v>
      </c>
      <c r="B11" s="16" t="s">
        <v>16</v>
      </c>
      <c r="C11" s="16" t="s">
        <v>17</v>
      </c>
      <c r="D11" s="16" t="s">
        <v>18</v>
      </c>
    </row>
    <row r="12" spans="1:4" ht="22.5" customHeight="1">
      <c r="A12" s="21" t="s">
        <v>19</v>
      </c>
      <c r="B12" s="21" t="s">
        <v>20</v>
      </c>
      <c r="C12" s="21" t="s">
        <v>21</v>
      </c>
      <c r="D12" s="21" t="s">
        <v>22</v>
      </c>
    </row>
    <row r="13" spans="1:4" ht="21" customHeight="1">
      <c r="A13" s="20" t="s">
        <v>23</v>
      </c>
      <c r="B13" s="16" t="s">
        <v>24</v>
      </c>
      <c r="C13" s="16" t="s">
        <v>25</v>
      </c>
      <c r="D13" s="16" t="s">
        <v>26</v>
      </c>
    </row>
    <row r="14" spans="1:4" ht="21" customHeight="1">
      <c r="A14" s="20" t="s">
        <v>27</v>
      </c>
      <c r="B14" s="16" t="s">
        <v>16</v>
      </c>
      <c r="C14" s="16" t="s">
        <v>28</v>
      </c>
      <c r="D14" s="16"/>
    </row>
    <row r="15" spans="1:4" ht="21" customHeight="1">
      <c r="A15" s="20" t="s">
        <v>29</v>
      </c>
      <c r="B15" s="16" t="s">
        <v>24</v>
      </c>
      <c r="C15" s="16" t="s">
        <v>30</v>
      </c>
      <c r="D15" s="16"/>
    </row>
    <row r="16" spans="1:4" ht="22.5" customHeight="1">
      <c r="A16" s="20" t="s">
        <v>31</v>
      </c>
      <c r="B16" s="16" t="s">
        <v>24</v>
      </c>
      <c r="C16" s="16" t="s">
        <v>32</v>
      </c>
      <c r="D16" s="16" t="s">
        <v>33</v>
      </c>
    </row>
    <row r="17" spans="1:4" ht="21" customHeight="1">
      <c r="A17" s="21" t="s">
        <v>34</v>
      </c>
      <c r="B17" s="21" t="s">
        <v>24</v>
      </c>
      <c r="C17" s="21" t="s">
        <v>35</v>
      </c>
      <c r="D17" s="21" t="s">
        <v>36</v>
      </c>
    </row>
    <row r="18" spans="1:4" ht="21" customHeight="1">
      <c r="A18" s="20" t="s">
        <v>37</v>
      </c>
      <c r="B18" s="16" t="s">
        <v>38</v>
      </c>
      <c r="C18" s="16" t="s">
        <v>39</v>
      </c>
      <c r="D18" s="16"/>
    </row>
    <row r="19" spans="1:4" ht="22.5" customHeight="1">
      <c r="A19" s="20" t="s">
        <v>40</v>
      </c>
      <c r="B19" s="16" t="s">
        <v>41</v>
      </c>
      <c r="C19" s="16" t="s">
        <v>42</v>
      </c>
      <c r="D19" s="16" t="s">
        <v>43</v>
      </c>
    </row>
    <row r="20" spans="1:4" ht="21" customHeight="1">
      <c r="A20" s="21" t="s">
        <v>44</v>
      </c>
      <c r="B20" s="21" t="s">
        <v>41</v>
      </c>
      <c r="C20" s="21" t="s">
        <v>45</v>
      </c>
      <c r="D20" s="21"/>
    </row>
    <row r="21" spans="1:4" ht="21" customHeight="1">
      <c r="A21" s="20" t="s">
        <v>46</v>
      </c>
      <c r="B21" s="16" t="s">
        <v>41</v>
      </c>
      <c r="C21" s="16" t="s">
        <v>47</v>
      </c>
      <c r="D21" s="16" t="s">
        <v>48</v>
      </c>
    </row>
    <row r="22" spans="1:4" ht="21" customHeight="1">
      <c r="A22" s="20" t="s">
        <v>49</v>
      </c>
      <c r="B22" s="16" t="s">
        <v>50</v>
      </c>
      <c r="C22" s="16" t="s">
        <v>51</v>
      </c>
      <c r="D22" s="16"/>
    </row>
    <row r="23" spans="1:4" ht="15" customHeight="1">
      <c r="A23" s="20" t="s">
        <v>52</v>
      </c>
      <c r="B23" s="16" t="s">
        <v>53</v>
      </c>
      <c r="C23" s="16" t="s">
        <v>54</v>
      </c>
      <c r="D23" s="16"/>
    </row>
    <row r="24" spans="1:4" ht="15" customHeight="1"/>
    <row r="25" spans="1:4" ht="23.1" customHeight="1">
      <c r="A25" s="231" t="s">
        <v>55</v>
      </c>
      <c r="B25" s="232"/>
      <c r="C25" s="232"/>
      <c r="D25" s="232"/>
    </row>
    <row r="26" spans="1:4" ht="31.5" customHeight="1">
      <c r="A26" s="10" t="s">
        <v>56</v>
      </c>
      <c r="B26" s="10"/>
      <c r="C26" s="10"/>
      <c r="D26" s="10"/>
    </row>
    <row r="27" spans="1:4" ht="31.5" customHeight="1">
      <c r="A27" s="10" t="s">
        <v>57</v>
      </c>
      <c r="B27" s="10"/>
      <c r="C27" s="10"/>
      <c r="D27" s="10"/>
    </row>
    <row r="28" spans="1:4" ht="31.5" customHeight="1">
      <c r="A28" s="16" t="s">
        <v>58</v>
      </c>
    </row>
    <row r="29" spans="1:4" ht="31.5" customHeight="1">
      <c r="A29" s="10" t="s">
        <v>59</v>
      </c>
      <c r="B29" s="10"/>
      <c r="C29" s="10"/>
      <c r="D29" s="10"/>
    </row>
    <row r="30" spans="1:4" ht="31.5" customHeight="1">
      <c r="A30" s="10" t="s">
        <v>60</v>
      </c>
      <c r="B30" s="10"/>
      <c r="C30" s="10"/>
      <c r="D30" s="10"/>
    </row>
    <row r="31" spans="1:4" ht="23.1" customHeight="1">
      <c r="A31" s="9" t="s">
        <v>61</v>
      </c>
      <c r="B31" s="9"/>
      <c r="C31" s="9"/>
      <c r="D31" s="9"/>
    </row>
    <row r="32" spans="1:4" ht="31.5" customHeight="1">
      <c r="A32" s="16" t="s">
        <v>62</v>
      </c>
    </row>
    <row r="33" spans="1:4" ht="31.5" customHeight="1">
      <c r="A33" s="10" t="s">
        <v>63</v>
      </c>
      <c r="B33" s="10"/>
      <c r="C33" s="10"/>
      <c r="D33" s="10"/>
    </row>
    <row r="34" spans="1:4" ht="31.5" customHeight="1">
      <c r="A34" s="10" t="s">
        <v>64</v>
      </c>
      <c r="B34" s="10"/>
      <c r="C34" s="10"/>
      <c r="D34" s="10"/>
    </row>
    <row r="35" spans="1:4" ht="15" customHeight="1">
      <c r="A35" s="10" t="s">
        <v>65</v>
      </c>
      <c r="B35" s="10"/>
      <c r="C35" s="10"/>
      <c r="D35" s="10"/>
    </row>
  </sheetData>
  <mergeCells count="8">
    <mergeCell ref="A33:D33"/>
    <mergeCell ref="A34:D34"/>
    <mergeCell ref="A35:D35"/>
    <mergeCell ref="A26:D26"/>
    <mergeCell ref="A27:D27"/>
    <mergeCell ref="A29:D29"/>
    <mergeCell ref="A30:D30"/>
    <mergeCell ref="A31:D3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J66"/>
  <sheetViews>
    <sheetView showGridLines="0" workbookViewId="0">
      <pane ySplit="2" topLeftCell="A3" activePane="bottomLeft" state="frozen"/>
      <selection pane="bottomLeft"/>
    </sheetView>
  </sheetViews>
  <sheetFormatPr defaultColWidth="10.85546875" defaultRowHeight="15"/>
  <cols>
    <col min="1" max="1" width="37" style="11" customWidth="1"/>
    <col min="2" max="4" width="21" customWidth="1"/>
    <col min="5" max="7" width="17.42578125" customWidth="1"/>
    <col min="8" max="8" width="34" customWidth="1"/>
    <col min="9" max="10" width="12.85546875" style="11" customWidth="1"/>
  </cols>
  <sheetData>
    <row r="1" spans="1:8" ht="27.95" customHeight="1">
      <c r="A1" s="228" t="s">
        <v>66</v>
      </c>
      <c r="B1" s="228"/>
      <c r="C1" s="228"/>
      <c r="D1" s="228"/>
      <c r="E1" s="228"/>
      <c r="F1" s="228"/>
      <c r="G1" s="228"/>
      <c r="H1" s="228"/>
    </row>
    <row r="2" spans="1:8" ht="23.1" customHeight="1">
      <c r="A2" s="229" t="s">
        <v>67</v>
      </c>
      <c r="B2" s="230"/>
      <c r="C2" s="230"/>
      <c r="D2" s="230"/>
      <c r="E2" s="230"/>
      <c r="F2" s="230"/>
      <c r="G2" s="230"/>
      <c r="H2" s="230"/>
    </row>
    <row r="3" spans="1:8" ht="21" customHeight="1"/>
    <row r="4" spans="1:8" ht="23.1" customHeight="1">
      <c r="A4" s="232" t="s">
        <v>68</v>
      </c>
      <c r="B4" s="232"/>
      <c r="C4" s="232"/>
      <c r="D4" s="232"/>
      <c r="E4" s="232"/>
      <c r="F4" s="232"/>
      <c r="G4" s="232"/>
      <c r="H4" s="232"/>
    </row>
    <row r="5" spans="1:8" ht="21" customHeight="1">
      <c r="A5" s="25" t="s">
        <v>69</v>
      </c>
      <c r="B5" s="26" t="str">
        <f>Sheet1!E408</f>
        <v>BUY</v>
      </c>
      <c r="C5" s="27"/>
      <c r="D5" s="27"/>
      <c r="E5" s="27"/>
      <c r="F5" s="27"/>
      <c r="G5" s="28"/>
      <c r="H5" s="28"/>
    </row>
    <row r="6" spans="1:8" ht="21" customHeight="1">
      <c r="A6" s="29" t="s">
        <v>70</v>
      </c>
      <c r="B6" s="30">
        <f>Sheet1!E20</f>
        <v>1095</v>
      </c>
      <c r="C6" s="31"/>
      <c r="D6" s="31"/>
      <c r="E6" s="31"/>
      <c r="F6" s="31"/>
      <c r="H6" s="32" t="s">
        <v>71</v>
      </c>
    </row>
    <row r="7" spans="1:8" ht="22.5" customHeight="1">
      <c r="A7" s="33" t="s">
        <v>72</v>
      </c>
      <c r="B7" s="34">
        <f>Sheet1!E402</f>
        <v>2019.8393035289646</v>
      </c>
      <c r="C7" s="34">
        <f>Sheet1!E411</f>
        <v>1142.266280151722</v>
      </c>
      <c r="D7" s="34">
        <f>(1-Sheet1!E29)*Sheet1!E402+Sheet1!E29*Sheet1!E411</f>
        <v>1727.3149624032171</v>
      </c>
      <c r="E7" s="33"/>
      <c r="F7" s="33"/>
      <c r="G7" s="35"/>
      <c r="H7" s="36" t="s">
        <v>73</v>
      </c>
    </row>
    <row r="8" spans="1:8" ht="21" customHeight="1">
      <c r="A8" s="25" t="s">
        <v>74</v>
      </c>
      <c r="B8" s="37">
        <f>Sheet1!E406</f>
        <v>1881.1248033402114</v>
      </c>
      <c r="C8" s="27"/>
      <c r="D8" s="27"/>
      <c r="E8" s="27"/>
      <c r="F8" s="27"/>
      <c r="G8" s="28"/>
      <c r="H8" s="38" t="s">
        <v>75</v>
      </c>
    </row>
    <row r="9" spans="1:8" ht="21" customHeight="1">
      <c r="A9" s="25" t="s">
        <v>76</v>
      </c>
      <c r="B9" s="39">
        <f>Sheet1!E407</f>
        <v>0.71792219483124331</v>
      </c>
      <c r="C9" s="27"/>
      <c r="D9" s="27"/>
      <c r="E9" s="27"/>
      <c r="F9" s="27"/>
      <c r="G9" s="28"/>
      <c r="H9" s="28"/>
    </row>
    <row r="10" spans="1:8" ht="21" customHeight="1">
      <c r="A10" s="25" t="s">
        <v>77</v>
      </c>
      <c r="B10" s="37">
        <f>Sheet1!H439</f>
        <v>1854.5971454855166</v>
      </c>
      <c r="C10" s="27"/>
      <c r="D10" s="27"/>
      <c r="E10" s="27"/>
      <c r="F10" s="27"/>
      <c r="G10" s="28"/>
      <c r="H10" s="38" t="s">
        <v>78</v>
      </c>
    </row>
    <row r="11" spans="1:8" ht="21" customHeight="1">
      <c r="A11" s="25" t="s">
        <v>79</v>
      </c>
      <c r="B11" s="26" t="str">
        <f>Sheet1!E420</f>
        <v>OK</v>
      </c>
      <c r="C11" s="27"/>
      <c r="D11" s="27"/>
      <c r="E11" s="27"/>
      <c r="F11" s="27"/>
      <c r="G11" s="28"/>
      <c r="H11" s="38" t="s">
        <v>80</v>
      </c>
    </row>
    <row r="12" spans="1:8" ht="21" customHeight="1"/>
    <row r="13" spans="1:8" ht="23.1" customHeight="1">
      <c r="A13" s="233" t="s">
        <v>81</v>
      </c>
      <c r="B13" s="233"/>
      <c r="C13" s="233"/>
      <c r="D13" s="233"/>
      <c r="E13" s="233"/>
      <c r="F13" s="233"/>
      <c r="G13" s="233"/>
      <c r="H13" s="233"/>
    </row>
    <row r="14" spans="1:8" ht="21" customHeight="1">
      <c r="A14" s="29" t="s">
        <v>82</v>
      </c>
      <c r="B14" s="40">
        <f>Sheet1!E24</f>
        <v>5.5600000000000004E-2</v>
      </c>
      <c r="C14" s="31"/>
      <c r="D14" s="31"/>
      <c r="E14" s="31"/>
      <c r="F14" s="31"/>
    </row>
    <row r="15" spans="1:8" ht="22.5" customHeight="1">
      <c r="A15" s="33" t="s">
        <v>83</v>
      </c>
      <c r="B15" s="41">
        <f>Beta_Evidence!B39</f>
        <v>0.64</v>
      </c>
      <c r="C15" s="41">
        <f>Sheet1!E26</f>
        <v>0.75880000000000003</v>
      </c>
      <c r="D15" s="33"/>
      <c r="E15" s="33"/>
      <c r="F15" s="33"/>
      <c r="G15" s="35"/>
      <c r="H15" s="36" t="s">
        <v>84</v>
      </c>
    </row>
    <row r="16" spans="1:8" ht="21" customHeight="1">
      <c r="A16" s="29" t="s">
        <v>85</v>
      </c>
      <c r="B16" s="40">
        <f>Sheet1!E25</f>
        <v>6.6900000000000001E-2</v>
      </c>
      <c r="C16" s="40">
        <f>Beta_Evidence!B17</f>
        <v>2.46E-2</v>
      </c>
      <c r="D16" s="31"/>
      <c r="E16" s="31"/>
      <c r="F16" s="31"/>
      <c r="H16" s="32" t="s">
        <v>86</v>
      </c>
    </row>
    <row r="17" spans="1:8" ht="22.5" customHeight="1">
      <c r="A17" s="33" t="s">
        <v>87</v>
      </c>
      <c r="B17" s="42">
        <f>Sheet1!E34</f>
        <v>0.11229724000000002</v>
      </c>
      <c r="C17" s="42">
        <f>Sheet1!S378</f>
        <v>0.1225</v>
      </c>
      <c r="D17" s="33"/>
      <c r="E17" s="33"/>
      <c r="F17" s="33"/>
      <c r="G17" s="35"/>
      <c r="H17" s="35"/>
    </row>
    <row r="18" spans="1:8" ht="21" customHeight="1">
      <c r="A18" s="29" t="s">
        <v>88</v>
      </c>
      <c r="B18" s="40">
        <f>Sheet1!E31</f>
        <v>4.4999999999999998E-2</v>
      </c>
      <c r="C18" s="40">
        <f>Sheet1!E382</f>
        <v>0.14249999999999999</v>
      </c>
      <c r="D18" s="31"/>
      <c r="E18" s="31"/>
      <c r="F18" s="31"/>
      <c r="H18" s="32" t="s">
        <v>89</v>
      </c>
    </row>
    <row r="19" spans="1:8" ht="22.5" customHeight="1">
      <c r="A19" s="33" t="s">
        <v>90</v>
      </c>
      <c r="B19" s="43">
        <f>Sheet1!E29</f>
        <v>0.33333333333333298</v>
      </c>
      <c r="C19" s="33"/>
      <c r="D19" s="33"/>
      <c r="E19" s="33"/>
      <c r="F19" s="33"/>
      <c r="G19" s="35"/>
      <c r="H19" s="36" t="s">
        <v>91</v>
      </c>
    </row>
    <row r="20" spans="1:8" ht="21" customHeight="1">
      <c r="H20" s="32"/>
    </row>
    <row r="21" spans="1:8" ht="27" customHeight="1">
      <c r="A21" s="23" t="s">
        <v>92</v>
      </c>
      <c r="B21" s="44" t="s">
        <v>93</v>
      </c>
      <c r="C21" s="44" t="s">
        <v>94</v>
      </c>
      <c r="D21" s="44" t="s">
        <v>95</v>
      </c>
      <c r="E21" s="44" t="s">
        <v>96</v>
      </c>
      <c r="F21" s="44" t="s">
        <v>97</v>
      </c>
      <c r="G21" s="24"/>
      <c r="H21" s="24"/>
    </row>
    <row r="22" spans="1:8" ht="21" customHeight="1">
      <c r="A22" s="29" t="s">
        <v>98</v>
      </c>
      <c r="B22" s="45">
        <f>Sheet1!I212/Sheet1!H212-1</f>
        <v>0.14493987022453947</v>
      </c>
      <c r="C22" s="45">
        <f>Sheet1!J212/Sheet1!I212-1</f>
        <v>0.14380587371880926</v>
      </c>
      <c r="D22" s="45">
        <f>Sheet1!L212/Sheet1!K212-1</f>
        <v>0.11540909378312159</v>
      </c>
      <c r="E22" s="45">
        <f>Sheet1!N212/Sheet1!M212-1</f>
        <v>9.8190951227731693E-2</v>
      </c>
      <c r="F22" s="45">
        <f>Sheet1!S212/Sheet1!R212-1</f>
        <v>6.4999999999999947E-2</v>
      </c>
    </row>
    <row r="23" spans="1:8" ht="22.5" customHeight="1">
      <c r="A23" s="33" t="s">
        <v>99</v>
      </c>
      <c r="B23" s="34">
        <f>Sheet1!I154</f>
        <v>7567.5230000000001</v>
      </c>
      <c r="C23" s="34">
        <f>Sheet1!J154</f>
        <v>8421.2868241320521</v>
      </c>
      <c r="D23" s="34">
        <f>Sheet1!L154</f>
        <v>12070.326809385186</v>
      </c>
      <c r="E23" s="34">
        <f>Sheet1!N154</f>
        <v>15139.179114098893</v>
      </c>
      <c r="F23" s="34">
        <f>Sheet1!S154</f>
        <v>22490.829277407418</v>
      </c>
      <c r="G23" s="35"/>
      <c r="H23" s="35"/>
    </row>
    <row r="24" spans="1:8" ht="21" customHeight="1">
      <c r="A24" s="29" t="s">
        <v>100</v>
      </c>
      <c r="B24" s="45">
        <f>Sheet1!I347</f>
        <v>0.1560403365776222</v>
      </c>
      <c r="C24" s="45">
        <f>Sheet1!J347</f>
        <v>0.15199022731428394</v>
      </c>
      <c r="D24" s="45">
        <f>Sheet1!L347</f>
        <v>0.15372454768257623</v>
      </c>
      <c r="E24" s="45">
        <f>Sheet1!N347</f>
        <v>0.15271595223249482</v>
      </c>
      <c r="F24" s="45">
        <f>Sheet1!S347</f>
        <v>0.146197149735769</v>
      </c>
    </row>
    <row r="25" spans="1:8" ht="21" customHeight="1">
      <c r="A25" s="29" t="s">
        <v>101</v>
      </c>
      <c r="B25" s="45">
        <f>Sheet1!I95</f>
        <v>0.52562269423834751</v>
      </c>
      <c r="C25" s="45">
        <f>Sheet1!J95</f>
        <v>0.54500000000000004</v>
      </c>
      <c r="D25" s="45">
        <f>Sheet1!L95</f>
        <v>0.51500000000000001</v>
      </c>
      <c r="E25" s="45">
        <f>Sheet1!N95</f>
        <v>0.505</v>
      </c>
      <c r="F25" s="45">
        <f>Sheet1!S95</f>
        <v>0.505</v>
      </c>
    </row>
    <row r="26" spans="1:8" ht="21" customHeight="1">
      <c r="A26" s="29" t="s">
        <v>102</v>
      </c>
      <c r="B26" s="40">
        <f>Sheet1!I99</f>
        <v>7.8916871050098356E-3</v>
      </c>
      <c r="C26" s="40">
        <f>Sheet1!J99</f>
        <v>7.0000000000000001E-3</v>
      </c>
      <c r="D26" s="40">
        <f>Sheet1!L99</f>
        <v>7.4999999999999997E-3</v>
      </c>
      <c r="E26" s="40">
        <f>Sheet1!N99</f>
        <v>7.4999999999999997E-3</v>
      </c>
      <c r="F26" s="40">
        <f>Sheet1!S99</f>
        <v>7.4999999999999997E-3</v>
      </c>
    </row>
    <row r="27" spans="1:8" ht="21" customHeight="1">
      <c r="A27" s="29" t="s">
        <v>103</v>
      </c>
      <c r="B27" s="40">
        <f>Sheet1!I103</f>
        <v>1.8100000000000002E-2</v>
      </c>
      <c r="C27" s="40">
        <f>Sheet1!J103</f>
        <v>1.8499999999999999E-2</v>
      </c>
      <c r="D27" s="40">
        <f>Sheet1!L103</f>
        <v>1.7999999999999999E-2</v>
      </c>
      <c r="E27" s="40">
        <f>Sheet1!N103</f>
        <v>1.7999999999999999E-2</v>
      </c>
      <c r="F27" s="40">
        <f>Sheet1!S103</f>
        <v>1.7999999999999999E-2</v>
      </c>
    </row>
    <row r="28" spans="1:8" ht="21" customHeight="1">
      <c r="A28" s="29" t="s">
        <v>104</v>
      </c>
      <c r="B28" s="46">
        <f>Sheet1!I108</f>
        <v>0.2</v>
      </c>
      <c r="C28" s="46">
        <f>Sheet1!J108</f>
        <v>0.22</v>
      </c>
      <c r="D28" s="46">
        <f>Sheet1!L108</f>
        <v>0.27</v>
      </c>
      <c r="E28" s="46">
        <f>Sheet1!N108</f>
        <v>0.3</v>
      </c>
      <c r="F28" s="46">
        <f>Sheet1!S108</f>
        <v>0.65</v>
      </c>
    </row>
    <row r="29" spans="1:8" ht="22.5" customHeight="1">
      <c r="A29" s="33" t="s">
        <v>105</v>
      </c>
      <c r="B29" s="43">
        <f>Sheet1!I328</f>
        <v>0.21996524721384358</v>
      </c>
      <c r="C29" s="43">
        <f>Sheet1!J328</f>
        <v>0.22000883624760575</v>
      </c>
      <c r="D29" s="43">
        <f>Sheet1!L328</f>
        <v>0.24758546831325884</v>
      </c>
      <c r="E29" s="43">
        <f>Sheet1!N328</f>
        <v>0.25651249954318212</v>
      </c>
      <c r="F29" s="43">
        <f>Sheet1!S328</f>
        <v>0.26696652662695464</v>
      </c>
      <c r="G29" s="35"/>
      <c r="H29" s="35"/>
    </row>
    <row r="30" spans="1:8" ht="21" customHeight="1">
      <c r="A30" s="29" t="s">
        <v>106</v>
      </c>
      <c r="B30" s="30">
        <f>Sheet1!I351</f>
        <v>1126.2455543401304</v>
      </c>
      <c r="C30" s="30">
        <f>Sheet1!J351</f>
        <v>1275.993940161452</v>
      </c>
      <c r="D30" s="30">
        <f>Sheet1!L351</f>
        <v>1572.9793048376007</v>
      </c>
      <c r="E30" s="30">
        <f>Sheet1!N351</f>
        <v>1977.3847263465682</v>
      </c>
      <c r="F30" s="30">
        <f>Sheet1!S351</f>
        <v>2999.7819160518652</v>
      </c>
    </row>
    <row r="31" spans="1:8" ht="21" customHeight="1"/>
    <row r="32" spans="1:8" ht="27" customHeight="1">
      <c r="A32" s="23" t="s">
        <v>107</v>
      </c>
      <c r="B32" s="44" t="s">
        <v>108</v>
      </c>
      <c r="C32" s="44" t="s">
        <v>109</v>
      </c>
      <c r="D32" s="44" t="s">
        <v>110</v>
      </c>
      <c r="E32" s="24"/>
      <c r="F32" s="24"/>
      <c r="G32" s="24"/>
      <c r="H32" s="24"/>
    </row>
    <row r="33" spans="1:8" ht="22.5" customHeight="1">
      <c r="A33" s="33" t="s">
        <v>111</v>
      </c>
      <c r="B33" s="34">
        <f>Sheet1!E387</f>
        <v>1890.6207056649591</v>
      </c>
      <c r="C33" s="34">
        <f>Sheet1!E402</f>
        <v>2019.8393035289646</v>
      </c>
      <c r="D33" s="34">
        <f>AVERAGE(Sheet1!E404,Sheet1!E405)</f>
        <v>2206.4988206071989</v>
      </c>
      <c r="E33" s="33"/>
      <c r="F33" s="33"/>
      <c r="G33" s="35"/>
      <c r="H33" s="35"/>
    </row>
    <row r="34" spans="1:8" ht="21" customHeight="1">
      <c r="A34" s="29" t="s">
        <v>112</v>
      </c>
      <c r="B34" s="30">
        <f>Valuation_Checks!B5</f>
        <v>2356.9225716729989</v>
      </c>
      <c r="C34" s="30">
        <f>Valuation_Checks!C5</f>
        <v>2526.1038513625863</v>
      </c>
      <c r="D34" s="30">
        <f>Valuation_Checks!D5</f>
        <v>2769.6154798723842</v>
      </c>
      <c r="E34" s="31"/>
      <c r="F34" s="31"/>
      <c r="H34" s="32" t="s">
        <v>113</v>
      </c>
    </row>
    <row r="35" spans="1:8" ht="22.5" customHeight="1">
      <c r="A35" s="33" t="s">
        <v>114</v>
      </c>
      <c r="B35" s="34">
        <f>Valuation_Checks!B8</f>
        <v>1736.880008048093</v>
      </c>
      <c r="C35" s="33"/>
      <c r="D35" s="33"/>
      <c r="E35" s="33"/>
      <c r="F35" s="33"/>
      <c r="G35" s="35"/>
      <c r="H35" s="36" t="s">
        <v>115</v>
      </c>
    </row>
    <row r="36" spans="1:8" ht="21" customHeight="1">
      <c r="A36" s="29" t="s">
        <v>116</v>
      </c>
      <c r="B36" s="30">
        <f>Valuation_Checks!B9</f>
        <v>1562.6414396127043</v>
      </c>
      <c r="C36" s="31"/>
      <c r="D36" s="31"/>
      <c r="E36" s="31"/>
      <c r="F36" s="31"/>
    </row>
    <row r="37" spans="1:8" ht="22.5" customHeight="1">
      <c r="A37" s="33" t="s">
        <v>117</v>
      </c>
      <c r="B37" s="33"/>
      <c r="C37" s="34">
        <f>Sheet1!E411</f>
        <v>1142.266280151722</v>
      </c>
      <c r="D37" s="34">
        <f>Sheet1!E411*(1+Sheet1!E34)-Sheet1!E401</f>
        <v>1230.376768806236</v>
      </c>
      <c r="E37" s="33"/>
      <c r="F37" s="33"/>
      <c r="G37" s="35"/>
      <c r="H37" s="36" t="s">
        <v>118</v>
      </c>
    </row>
    <row r="38" spans="1:8" ht="21" customHeight="1">
      <c r="A38" s="25" t="s">
        <v>119</v>
      </c>
      <c r="B38" s="27"/>
      <c r="C38" s="37">
        <f>(1-Sheet1!E29)*Sheet1!E402+Sheet1!E29*Sheet1!E411</f>
        <v>1727.3149624032171</v>
      </c>
      <c r="D38" s="37">
        <f>Sheet1!E406</f>
        <v>1881.1248033402114</v>
      </c>
      <c r="E38" s="27"/>
      <c r="F38" s="27"/>
      <c r="G38" s="28"/>
      <c r="H38" s="28"/>
    </row>
    <row r="39" spans="1:8" ht="22.5" customHeight="1">
      <c r="A39" s="33" t="s">
        <v>120</v>
      </c>
      <c r="B39" s="43">
        <f>Sheet1!E414</f>
        <v>0.1203499089723121</v>
      </c>
      <c r="C39" s="33"/>
      <c r="D39" s="33"/>
      <c r="E39" s="33"/>
      <c r="F39" s="33"/>
      <c r="G39" s="35"/>
      <c r="H39" s="36" t="s">
        <v>121</v>
      </c>
    </row>
    <row r="40" spans="1:8" ht="21" customHeight="1"/>
    <row r="41" spans="1:8" ht="27" customHeight="1">
      <c r="A41" s="23" t="s">
        <v>122</v>
      </c>
      <c r="B41" s="44" t="s">
        <v>123</v>
      </c>
      <c r="C41" s="44" t="s">
        <v>124</v>
      </c>
      <c r="D41" s="44" t="s">
        <v>125</v>
      </c>
      <c r="E41" s="44" t="s">
        <v>126</v>
      </c>
      <c r="F41" s="24"/>
      <c r="G41" s="24"/>
      <c r="H41" s="24"/>
    </row>
    <row r="42" spans="1:8" ht="22.5" customHeight="1">
      <c r="A42" s="33" t="s">
        <v>127</v>
      </c>
      <c r="B42" s="47">
        <f>Sheet1!E5</f>
        <v>0.29166666666666669</v>
      </c>
      <c r="C42" s="47">
        <f>Sheet1!F5</f>
        <v>0.5</v>
      </c>
      <c r="D42" s="47">
        <f>Sheet1!G5</f>
        <v>0.20833333333333334</v>
      </c>
      <c r="E42" s="47">
        <f>SUM(B42:D42)</f>
        <v>1</v>
      </c>
      <c r="F42" s="33"/>
      <c r="G42" s="35"/>
      <c r="H42" s="35"/>
    </row>
    <row r="43" spans="1:8" ht="22.5" customHeight="1">
      <c r="A43" s="33" t="s">
        <v>128</v>
      </c>
      <c r="B43" s="34">
        <f>Sheet1!E426</f>
        <v>10838.648748440601</v>
      </c>
      <c r="C43" s="34">
        <f>Sheet1!F426</f>
        <v>15139.179114098901</v>
      </c>
      <c r="D43" s="34">
        <f>Sheet1!G426</f>
        <v>19313.348140843402</v>
      </c>
      <c r="E43" s="34">
        <f>Sheet1!H426</f>
        <v>14754.476304687001</v>
      </c>
      <c r="F43" s="33"/>
      <c r="G43" s="35"/>
      <c r="H43" s="35"/>
    </row>
    <row r="44" spans="1:8" ht="22.5" customHeight="1">
      <c r="A44" s="33" t="s">
        <v>129</v>
      </c>
      <c r="B44" s="43">
        <f>Sheet1!E429</f>
        <v>0.106201613098782</v>
      </c>
      <c r="C44" s="43">
        <f>Sheet1!F429</f>
        <v>0.146197149735769</v>
      </c>
      <c r="D44" s="43">
        <f>Sheet1!G429</f>
        <v>0.17805393254417001</v>
      </c>
      <c r="E44" s="43">
        <f>Sheet1!H429</f>
        <v>0.14116861463506467</v>
      </c>
      <c r="F44" s="33"/>
      <c r="G44" s="35"/>
      <c r="H44" s="35"/>
    </row>
    <row r="45" spans="1:8" ht="21" customHeight="1">
      <c r="A45" s="48" t="s">
        <v>130</v>
      </c>
      <c r="B45" s="49">
        <f>Sheet1!E439</f>
        <v>1325.1816488269901</v>
      </c>
      <c r="C45" s="49">
        <f>Sheet1!F439</f>
        <v>1881.1248033402101</v>
      </c>
      <c r="D45" s="49">
        <f>Sheet1!G439</f>
        <v>2532.1124619561901</v>
      </c>
      <c r="E45" s="49">
        <f>Sheet1!H439</f>
        <v>1854.5971454855166</v>
      </c>
      <c r="F45" s="31"/>
    </row>
    <row r="46" spans="1:8" ht="21" customHeight="1">
      <c r="A46" s="29" t="s">
        <v>131</v>
      </c>
      <c r="B46" s="45">
        <f>Sheet1!E440</f>
        <v>0.21021155144017367</v>
      </c>
      <c r="C46" s="45">
        <f>Sheet1!F440</f>
        <v>0.71792219483124198</v>
      </c>
      <c r="D46" s="45">
        <f>Sheet1!G440</f>
        <v>1.3124314721061099</v>
      </c>
      <c r="E46" s="45">
        <f>Sheet1!H440</f>
        <v>0.69369602327444446</v>
      </c>
      <c r="F46" s="31"/>
    </row>
    <row r="47" spans="1:8" ht="21" customHeight="1">
      <c r="A47" s="29" t="s">
        <v>132</v>
      </c>
      <c r="B47" s="30">
        <f>Sheet1!$E$20</f>
        <v>1095</v>
      </c>
      <c r="C47" s="30">
        <f>Sheet1!$E$20</f>
        <v>1095</v>
      </c>
      <c r="D47" s="30">
        <f>Sheet1!$E$20</f>
        <v>1095</v>
      </c>
      <c r="E47" s="31"/>
      <c r="F47" s="31"/>
    </row>
    <row r="48" spans="1:8" ht="21" customHeight="1">
      <c r="A48" s="29" t="s">
        <v>133</v>
      </c>
      <c r="B48" s="50" t="str">
        <f>Sheet1!E444</f>
        <v>OK</v>
      </c>
      <c r="C48" s="31"/>
      <c r="D48" s="31"/>
      <c r="E48" s="31"/>
      <c r="F48" s="31"/>
      <c r="H48" s="32"/>
    </row>
    <row r="49" spans="1:8" ht="21" customHeight="1"/>
    <row r="50" spans="1:8" ht="23.1" customHeight="1">
      <c r="A50" s="233" t="s">
        <v>134</v>
      </c>
      <c r="B50" s="234" t="s">
        <v>135</v>
      </c>
      <c r="C50" s="233"/>
      <c r="D50" s="233"/>
      <c r="E50" s="233"/>
      <c r="F50" s="233"/>
      <c r="G50" s="233"/>
      <c r="H50" s="233"/>
    </row>
    <row r="51" spans="1:8" ht="21" customHeight="1">
      <c r="A51" s="29" t="s">
        <v>136</v>
      </c>
      <c r="B51" s="50" t="str">
        <f>Sheet1!E420</f>
        <v>OK</v>
      </c>
      <c r="C51" s="31"/>
      <c r="D51" s="31"/>
      <c r="E51" s="31"/>
      <c r="F51" s="31"/>
    </row>
    <row r="52" spans="1:8" ht="21" customHeight="1">
      <c r="A52" s="29" t="s">
        <v>137</v>
      </c>
      <c r="B52" s="51">
        <f>Sheet1!E373</f>
        <v>0</v>
      </c>
      <c r="C52" s="31"/>
      <c r="D52" s="31"/>
      <c r="E52" s="31"/>
      <c r="F52" s="31"/>
    </row>
    <row r="53" spans="1:8" ht="21" customHeight="1">
      <c r="A53" s="29" t="s">
        <v>138</v>
      </c>
      <c r="B53" s="51">
        <f>Sheet1!E372</f>
        <v>0</v>
      </c>
      <c r="C53" s="31"/>
      <c r="D53" s="31"/>
      <c r="E53" s="31"/>
      <c r="F53" s="31"/>
    </row>
    <row r="54" spans="1:8" ht="21" customHeight="1">
      <c r="A54" s="29" t="s">
        <v>139</v>
      </c>
      <c r="B54" s="50" t="str">
        <f>IF(SUMPRODUCT(ABS(Sheet1!E8:E15))=0,"OK","SHOCKS ON")</f>
        <v>OK</v>
      </c>
      <c r="C54" s="31"/>
      <c r="D54" s="31"/>
      <c r="E54" s="31"/>
      <c r="F54" s="31"/>
    </row>
    <row r="55" spans="1:8" ht="21" customHeight="1"/>
    <row r="56" spans="1:8" ht="23.1" customHeight="1">
      <c r="A56" s="232" t="s">
        <v>140</v>
      </c>
      <c r="B56" s="232"/>
      <c r="C56" s="232"/>
      <c r="D56" s="232"/>
      <c r="E56" s="232"/>
      <c r="F56" s="232"/>
      <c r="G56" s="232"/>
      <c r="H56" s="232" t="s">
        <v>141</v>
      </c>
    </row>
    <row r="57" spans="1:8" ht="23.1" customHeight="1">
      <c r="A57" s="235" t="s">
        <v>142</v>
      </c>
      <c r="B57" s="235" t="s">
        <v>143</v>
      </c>
      <c r="C57" s="235"/>
      <c r="D57" s="235"/>
      <c r="E57" s="235"/>
      <c r="F57" s="235"/>
      <c r="G57" s="233"/>
      <c r="H57" s="233"/>
    </row>
    <row r="58" spans="1:8" ht="23.1" customHeight="1">
      <c r="A58" s="235" t="s">
        <v>144</v>
      </c>
      <c r="B58" s="235" t="s">
        <v>145</v>
      </c>
      <c r="C58" s="235"/>
      <c r="D58" s="235"/>
      <c r="E58" s="235"/>
      <c r="F58" s="235"/>
      <c r="G58" s="233"/>
      <c r="H58" s="233"/>
    </row>
    <row r="59" spans="1:8" ht="21" customHeight="1">
      <c r="A59" s="29" t="s">
        <v>146</v>
      </c>
      <c r="B59" s="52" t="s">
        <v>147</v>
      </c>
      <c r="C59" s="31"/>
      <c r="D59" s="31"/>
      <c r="E59" s="31"/>
      <c r="F59" s="31"/>
    </row>
    <row r="60" spans="1:8" ht="21" customHeight="1">
      <c r="A60" s="29" t="s">
        <v>148</v>
      </c>
      <c r="B60" s="52" t="s">
        <v>149</v>
      </c>
      <c r="C60" s="31"/>
      <c r="D60" s="31"/>
      <c r="E60" s="31"/>
      <c r="F60" s="31"/>
    </row>
    <row r="61" spans="1:8" ht="23.1" customHeight="1">
      <c r="A61" s="236" t="s">
        <v>150</v>
      </c>
      <c r="B61" s="236" t="s">
        <v>151</v>
      </c>
      <c r="C61" s="236"/>
      <c r="D61" s="236"/>
      <c r="E61" s="236"/>
      <c r="F61" s="236"/>
      <c r="G61" s="232"/>
      <c r="H61" s="232"/>
    </row>
    <row r="62" spans="1:8" ht="21" customHeight="1">
      <c r="A62" s="29" t="s">
        <v>152</v>
      </c>
      <c r="B62" s="52" t="s">
        <v>153</v>
      </c>
      <c r="C62" s="31"/>
      <c r="D62" s="31"/>
      <c r="E62" s="31"/>
      <c r="F62" s="31"/>
    </row>
    <row r="63" spans="1:8" ht="21" customHeight="1">
      <c r="A63" s="29" t="s">
        <v>154</v>
      </c>
      <c r="B63" s="52" t="s">
        <v>155</v>
      </c>
      <c r="C63" s="31"/>
      <c r="D63" s="31"/>
      <c r="E63" s="31"/>
      <c r="F63" s="31"/>
    </row>
    <row r="64" spans="1:8" ht="23.1" customHeight="1">
      <c r="A64" s="235" t="s">
        <v>156</v>
      </c>
      <c r="B64" s="235" t="s">
        <v>34</v>
      </c>
      <c r="C64" s="235"/>
      <c r="D64" s="235"/>
      <c r="E64" s="235"/>
      <c r="F64" s="235"/>
      <c r="G64" s="233"/>
      <c r="H64" s="233"/>
    </row>
    <row r="65" spans="1:6" ht="21" customHeight="1">
      <c r="A65" s="29" t="s">
        <v>157</v>
      </c>
      <c r="B65" s="52" t="s">
        <v>158</v>
      </c>
      <c r="C65" s="31"/>
      <c r="D65" s="31"/>
      <c r="E65" s="31"/>
      <c r="F65" s="31"/>
    </row>
    <row r="66" spans="1:6" ht="21" customHeight="1">
      <c r="A66" s="29" t="s">
        <v>159</v>
      </c>
      <c r="B66" s="52" t="s">
        <v>160</v>
      </c>
      <c r="C66" s="31"/>
      <c r="D66" s="31"/>
      <c r="E66" s="31"/>
      <c r="F66" s="3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D32"/>
  </sheetPr>
  <dimension ref="B1:S1048576"/>
  <sheetViews>
    <sheetView workbookViewId="0">
      <pane ySplit="3" topLeftCell="A4" activePane="bottomLeft" state="frozen"/>
      <selection pane="bottomLeft"/>
    </sheetView>
  </sheetViews>
  <sheetFormatPr defaultColWidth="11.140625" defaultRowHeight="15"/>
  <cols>
    <col min="1" max="1" width="3.140625" customWidth="1"/>
    <col min="2" max="2" width="39" style="11" customWidth="1"/>
    <col min="3" max="4" width="18" style="11" customWidth="1"/>
    <col min="5" max="19" width="15.42578125" customWidth="1"/>
  </cols>
  <sheetData>
    <row r="1" spans="2:19" ht="27.95" customHeight="1">
      <c r="B1" s="228" t="s">
        <v>161</v>
      </c>
      <c r="C1" s="228"/>
      <c r="D1" s="228"/>
      <c r="E1" s="228"/>
      <c r="F1" s="228"/>
      <c r="G1" s="228"/>
      <c r="H1" s="228"/>
      <c r="I1" s="228"/>
      <c r="J1" s="228"/>
      <c r="K1" s="228"/>
      <c r="L1" s="228"/>
      <c r="M1" s="228"/>
      <c r="N1" s="228"/>
      <c r="O1" s="228"/>
      <c r="P1" s="228"/>
      <c r="Q1" s="228"/>
      <c r="R1" s="228"/>
      <c r="S1" s="228"/>
    </row>
    <row r="2" spans="2:19" ht="23.1" customHeight="1">
      <c r="B2" s="229" t="s">
        <v>162</v>
      </c>
      <c r="C2" s="230"/>
      <c r="D2" s="230"/>
      <c r="E2" s="230"/>
      <c r="F2" s="230"/>
      <c r="G2" s="230"/>
      <c r="H2" s="230"/>
      <c r="I2" s="230"/>
      <c r="J2" s="230"/>
      <c r="K2" s="230"/>
      <c r="L2" s="230"/>
      <c r="M2" s="230"/>
      <c r="N2" s="230"/>
      <c r="O2" s="230"/>
      <c r="P2" s="230"/>
      <c r="Q2" s="230"/>
      <c r="R2" s="230"/>
      <c r="S2" s="230"/>
    </row>
    <row r="3" spans="2:19" ht="22.5" customHeight="1">
      <c r="B3" s="35" t="s">
        <v>163</v>
      </c>
      <c r="C3" s="35" t="s">
        <v>164</v>
      </c>
      <c r="D3" s="54" t="s">
        <v>165</v>
      </c>
      <c r="E3" s="55">
        <v>2</v>
      </c>
      <c r="F3" s="35"/>
      <c r="G3" s="35"/>
      <c r="H3" s="35"/>
      <c r="I3" s="35"/>
      <c r="J3" s="35"/>
      <c r="K3" s="35"/>
      <c r="L3" s="35"/>
      <c r="M3" s="35"/>
      <c r="N3" s="35"/>
      <c r="O3" s="35"/>
      <c r="P3" s="35"/>
      <c r="Q3" s="35"/>
      <c r="R3" s="35"/>
      <c r="S3" s="35"/>
    </row>
    <row r="4" spans="2:19" ht="15" customHeight="1">
      <c r="B4" s="56" t="s">
        <v>166</v>
      </c>
      <c r="C4" s="56"/>
      <c r="D4" s="57"/>
      <c r="E4" s="58" t="str">
        <f>CHOOSE($E$3,"Bear","Base","Bull")</f>
        <v>Base</v>
      </c>
    </row>
    <row r="5" spans="2:19" ht="22.5" customHeight="1">
      <c r="B5" s="35" t="s">
        <v>167</v>
      </c>
      <c r="C5" s="35" t="s">
        <v>168</v>
      </c>
      <c r="D5" s="54" t="s">
        <v>169</v>
      </c>
      <c r="E5" s="59">
        <f>Prob_Justification!$B$25</f>
        <v>0.29166666666666669</v>
      </c>
      <c r="F5" s="59">
        <f>Prob_Justification!$B$26</f>
        <v>0.5</v>
      </c>
      <c r="G5" s="59">
        <f>Prob_Justification!$B$27</f>
        <v>0.20833333333333334</v>
      </c>
      <c r="H5" s="35"/>
      <c r="I5" s="35"/>
      <c r="J5" s="35"/>
      <c r="K5" s="35"/>
      <c r="L5" s="35"/>
      <c r="M5" s="35"/>
      <c r="N5" s="35"/>
      <c r="O5" s="35"/>
      <c r="P5" s="35"/>
      <c r="Q5" s="35"/>
      <c r="R5" s="35"/>
      <c r="S5" s="35"/>
    </row>
    <row r="6" spans="2:19" ht="18" customHeight="1"/>
    <row r="7" spans="2:19" ht="23.1" customHeight="1">
      <c r="B7" s="237" t="s">
        <v>170</v>
      </c>
      <c r="C7" s="232"/>
      <c r="D7" s="232"/>
      <c r="E7" s="232"/>
      <c r="F7" s="232"/>
      <c r="G7" s="232"/>
      <c r="H7" s="232"/>
      <c r="I7" s="232"/>
      <c r="J7" s="232"/>
      <c r="K7" s="232"/>
      <c r="L7" s="232"/>
      <c r="M7" s="232"/>
      <c r="N7" s="232"/>
      <c r="O7" s="232"/>
      <c r="P7" s="232"/>
      <c r="Q7" s="232"/>
      <c r="R7" s="232"/>
      <c r="S7" s="232"/>
    </row>
    <row r="8" spans="2:19" ht="18" customHeight="1">
      <c r="B8" s="56" t="s">
        <v>171</v>
      </c>
      <c r="C8" s="56" t="s">
        <v>172</v>
      </c>
      <c r="D8" s="57"/>
      <c r="E8" s="60">
        <v>0</v>
      </c>
    </row>
    <row r="9" spans="2:19" ht="18" customHeight="1">
      <c r="B9" s="56" t="s">
        <v>173</v>
      </c>
      <c r="C9" s="56" t="s">
        <v>172</v>
      </c>
      <c r="D9" s="57"/>
      <c r="E9" s="60">
        <v>0</v>
      </c>
    </row>
    <row r="10" spans="2:19" ht="18" customHeight="1">
      <c r="B10" s="56" t="s">
        <v>174</v>
      </c>
      <c r="C10" s="56" t="s">
        <v>172</v>
      </c>
      <c r="D10" s="57"/>
      <c r="E10" s="60">
        <v>0</v>
      </c>
    </row>
    <row r="11" spans="2:19" ht="18" customHeight="1">
      <c r="B11" s="56" t="s">
        <v>175</v>
      </c>
      <c r="C11" s="56" t="s">
        <v>172</v>
      </c>
      <c r="D11" s="57"/>
      <c r="E11" s="60">
        <v>0</v>
      </c>
    </row>
    <row r="12" spans="2:19" ht="18" customHeight="1">
      <c r="B12" s="56" t="s">
        <v>176</v>
      </c>
      <c r="C12" s="56" t="s">
        <v>172</v>
      </c>
      <c r="D12" s="57"/>
      <c r="E12" s="60">
        <v>0</v>
      </c>
    </row>
    <row r="13" spans="2:19" ht="18" customHeight="1">
      <c r="B13" s="56" t="s">
        <v>177</v>
      </c>
      <c r="C13" s="56" t="s">
        <v>172</v>
      </c>
      <c r="D13" s="57"/>
      <c r="E13" s="60">
        <v>0</v>
      </c>
    </row>
    <row r="14" spans="2:19" ht="18" customHeight="1">
      <c r="B14" s="56" t="s">
        <v>178</v>
      </c>
      <c r="C14" s="56" t="s">
        <v>172</v>
      </c>
      <c r="D14" s="57"/>
      <c r="E14" s="60">
        <v>0</v>
      </c>
    </row>
    <row r="15" spans="2:19" ht="18" customHeight="1">
      <c r="B15" s="56" t="s">
        <v>179</v>
      </c>
      <c r="C15" s="56" t="s">
        <v>172</v>
      </c>
      <c r="D15" s="57"/>
      <c r="E15" s="60">
        <v>0</v>
      </c>
    </row>
    <row r="16" spans="2:19" ht="18" customHeight="1">
      <c r="B16" s="56" t="s">
        <v>180</v>
      </c>
      <c r="C16" s="56"/>
      <c r="D16" s="57"/>
      <c r="E16" s="61" t="s">
        <v>181</v>
      </c>
    </row>
    <row r="17" spans="2:19" ht="18" customHeight="1"/>
    <row r="18" spans="2:19" ht="23.1" customHeight="1">
      <c r="B18" s="233" t="s">
        <v>182</v>
      </c>
      <c r="C18" s="233"/>
      <c r="D18" s="233"/>
      <c r="E18" s="233"/>
      <c r="F18" s="233"/>
      <c r="G18" s="233"/>
      <c r="H18" s="233"/>
      <c r="I18" s="233"/>
      <c r="J18" s="233"/>
      <c r="K18" s="233"/>
      <c r="L18" s="233"/>
      <c r="M18" s="233"/>
      <c r="N18" s="233"/>
      <c r="O18" s="233"/>
      <c r="P18" s="233"/>
      <c r="Q18" s="233"/>
      <c r="R18" s="233"/>
      <c r="S18" s="233"/>
    </row>
    <row r="19" spans="2:19" ht="27" customHeight="1">
      <c r="B19" s="24" t="s">
        <v>183</v>
      </c>
      <c r="C19" s="24"/>
      <c r="D19" s="24"/>
      <c r="E19" s="24"/>
      <c r="F19" s="24"/>
      <c r="G19" s="24"/>
      <c r="H19" s="24"/>
      <c r="I19" s="24"/>
      <c r="J19" s="24"/>
      <c r="K19" s="24"/>
      <c r="L19" s="24"/>
      <c r="M19" s="24"/>
      <c r="N19" s="24"/>
      <c r="O19" s="24"/>
      <c r="P19" s="24"/>
      <c r="Q19" s="24"/>
      <c r="R19" s="24"/>
      <c r="S19" s="24"/>
    </row>
    <row r="20" spans="2:19" ht="18" customHeight="1">
      <c r="B20" s="56" t="s">
        <v>184</v>
      </c>
      <c r="C20" s="56" t="s">
        <v>185</v>
      </c>
      <c r="D20" s="57" t="s">
        <v>186</v>
      </c>
      <c r="E20" s="62">
        <v>1095</v>
      </c>
    </row>
    <row r="21" spans="2:19" ht="18" customHeight="1">
      <c r="B21" s="56" t="s">
        <v>187</v>
      </c>
      <c r="C21" s="56" t="s">
        <v>188</v>
      </c>
      <c r="D21" s="57" t="s">
        <v>189</v>
      </c>
      <c r="E21" s="63">
        <v>46129.26</v>
      </c>
    </row>
    <row r="22" spans="2:19" ht="18" customHeight="1">
      <c r="B22" s="56" t="s">
        <v>190</v>
      </c>
      <c r="C22" s="56" t="s">
        <v>191</v>
      </c>
      <c r="D22" s="57"/>
      <c r="E22" s="64">
        <v>46304</v>
      </c>
    </row>
    <row r="23" spans="2:19" ht="22.5" customHeight="1">
      <c r="B23" s="35" t="s">
        <v>192</v>
      </c>
      <c r="C23" s="35" t="s">
        <v>191</v>
      </c>
      <c r="D23" s="54" t="s">
        <v>193</v>
      </c>
      <c r="E23" s="65">
        <v>46178</v>
      </c>
      <c r="F23" s="35"/>
      <c r="G23" s="35"/>
      <c r="H23" s="35"/>
      <c r="I23" s="35"/>
      <c r="J23" s="35"/>
      <c r="K23" s="35"/>
      <c r="L23" s="35"/>
      <c r="M23" s="35"/>
      <c r="N23" s="35"/>
      <c r="O23" s="35"/>
      <c r="P23" s="35"/>
      <c r="Q23" s="35"/>
      <c r="R23" s="35"/>
      <c r="S23" s="35"/>
    </row>
    <row r="24" spans="2:19" ht="18" customHeight="1">
      <c r="B24" s="56" t="s">
        <v>194</v>
      </c>
      <c r="C24" s="56" t="s">
        <v>168</v>
      </c>
      <c r="D24" s="57" t="s">
        <v>195</v>
      </c>
      <c r="E24" s="66">
        <f>$G$24-$H$24</f>
        <v>5.5600000000000004E-2</v>
      </c>
      <c r="F24" s="22" t="s">
        <v>196</v>
      </c>
      <c r="G24" s="60">
        <v>7.1800000000000003E-2</v>
      </c>
      <c r="H24" s="60">
        <v>1.6199999999999999E-2</v>
      </c>
    </row>
    <row r="25" spans="2:19" ht="18" customHeight="1">
      <c r="B25" s="56" t="s">
        <v>197</v>
      </c>
      <c r="C25" s="56" t="s">
        <v>168</v>
      </c>
      <c r="D25" s="57" t="s">
        <v>198</v>
      </c>
      <c r="E25" s="60">
        <v>6.6900000000000001E-2</v>
      </c>
    </row>
    <row r="26" spans="2:19" ht="18" customHeight="1">
      <c r="B26" s="56" t="s">
        <v>199</v>
      </c>
      <c r="C26" s="56" t="s">
        <v>200</v>
      </c>
      <c r="D26" s="57" t="s">
        <v>201</v>
      </c>
      <c r="E26" s="67">
        <f>Beta_Evidence!$B$12</f>
        <v>0.75880000000000003</v>
      </c>
    </row>
    <row r="27" spans="2:19" ht="18" customHeight="1">
      <c r="B27" s="56" t="s">
        <v>202</v>
      </c>
      <c r="C27" s="56" t="s">
        <v>168</v>
      </c>
      <c r="D27" s="57" t="s">
        <v>203</v>
      </c>
      <c r="E27" s="68">
        <v>0</v>
      </c>
    </row>
    <row r="28" spans="2:19" ht="18" customHeight="1">
      <c r="B28" s="56" t="s">
        <v>204</v>
      </c>
      <c r="C28" s="56" t="s">
        <v>168</v>
      </c>
      <c r="D28" s="57"/>
      <c r="E28" s="69">
        <f>$E$24+IF(Beta_Evidence!$B$41=2,$E$26*($E$25-Beta_Evidence!$B$17)+Beta_Evidence!$B$17,$E$26*$E$25)+$E$27</f>
        <v>0.11229724000000002</v>
      </c>
    </row>
    <row r="29" spans="2:19" ht="22.5" customHeight="1">
      <c r="B29" s="35" t="s">
        <v>205</v>
      </c>
      <c r="C29" s="35" t="s">
        <v>168</v>
      </c>
      <c r="D29" s="54" t="s">
        <v>206</v>
      </c>
      <c r="E29" s="59">
        <v>0.33333333333333298</v>
      </c>
      <c r="F29" s="35"/>
      <c r="G29" s="35"/>
      <c r="H29" s="35"/>
      <c r="I29" s="35"/>
      <c r="J29" s="35"/>
      <c r="K29" s="35"/>
      <c r="L29" s="35"/>
      <c r="M29" s="35"/>
      <c r="N29" s="35"/>
      <c r="O29" s="35"/>
      <c r="P29" s="35"/>
      <c r="Q29" s="35"/>
      <c r="R29" s="35"/>
      <c r="S29" s="35"/>
    </row>
    <row r="30" spans="2:19" ht="22.5" customHeight="1">
      <c r="B30" s="35" t="s">
        <v>207</v>
      </c>
      <c r="C30" s="35" t="s">
        <v>168</v>
      </c>
      <c r="D30" s="54"/>
      <c r="E30" s="59">
        <v>0.04</v>
      </c>
      <c r="F30" s="59">
        <v>4.4999999999999998E-2</v>
      </c>
      <c r="G30" s="59">
        <v>0.05</v>
      </c>
      <c r="H30" s="35"/>
      <c r="I30" s="35"/>
      <c r="J30" s="35"/>
      <c r="K30" s="35"/>
      <c r="L30" s="35"/>
      <c r="M30" s="35"/>
      <c r="N30" s="35"/>
      <c r="O30" s="35"/>
      <c r="P30" s="35"/>
      <c r="Q30" s="35"/>
      <c r="R30" s="35"/>
      <c r="S30" s="35"/>
    </row>
    <row r="31" spans="2:19" ht="18" customHeight="1">
      <c r="B31" s="56" t="s">
        <v>208</v>
      </c>
      <c r="C31" s="56" t="s">
        <v>168</v>
      </c>
      <c r="D31" s="57"/>
      <c r="E31" s="70">
        <f>CHOOSE($E$3,$E$30,$F$30,$G$30)</f>
        <v>4.4999999999999998E-2</v>
      </c>
    </row>
    <row r="32" spans="2:19" ht="22.5" customHeight="1">
      <c r="B32" s="35" t="s">
        <v>209</v>
      </c>
      <c r="C32" s="35" t="s">
        <v>168</v>
      </c>
      <c r="D32" s="54" t="s">
        <v>210</v>
      </c>
      <c r="E32" s="71">
        <v>0</v>
      </c>
      <c r="F32" s="71">
        <v>0</v>
      </c>
      <c r="G32" s="71">
        <v>0</v>
      </c>
      <c r="H32" s="35"/>
      <c r="I32" s="35"/>
      <c r="J32" s="35"/>
      <c r="K32" s="35"/>
      <c r="L32" s="35"/>
      <c r="M32" s="35"/>
      <c r="N32" s="35"/>
      <c r="O32" s="35"/>
      <c r="P32" s="35"/>
      <c r="Q32" s="35"/>
      <c r="R32" s="35"/>
      <c r="S32" s="35"/>
    </row>
    <row r="33" spans="2:19" ht="18" customHeight="1">
      <c r="B33" s="56" t="s">
        <v>211</v>
      </c>
      <c r="C33" s="56" t="s">
        <v>168</v>
      </c>
      <c r="D33" s="57"/>
      <c r="E33" s="69">
        <f>CHOOSE($E$3,$E$32,$F$32,$G$32)+$E$14</f>
        <v>0</v>
      </c>
    </row>
    <row r="34" spans="2:19" ht="18" customHeight="1">
      <c r="B34" s="56" t="s">
        <v>212</v>
      </c>
      <c r="C34" s="56" t="s">
        <v>168</v>
      </c>
      <c r="D34" s="57"/>
      <c r="E34" s="69">
        <f>$E$28+$E$33</f>
        <v>0.11229724000000002</v>
      </c>
    </row>
    <row r="35" spans="2:19" ht="18" customHeight="1">
      <c r="B35" s="56" t="s">
        <v>213</v>
      </c>
      <c r="C35" s="56" t="s">
        <v>168</v>
      </c>
      <c r="D35" s="57" t="s">
        <v>214</v>
      </c>
      <c r="E35" s="72">
        <v>0.2</v>
      </c>
    </row>
    <row r="36" spans="2:19" ht="22.5" customHeight="1">
      <c r="B36" s="35" t="s">
        <v>215</v>
      </c>
      <c r="C36" s="35" t="s">
        <v>168</v>
      </c>
      <c r="D36" s="54" t="s">
        <v>216</v>
      </c>
      <c r="E36" s="59">
        <v>0.13489999999999999</v>
      </c>
      <c r="F36" s="35"/>
      <c r="G36" s="35"/>
      <c r="H36" s="35"/>
      <c r="I36" s="35"/>
      <c r="J36" s="35"/>
      <c r="K36" s="35"/>
      <c r="L36" s="35"/>
      <c r="M36" s="35"/>
      <c r="N36" s="35"/>
      <c r="O36" s="35"/>
      <c r="P36" s="35"/>
      <c r="Q36" s="35"/>
      <c r="R36" s="35"/>
      <c r="S36" s="35"/>
    </row>
    <row r="37" spans="2:19" ht="18" customHeight="1">
      <c r="B37" s="56" t="s">
        <v>217</v>
      </c>
      <c r="C37" s="56" t="s">
        <v>168</v>
      </c>
      <c r="D37" s="57"/>
      <c r="E37" s="72">
        <v>0.92</v>
      </c>
    </row>
    <row r="38" spans="2:19" ht="18" customHeight="1">
      <c r="B38" s="56" t="s">
        <v>218</v>
      </c>
      <c r="C38" s="56" t="s">
        <v>168</v>
      </c>
      <c r="D38" s="57" t="s">
        <v>219</v>
      </c>
      <c r="E38" s="72">
        <v>7.4999999999999997E-2</v>
      </c>
    </row>
    <row r="39" spans="2:19" ht="22.5" customHeight="1">
      <c r="B39" s="35" t="s">
        <v>220</v>
      </c>
      <c r="C39" s="35" t="s">
        <v>168</v>
      </c>
      <c r="D39" s="54" t="s">
        <v>221</v>
      </c>
      <c r="E39" s="59">
        <v>0</v>
      </c>
      <c r="F39" s="59">
        <v>0.02</v>
      </c>
      <c r="G39" s="59">
        <v>0.04</v>
      </c>
      <c r="H39" s="35"/>
      <c r="I39" s="35"/>
      <c r="J39" s="35"/>
      <c r="K39" s="35"/>
      <c r="L39" s="35"/>
      <c r="M39" s="35"/>
      <c r="N39" s="35"/>
      <c r="O39" s="35"/>
      <c r="P39" s="35"/>
      <c r="Q39" s="35"/>
      <c r="R39" s="35"/>
      <c r="S39" s="35"/>
    </row>
    <row r="40" spans="2:19" ht="27" customHeight="1">
      <c r="B40" s="24" t="s">
        <v>222</v>
      </c>
      <c r="C40" s="24"/>
      <c r="D40" s="24"/>
      <c r="E40" s="44" t="s">
        <v>223</v>
      </c>
      <c r="F40" s="44" t="s">
        <v>224</v>
      </c>
      <c r="G40" s="44" t="s">
        <v>225</v>
      </c>
      <c r="H40" s="44" t="s">
        <v>226</v>
      </c>
      <c r="I40" s="44" t="s">
        <v>93</v>
      </c>
      <c r="J40" s="44" t="s">
        <v>94</v>
      </c>
      <c r="K40" s="44" t="s">
        <v>227</v>
      </c>
      <c r="L40" s="44" t="s">
        <v>95</v>
      </c>
      <c r="M40" s="44" t="s">
        <v>228</v>
      </c>
      <c r="N40" s="44" t="s">
        <v>96</v>
      </c>
      <c r="O40" s="44" t="s">
        <v>229</v>
      </c>
      <c r="P40" s="44" t="s">
        <v>230</v>
      </c>
      <c r="Q40" s="44" t="s">
        <v>231</v>
      </c>
      <c r="R40" s="44" t="s">
        <v>232</v>
      </c>
      <c r="S40" s="44" t="s">
        <v>97</v>
      </c>
    </row>
    <row r="41" spans="2:19" ht="22.5" customHeight="1">
      <c r="B41" s="35" t="s">
        <v>233</v>
      </c>
      <c r="C41" s="35" t="s">
        <v>168</v>
      </c>
      <c r="D41" s="54"/>
      <c r="E41" s="35"/>
      <c r="F41" s="35"/>
      <c r="G41" s="35"/>
      <c r="H41" s="35"/>
      <c r="I41" s="35"/>
      <c r="J41" s="71">
        <v>6.25E-2</v>
      </c>
      <c r="K41" s="71">
        <v>5.7500000000000002E-2</v>
      </c>
      <c r="L41" s="71">
        <v>5.5E-2</v>
      </c>
      <c r="M41" s="71">
        <v>5.2499999999999998E-2</v>
      </c>
      <c r="N41" s="71">
        <v>0.05</v>
      </c>
      <c r="O41" s="71">
        <v>0.05</v>
      </c>
      <c r="P41" s="71">
        <v>0.05</v>
      </c>
      <c r="Q41" s="71">
        <v>0.05</v>
      </c>
      <c r="R41" s="71">
        <v>0.05</v>
      </c>
      <c r="S41" s="71">
        <v>0.05</v>
      </c>
    </row>
    <row r="42" spans="2:19" ht="22.5" customHeight="1">
      <c r="B42" s="35" t="s">
        <v>234</v>
      </c>
      <c r="C42" s="35" t="s">
        <v>168</v>
      </c>
      <c r="D42" s="54"/>
      <c r="E42" s="35"/>
      <c r="F42" s="35"/>
      <c r="G42" s="35"/>
      <c r="H42" s="35"/>
      <c r="I42" s="35"/>
      <c r="J42" s="71">
        <v>5.7500000000000002E-2</v>
      </c>
      <c r="K42" s="71">
        <v>5.2499999999999998E-2</v>
      </c>
      <c r="L42" s="71">
        <v>4.7500000000000001E-2</v>
      </c>
      <c r="M42" s="71">
        <v>4.4999999999999998E-2</v>
      </c>
      <c r="N42" s="71">
        <v>4.4999999999999998E-2</v>
      </c>
      <c r="O42" s="71">
        <v>4.4999999999999998E-2</v>
      </c>
      <c r="P42" s="71">
        <v>4.4999999999999998E-2</v>
      </c>
      <c r="Q42" s="71">
        <v>4.4999999999999998E-2</v>
      </c>
      <c r="R42" s="71">
        <v>4.4999999999999998E-2</v>
      </c>
      <c r="S42" s="71">
        <v>4.4999999999999998E-2</v>
      </c>
    </row>
    <row r="43" spans="2:19" ht="22.5" customHeight="1">
      <c r="B43" s="35" t="s">
        <v>235</v>
      </c>
      <c r="C43" s="35" t="s">
        <v>168</v>
      </c>
      <c r="D43" s="54"/>
      <c r="E43" s="35"/>
      <c r="F43" s="35"/>
      <c r="G43" s="35"/>
      <c r="H43" s="35"/>
      <c r="I43" s="35"/>
      <c r="J43" s="71">
        <v>5.2499999999999998E-2</v>
      </c>
      <c r="K43" s="71">
        <v>4.7500000000000001E-2</v>
      </c>
      <c r="L43" s="71">
        <v>4.4999999999999998E-2</v>
      </c>
      <c r="M43" s="71">
        <v>4.2500000000000003E-2</v>
      </c>
      <c r="N43" s="71">
        <v>4.2500000000000003E-2</v>
      </c>
      <c r="O43" s="71">
        <v>4.2500000000000003E-2</v>
      </c>
      <c r="P43" s="71">
        <v>4.2500000000000003E-2</v>
      </c>
      <c r="Q43" s="71">
        <v>4.2500000000000003E-2</v>
      </c>
      <c r="R43" s="71">
        <v>4.2500000000000003E-2</v>
      </c>
      <c r="S43" s="71">
        <v>4.2500000000000003E-2</v>
      </c>
    </row>
    <row r="44" spans="2:19" ht="18" customHeight="1">
      <c r="B44" s="73" t="s">
        <v>236</v>
      </c>
      <c r="C44" s="56" t="s">
        <v>168</v>
      </c>
      <c r="D44" s="57" t="s">
        <v>237</v>
      </c>
      <c r="E44" s="74">
        <v>3.5000000000000003E-2</v>
      </c>
      <c r="F44" s="74">
        <v>5.5E-2</v>
      </c>
      <c r="G44" s="74">
        <v>0.06</v>
      </c>
      <c r="H44" s="74">
        <v>0.06</v>
      </c>
      <c r="I44" s="74">
        <v>4.7500000000000001E-2</v>
      </c>
      <c r="J44" s="75">
        <f t="shared" ref="J44:S44" si="0">CHOOSE($E$3,J41,J42,J43)</f>
        <v>5.7500000000000002E-2</v>
      </c>
      <c r="K44" s="75">
        <f t="shared" si="0"/>
        <v>5.2499999999999998E-2</v>
      </c>
      <c r="L44" s="75">
        <f t="shared" si="0"/>
        <v>4.7500000000000001E-2</v>
      </c>
      <c r="M44" s="75">
        <f t="shared" si="0"/>
        <v>4.4999999999999998E-2</v>
      </c>
      <c r="N44" s="75">
        <f t="shared" si="0"/>
        <v>4.4999999999999998E-2</v>
      </c>
      <c r="O44" s="75">
        <f t="shared" si="0"/>
        <v>4.4999999999999998E-2</v>
      </c>
      <c r="P44" s="75">
        <f t="shared" si="0"/>
        <v>4.4999999999999998E-2</v>
      </c>
      <c r="Q44" s="75">
        <f t="shared" si="0"/>
        <v>4.4999999999999998E-2</v>
      </c>
      <c r="R44" s="75">
        <f t="shared" si="0"/>
        <v>4.4999999999999998E-2</v>
      </c>
      <c r="S44" s="75">
        <f t="shared" si="0"/>
        <v>4.4999999999999998E-2</v>
      </c>
    </row>
    <row r="45" spans="2:19" ht="18" customHeight="1">
      <c r="B45" s="56" t="s">
        <v>238</v>
      </c>
      <c r="C45" s="56" t="s">
        <v>200</v>
      </c>
      <c r="D45" s="57"/>
      <c r="E45" s="76">
        <v>0.6</v>
      </c>
    </row>
    <row r="46" spans="2:19" ht="18" customHeight="1">
      <c r="B46" s="56" t="s">
        <v>239</v>
      </c>
      <c r="C46" s="56" t="s">
        <v>200</v>
      </c>
      <c r="D46" s="57"/>
      <c r="E46" s="76">
        <v>0.1</v>
      </c>
    </row>
    <row r="47" spans="2:19" ht="18" customHeight="1">
      <c r="B47" s="56" t="s">
        <v>240</v>
      </c>
      <c r="C47" s="56" t="s">
        <v>200</v>
      </c>
      <c r="D47" s="57"/>
      <c r="E47" s="76">
        <v>0.15</v>
      </c>
    </row>
    <row r="48" spans="2:19" ht="18" customHeight="1">
      <c r="B48" s="56"/>
      <c r="C48" s="56"/>
      <c r="D48" s="57"/>
      <c r="E48" s="76"/>
    </row>
    <row r="49" spans="2:19" ht="27" customHeight="1">
      <c r="B49" s="24" t="s">
        <v>241</v>
      </c>
      <c r="C49" s="24"/>
      <c r="D49" s="24"/>
      <c r="E49" s="44" t="s">
        <v>223</v>
      </c>
      <c r="F49" s="44" t="s">
        <v>224</v>
      </c>
      <c r="G49" s="44" t="s">
        <v>225</v>
      </c>
      <c r="H49" s="44" t="s">
        <v>226</v>
      </c>
      <c r="I49" s="44" t="s">
        <v>93</v>
      </c>
      <c r="J49" s="44" t="s">
        <v>94</v>
      </c>
      <c r="K49" s="44" t="s">
        <v>227</v>
      </c>
      <c r="L49" s="44" t="s">
        <v>95</v>
      </c>
      <c r="M49" s="44" t="s">
        <v>228</v>
      </c>
      <c r="N49" s="44" t="s">
        <v>96</v>
      </c>
      <c r="O49" s="44" t="s">
        <v>229</v>
      </c>
      <c r="P49" s="44" t="s">
        <v>230</v>
      </c>
      <c r="Q49" s="44" t="s">
        <v>231</v>
      </c>
      <c r="R49" s="44" t="s">
        <v>232</v>
      </c>
      <c r="S49" s="44" t="s">
        <v>97</v>
      </c>
    </row>
    <row r="50" spans="2:19" ht="22.5" customHeight="1">
      <c r="B50" s="35" t="s">
        <v>242</v>
      </c>
      <c r="C50" s="35" t="s">
        <v>168</v>
      </c>
      <c r="D50" s="54"/>
      <c r="E50" s="35"/>
      <c r="F50" s="35"/>
      <c r="G50" s="35"/>
      <c r="H50" s="35"/>
      <c r="I50" s="35"/>
      <c r="J50" s="59">
        <v>0.115</v>
      </c>
      <c r="K50" s="59">
        <v>9.5000000000000001E-2</v>
      </c>
      <c r="L50" s="59">
        <v>8.5000000000000006E-2</v>
      </c>
      <c r="M50" s="59">
        <v>7.4999999999999997E-2</v>
      </c>
      <c r="N50" s="59">
        <v>6.5000000000000002E-2</v>
      </c>
      <c r="O50" s="59">
        <v>6.2E-2</v>
      </c>
      <c r="P50" s="59">
        <v>5.8999999999999997E-2</v>
      </c>
      <c r="Q50" s="59">
        <v>5.6000000000000001E-2</v>
      </c>
      <c r="R50" s="59">
        <v>5.2999999999999999E-2</v>
      </c>
      <c r="S50" s="59">
        <v>0.05</v>
      </c>
    </row>
    <row r="51" spans="2:19" ht="22.5" customHeight="1">
      <c r="B51" s="35" t="s">
        <v>243</v>
      </c>
      <c r="C51" s="35" t="s">
        <v>168</v>
      </c>
      <c r="D51" s="54"/>
      <c r="E51" s="35"/>
      <c r="F51" s="35"/>
      <c r="G51" s="35"/>
      <c r="H51" s="35"/>
      <c r="I51" s="35"/>
      <c r="J51" s="59">
        <v>0.15</v>
      </c>
      <c r="K51" s="59">
        <v>0.13</v>
      </c>
      <c r="L51" s="59">
        <v>0.12</v>
      </c>
      <c r="M51" s="59">
        <v>0.11</v>
      </c>
      <c r="N51" s="59">
        <v>0.1</v>
      </c>
      <c r="O51" s="59">
        <v>9.2999999999999999E-2</v>
      </c>
      <c r="P51" s="59">
        <v>8.5999999999999993E-2</v>
      </c>
      <c r="Q51" s="59">
        <v>7.9000000000000001E-2</v>
      </c>
      <c r="R51" s="59">
        <v>7.1999999999999995E-2</v>
      </c>
      <c r="S51" s="59">
        <v>6.5000000000000002E-2</v>
      </c>
    </row>
    <row r="52" spans="2:19" ht="22.5" customHeight="1">
      <c r="B52" s="35" t="s">
        <v>244</v>
      </c>
      <c r="C52" s="35" t="s">
        <v>168</v>
      </c>
      <c r="D52" s="54"/>
      <c r="E52" s="35"/>
      <c r="F52" s="35"/>
      <c r="G52" s="35"/>
      <c r="H52" s="35"/>
      <c r="I52" s="35"/>
      <c r="J52" s="59">
        <v>0.17499999999999999</v>
      </c>
      <c r="K52" s="59">
        <v>0.155</v>
      </c>
      <c r="L52" s="59">
        <v>0.14499999999999999</v>
      </c>
      <c r="M52" s="59">
        <v>0.13500000000000001</v>
      </c>
      <c r="N52" s="59">
        <v>0.125</v>
      </c>
      <c r="O52" s="59">
        <v>0.11600000000000001</v>
      </c>
      <c r="P52" s="59">
        <v>0.107</v>
      </c>
      <c r="Q52" s="59">
        <v>9.8000000000000004E-2</v>
      </c>
      <c r="R52" s="59">
        <v>8.8999999999999996E-2</v>
      </c>
      <c r="S52" s="59">
        <v>0.08</v>
      </c>
    </row>
    <row r="53" spans="2:19" ht="22.5" customHeight="1">
      <c r="B53" s="35" t="s">
        <v>245</v>
      </c>
      <c r="C53" s="35" t="s">
        <v>168</v>
      </c>
      <c r="D53" s="54" t="s">
        <v>246</v>
      </c>
      <c r="E53" s="35"/>
      <c r="F53" s="59">
        <f>F207/E207-1</f>
        <v>0.14257069408740364</v>
      </c>
      <c r="G53" s="59">
        <f>G207/F207-1</f>
        <v>0.1728164514242001</v>
      </c>
      <c r="H53" s="59">
        <f>H207/G207-1</f>
        <v>0.14332303796497015</v>
      </c>
      <c r="I53" s="59">
        <f>I207/H207-1</f>
        <v>0.18868082821571197</v>
      </c>
      <c r="J53" s="59">
        <f t="shared" ref="J53:S53" si="1">CHOOSE($E$3,J50,J51,J52)+$E$11</f>
        <v>0.15</v>
      </c>
      <c r="K53" s="59">
        <f t="shared" si="1"/>
        <v>0.13</v>
      </c>
      <c r="L53" s="59">
        <f t="shared" si="1"/>
        <v>0.12</v>
      </c>
      <c r="M53" s="59">
        <f t="shared" si="1"/>
        <v>0.11</v>
      </c>
      <c r="N53" s="59">
        <f t="shared" si="1"/>
        <v>0.1</v>
      </c>
      <c r="O53" s="59">
        <f t="shared" si="1"/>
        <v>9.2999999999999999E-2</v>
      </c>
      <c r="P53" s="59">
        <f t="shared" si="1"/>
        <v>8.5999999999999993E-2</v>
      </c>
      <c r="Q53" s="59">
        <f t="shared" si="1"/>
        <v>7.9000000000000001E-2</v>
      </c>
      <c r="R53" s="59">
        <f t="shared" si="1"/>
        <v>7.1999999999999995E-2</v>
      </c>
      <c r="S53" s="59">
        <f t="shared" si="1"/>
        <v>6.5000000000000002E-2</v>
      </c>
    </row>
    <row r="54" spans="2:19" ht="22.5" customHeight="1">
      <c r="B54" s="35" t="s">
        <v>247</v>
      </c>
      <c r="C54" s="35" t="s">
        <v>168</v>
      </c>
      <c r="D54" s="54"/>
      <c r="E54" s="35"/>
      <c r="F54" s="35"/>
      <c r="G54" s="35"/>
      <c r="H54" s="35"/>
      <c r="I54" s="35"/>
      <c r="J54" s="59">
        <v>2.5000000000000001E-2</v>
      </c>
      <c r="K54" s="59">
        <v>4.4999999999999998E-2</v>
      </c>
      <c r="L54" s="59">
        <v>4.4999999999999998E-2</v>
      </c>
      <c r="M54" s="59">
        <v>4.4999999999999998E-2</v>
      </c>
      <c r="N54" s="59">
        <v>4.4999999999999998E-2</v>
      </c>
      <c r="O54" s="59">
        <v>4.5999999999999999E-2</v>
      </c>
      <c r="P54" s="59">
        <v>4.7E-2</v>
      </c>
      <c r="Q54" s="59">
        <v>4.8000000000000001E-2</v>
      </c>
      <c r="R54" s="59">
        <v>4.9000000000000002E-2</v>
      </c>
      <c r="S54" s="59">
        <v>0.05</v>
      </c>
    </row>
    <row r="55" spans="2:19" ht="22.5" customHeight="1">
      <c r="B55" s="35" t="s">
        <v>248</v>
      </c>
      <c r="C55" s="35" t="s">
        <v>168</v>
      </c>
      <c r="D55" s="54"/>
      <c r="E55" s="35"/>
      <c r="F55" s="35"/>
      <c r="G55" s="35"/>
      <c r="H55" s="35"/>
      <c r="I55" s="35"/>
      <c r="J55" s="59">
        <v>0.06</v>
      </c>
      <c r="K55" s="59">
        <v>0.08</v>
      </c>
      <c r="L55" s="59">
        <v>0.08</v>
      </c>
      <c r="M55" s="59">
        <v>0.08</v>
      </c>
      <c r="N55" s="59">
        <v>0.08</v>
      </c>
      <c r="O55" s="59">
        <v>7.6999999999999999E-2</v>
      </c>
      <c r="P55" s="59">
        <v>7.3999999999999996E-2</v>
      </c>
      <c r="Q55" s="59">
        <v>7.0999999999999994E-2</v>
      </c>
      <c r="R55" s="59">
        <v>6.8000000000000005E-2</v>
      </c>
      <c r="S55" s="59">
        <v>6.5000000000000002E-2</v>
      </c>
    </row>
    <row r="56" spans="2:19" ht="22.5" customHeight="1">
      <c r="B56" s="35" t="s">
        <v>249</v>
      </c>
      <c r="C56" s="35" t="s">
        <v>168</v>
      </c>
      <c r="D56" s="54"/>
      <c r="E56" s="35"/>
      <c r="F56" s="35"/>
      <c r="G56" s="35"/>
      <c r="H56" s="35"/>
      <c r="I56" s="35"/>
      <c r="J56" s="59">
        <v>8.5000000000000006E-2</v>
      </c>
      <c r="K56" s="59">
        <v>0.105</v>
      </c>
      <c r="L56" s="59">
        <v>0.105</v>
      </c>
      <c r="M56" s="59">
        <v>0.105</v>
      </c>
      <c r="N56" s="59">
        <v>0.105</v>
      </c>
      <c r="O56" s="59">
        <v>0.1</v>
      </c>
      <c r="P56" s="59">
        <v>9.5000000000000001E-2</v>
      </c>
      <c r="Q56" s="59">
        <v>0.09</v>
      </c>
      <c r="R56" s="59">
        <v>8.5000000000000006E-2</v>
      </c>
      <c r="S56" s="59">
        <v>0.08</v>
      </c>
    </row>
    <row r="57" spans="2:19" ht="22.5" customHeight="1">
      <c r="B57" s="35" t="s">
        <v>250</v>
      </c>
      <c r="C57" s="35" t="s">
        <v>168</v>
      </c>
      <c r="D57" s="54" t="s">
        <v>246</v>
      </c>
      <c r="E57" s="35"/>
      <c r="F57" s="59">
        <f>F208/E208-1</f>
        <v>0.22663461538461549</v>
      </c>
      <c r="G57" s="59">
        <f>G208/F208-1</f>
        <v>0.20623971153092424</v>
      </c>
      <c r="H57" s="59">
        <f>H208/G208-1</f>
        <v>0.14511307512347282</v>
      </c>
      <c r="I57" s="59">
        <f>I208/H208-1</f>
        <v>0.13256909369502301</v>
      </c>
      <c r="J57" s="59">
        <f t="shared" ref="J57:S57" si="2">CHOOSE($E$3,J54,J55,J56)+$E$11</f>
        <v>0.06</v>
      </c>
      <c r="K57" s="59">
        <f t="shared" si="2"/>
        <v>0.08</v>
      </c>
      <c r="L57" s="59">
        <f t="shared" si="2"/>
        <v>0.08</v>
      </c>
      <c r="M57" s="59">
        <f t="shared" si="2"/>
        <v>0.08</v>
      </c>
      <c r="N57" s="59">
        <f t="shared" si="2"/>
        <v>0.08</v>
      </c>
      <c r="O57" s="59">
        <f t="shared" si="2"/>
        <v>7.6999999999999999E-2</v>
      </c>
      <c r="P57" s="59">
        <f t="shared" si="2"/>
        <v>7.3999999999999996E-2</v>
      </c>
      <c r="Q57" s="59">
        <f t="shared" si="2"/>
        <v>7.0999999999999994E-2</v>
      </c>
      <c r="R57" s="59">
        <f t="shared" si="2"/>
        <v>6.8000000000000005E-2</v>
      </c>
      <c r="S57" s="59">
        <f t="shared" si="2"/>
        <v>6.5000000000000002E-2</v>
      </c>
    </row>
    <row r="58" spans="2:19" ht="22.5" customHeight="1">
      <c r="B58" s="35" t="s">
        <v>251</v>
      </c>
      <c r="C58" s="35" t="s">
        <v>168</v>
      </c>
      <c r="D58" s="54"/>
      <c r="E58" s="35"/>
      <c r="F58" s="35"/>
      <c r="G58" s="35"/>
      <c r="H58" s="35"/>
      <c r="I58" s="35"/>
      <c r="J58" s="59">
        <v>0.115</v>
      </c>
      <c r="K58" s="59">
        <v>9.5000000000000001E-2</v>
      </c>
      <c r="L58" s="59">
        <v>8.5000000000000006E-2</v>
      </c>
      <c r="M58" s="59">
        <v>7.4999999999999997E-2</v>
      </c>
      <c r="N58" s="59">
        <v>6.5000000000000002E-2</v>
      </c>
      <c r="O58" s="59">
        <v>6.2E-2</v>
      </c>
      <c r="P58" s="59">
        <v>5.8999999999999997E-2</v>
      </c>
      <c r="Q58" s="59">
        <v>5.6000000000000001E-2</v>
      </c>
      <c r="R58" s="59">
        <v>5.2999999999999999E-2</v>
      </c>
      <c r="S58" s="59">
        <v>0.05</v>
      </c>
    </row>
    <row r="59" spans="2:19" ht="22.5" customHeight="1">
      <c r="B59" s="35" t="s">
        <v>252</v>
      </c>
      <c r="C59" s="35" t="s">
        <v>168</v>
      </c>
      <c r="D59" s="54"/>
      <c r="E59" s="35"/>
      <c r="F59" s="35"/>
      <c r="G59" s="35"/>
      <c r="H59" s="35"/>
      <c r="I59" s="35"/>
      <c r="J59" s="59">
        <v>0.15</v>
      </c>
      <c r="K59" s="59">
        <v>0.13</v>
      </c>
      <c r="L59" s="59">
        <v>0.12</v>
      </c>
      <c r="M59" s="59">
        <v>0.11</v>
      </c>
      <c r="N59" s="59">
        <v>0.1</v>
      </c>
      <c r="O59" s="59">
        <v>9.2999999999999999E-2</v>
      </c>
      <c r="P59" s="59">
        <v>8.5999999999999993E-2</v>
      </c>
      <c r="Q59" s="59">
        <v>7.9000000000000001E-2</v>
      </c>
      <c r="R59" s="59">
        <v>7.1999999999999995E-2</v>
      </c>
      <c r="S59" s="59">
        <v>6.5000000000000002E-2</v>
      </c>
    </row>
    <row r="60" spans="2:19" ht="22.5" customHeight="1">
      <c r="B60" s="35" t="s">
        <v>253</v>
      </c>
      <c r="C60" s="35" t="s">
        <v>168</v>
      </c>
      <c r="D60" s="54"/>
      <c r="E60" s="35"/>
      <c r="F60" s="35"/>
      <c r="G60" s="35"/>
      <c r="H60" s="35"/>
      <c r="I60" s="35"/>
      <c r="J60" s="59">
        <v>0.17499999999999999</v>
      </c>
      <c r="K60" s="59">
        <v>0.155</v>
      </c>
      <c r="L60" s="59">
        <v>0.14499999999999999</v>
      </c>
      <c r="M60" s="59">
        <v>0.13500000000000001</v>
      </c>
      <c r="N60" s="59">
        <v>0.125</v>
      </c>
      <c r="O60" s="59">
        <v>0.11600000000000001</v>
      </c>
      <c r="P60" s="59">
        <v>0.107</v>
      </c>
      <c r="Q60" s="59">
        <v>9.8000000000000004E-2</v>
      </c>
      <c r="R60" s="59">
        <v>8.8999999999999996E-2</v>
      </c>
      <c r="S60" s="59">
        <v>0.08</v>
      </c>
    </row>
    <row r="61" spans="2:19" ht="22.5" customHeight="1">
      <c r="B61" s="35" t="s">
        <v>254</v>
      </c>
      <c r="C61" s="35" t="s">
        <v>168</v>
      </c>
      <c r="D61" s="54" t="s">
        <v>246</v>
      </c>
      <c r="E61" s="35"/>
      <c r="F61" s="59">
        <f>F209/E209-1</f>
        <v>3.202185792349721E-2</v>
      </c>
      <c r="G61" s="59">
        <f>G209/F209-1</f>
        <v>2.4144869215291687E-2</v>
      </c>
      <c r="H61" s="59">
        <f>H209/G209-1</f>
        <v>0.11844690311239781</v>
      </c>
      <c r="I61" s="59">
        <f>I209/H209-1</f>
        <v>0.13673554292053813</v>
      </c>
      <c r="J61" s="59">
        <f t="shared" ref="J61:S61" si="3">CHOOSE($E$3,J58,J59,J60)+$E$11</f>
        <v>0.15</v>
      </c>
      <c r="K61" s="59">
        <f t="shared" si="3"/>
        <v>0.13</v>
      </c>
      <c r="L61" s="59">
        <f t="shared" si="3"/>
        <v>0.12</v>
      </c>
      <c r="M61" s="59">
        <f t="shared" si="3"/>
        <v>0.11</v>
      </c>
      <c r="N61" s="59">
        <f t="shared" si="3"/>
        <v>0.1</v>
      </c>
      <c r="O61" s="59">
        <f t="shared" si="3"/>
        <v>9.2999999999999999E-2</v>
      </c>
      <c r="P61" s="59">
        <f t="shared" si="3"/>
        <v>8.5999999999999993E-2</v>
      </c>
      <c r="Q61" s="59">
        <f t="shared" si="3"/>
        <v>7.9000000000000001E-2</v>
      </c>
      <c r="R61" s="59">
        <f t="shared" si="3"/>
        <v>7.1999999999999995E-2</v>
      </c>
      <c r="S61" s="59">
        <f t="shared" si="3"/>
        <v>6.5000000000000002E-2</v>
      </c>
    </row>
    <row r="62" spans="2:19" ht="22.5" customHeight="1">
      <c r="B62" s="35" t="s">
        <v>255</v>
      </c>
      <c r="C62" s="35" t="s">
        <v>168</v>
      </c>
      <c r="D62" s="54"/>
      <c r="E62" s="35"/>
      <c r="F62" s="35"/>
      <c r="G62" s="35"/>
      <c r="H62" s="35"/>
      <c r="I62" s="35"/>
      <c r="J62" s="59">
        <v>4.4999999999999998E-2</v>
      </c>
      <c r="K62" s="59">
        <v>5.5E-2</v>
      </c>
      <c r="L62" s="59">
        <v>5.5E-2</v>
      </c>
      <c r="M62" s="59">
        <v>5.5E-2</v>
      </c>
      <c r="N62" s="59">
        <v>5.5E-2</v>
      </c>
      <c r="O62" s="59">
        <v>5.3999999999999999E-2</v>
      </c>
      <c r="P62" s="59">
        <v>5.2999999999999999E-2</v>
      </c>
      <c r="Q62" s="59">
        <v>5.1999999999999998E-2</v>
      </c>
      <c r="R62" s="59">
        <v>5.0999999999999997E-2</v>
      </c>
      <c r="S62" s="59">
        <v>0.05</v>
      </c>
    </row>
    <row r="63" spans="2:19" ht="22.5" customHeight="1">
      <c r="B63" s="35" t="s">
        <v>256</v>
      </c>
      <c r="C63" s="35" t="s">
        <v>168</v>
      </c>
      <c r="D63" s="54"/>
      <c r="E63" s="35"/>
      <c r="F63" s="35"/>
      <c r="G63" s="35"/>
      <c r="H63" s="35"/>
      <c r="I63" s="35"/>
      <c r="J63" s="59">
        <v>0.08</v>
      </c>
      <c r="K63" s="59">
        <v>0.09</v>
      </c>
      <c r="L63" s="59">
        <v>0.09</v>
      </c>
      <c r="M63" s="59">
        <v>0.09</v>
      </c>
      <c r="N63" s="59">
        <v>0.09</v>
      </c>
      <c r="O63" s="59">
        <v>8.5000000000000006E-2</v>
      </c>
      <c r="P63" s="59">
        <v>0.08</v>
      </c>
      <c r="Q63" s="59">
        <v>7.4999999999999997E-2</v>
      </c>
      <c r="R63" s="59">
        <v>7.0000000000000007E-2</v>
      </c>
      <c r="S63" s="59">
        <v>6.5000000000000002E-2</v>
      </c>
    </row>
    <row r="64" spans="2:19" ht="22.5" customHeight="1">
      <c r="B64" s="35" t="s">
        <v>257</v>
      </c>
      <c r="C64" s="35" t="s">
        <v>168</v>
      </c>
      <c r="D64" s="54"/>
      <c r="E64" s="35"/>
      <c r="F64" s="35"/>
      <c r="G64" s="35"/>
      <c r="H64" s="35"/>
      <c r="I64" s="35"/>
      <c r="J64" s="59">
        <v>0.105</v>
      </c>
      <c r="K64" s="59">
        <v>0.115</v>
      </c>
      <c r="L64" s="59">
        <v>0.115</v>
      </c>
      <c r="M64" s="59">
        <v>0.115</v>
      </c>
      <c r="N64" s="59">
        <v>0.115</v>
      </c>
      <c r="O64" s="59">
        <v>0.108</v>
      </c>
      <c r="P64" s="59">
        <v>0.10100000000000001</v>
      </c>
      <c r="Q64" s="59">
        <v>9.4E-2</v>
      </c>
      <c r="R64" s="59">
        <v>8.6999999999999994E-2</v>
      </c>
      <c r="S64" s="59">
        <v>0.08</v>
      </c>
    </row>
    <row r="65" spans="2:19" ht="22.5" customHeight="1">
      <c r="B65" s="35" t="s">
        <v>258</v>
      </c>
      <c r="C65" s="35" t="s">
        <v>168</v>
      </c>
      <c r="D65" s="54" t="s">
        <v>246</v>
      </c>
      <c r="E65" s="35"/>
      <c r="F65" s="59">
        <f>F210/E210-1</f>
        <v>0.32907801418439719</v>
      </c>
      <c r="G65" s="59">
        <f>G210/F210-1</f>
        <v>0.22262540021344712</v>
      </c>
      <c r="H65" s="59">
        <f>H210/G210-1</f>
        <v>0.21098114525139655</v>
      </c>
      <c r="I65" s="59">
        <f>I210/H210-1</f>
        <v>-2.8472572623080561E-3</v>
      </c>
      <c r="J65" s="59">
        <f t="shared" ref="J65:S65" si="4">CHOOSE($E$3,J62,J63,J64)+$E$11</f>
        <v>0.08</v>
      </c>
      <c r="K65" s="59">
        <f t="shared" si="4"/>
        <v>0.09</v>
      </c>
      <c r="L65" s="59">
        <f t="shared" si="4"/>
        <v>0.09</v>
      </c>
      <c r="M65" s="59">
        <f t="shared" si="4"/>
        <v>0.09</v>
      </c>
      <c r="N65" s="59">
        <f t="shared" si="4"/>
        <v>0.09</v>
      </c>
      <c r="O65" s="59">
        <f t="shared" si="4"/>
        <v>8.5000000000000006E-2</v>
      </c>
      <c r="P65" s="59">
        <f t="shared" si="4"/>
        <v>0.08</v>
      </c>
      <c r="Q65" s="59">
        <f t="shared" si="4"/>
        <v>7.4999999999999997E-2</v>
      </c>
      <c r="R65" s="59">
        <f t="shared" si="4"/>
        <v>7.0000000000000007E-2</v>
      </c>
      <c r="S65" s="59">
        <f t="shared" si="4"/>
        <v>6.5000000000000002E-2</v>
      </c>
    </row>
    <row r="66" spans="2:19" ht="22.5" customHeight="1">
      <c r="B66" s="35" t="s">
        <v>259</v>
      </c>
      <c r="C66" s="35" t="s">
        <v>168</v>
      </c>
      <c r="D66" s="54"/>
      <c r="E66" s="35"/>
      <c r="F66" s="35"/>
      <c r="G66" s="35"/>
      <c r="H66" s="35"/>
      <c r="I66" s="35"/>
      <c r="J66" s="59">
        <v>0.125</v>
      </c>
      <c r="K66" s="59">
        <v>0.105</v>
      </c>
      <c r="L66" s="59">
        <v>8.5000000000000006E-2</v>
      </c>
      <c r="M66" s="59">
        <v>7.4999999999999997E-2</v>
      </c>
      <c r="N66" s="59">
        <v>6.5000000000000002E-2</v>
      </c>
      <c r="O66" s="59">
        <v>6.2E-2</v>
      </c>
      <c r="P66" s="59">
        <v>5.8999999999999997E-2</v>
      </c>
      <c r="Q66" s="59">
        <v>5.6000000000000001E-2</v>
      </c>
      <c r="R66" s="59">
        <v>5.2999999999999999E-2</v>
      </c>
      <c r="S66" s="59">
        <v>0.05</v>
      </c>
    </row>
    <row r="67" spans="2:19" ht="22.5" customHeight="1">
      <c r="B67" s="35" t="s">
        <v>260</v>
      </c>
      <c r="C67" s="35" t="s">
        <v>168</v>
      </c>
      <c r="D67" s="54"/>
      <c r="E67" s="35"/>
      <c r="F67" s="35"/>
      <c r="G67" s="35"/>
      <c r="H67" s="35"/>
      <c r="I67" s="35"/>
      <c r="J67" s="59">
        <v>0.16</v>
      </c>
      <c r="K67" s="59">
        <v>0.14000000000000001</v>
      </c>
      <c r="L67" s="59">
        <v>0.12</v>
      </c>
      <c r="M67" s="59">
        <v>0.11</v>
      </c>
      <c r="N67" s="59">
        <v>0.1</v>
      </c>
      <c r="O67" s="59">
        <v>9.2999999999999999E-2</v>
      </c>
      <c r="P67" s="59">
        <v>8.5999999999999993E-2</v>
      </c>
      <c r="Q67" s="59">
        <v>7.9000000000000001E-2</v>
      </c>
      <c r="R67" s="59">
        <v>7.1999999999999995E-2</v>
      </c>
      <c r="S67" s="59">
        <v>6.5000000000000002E-2</v>
      </c>
    </row>
    <row r="68" spans="2:19" ht="22.5" customHeight="1">
      <c r="B68" s="35" t="s">
        <v>261</v>
      </c>
      <c r="C68" s="35" t="s">
        <v>168</v>
      </c>
      <c r="D68" s="54"/>
      <c r="E68" s="35"/>
      <c r="F68" s="35"/>
      <c r="G68" s="35"/>
      <c r="H68" s="35"/>
      <c r="I68" s="35"/>
      <c r="J68" s="59">
        <v>0.185</v>
      </c>
      <c r="K68" s="59">
        <v>0.16500000000000001</v>
      </c>
      <c r="L68" s="59">
        <v>0.14499999999999999</v>
      </c>
      <c r="M68" s="59">
        <v>0.13500000000000001</v>
      </c>
      <c r="N68" s="59">
        <v>0.125</v>
      </c>
      <c r="O68" s="59">
        <v>0.11600000000000001</v>
      </c>
      <c r="P68" s="59">
        <v>0.107</v>
      </c>
      <c r="Q68" s="59">
        <v>9.8000000000000004E-2</v>
      </c>
      <c r="R68" s="59">
        <v>8.8999999999999996E-2</v>
      </c>
      <c r="S68" s="59">
        <v>0.08</v>
      </c>
    </row>
    <row r="69" spans="2:19" ht="22.5" customHeight="1">
      <c r="B69" s="35" t="s">
        <v>262</v>
      </c>
      <c r="C69" s="35" t="s">
        <v>168</v>
      </c>
      <c r="D69" s="54" t="s">
        <v>246</v>
      </c>
      <c r="E69" s="35"/>
      <c r="F69" s="59">
        <f>F211/E211-1</f>
        <v>0.25989217666953146</v>
      </c>
      <c r="G69" s="59">
        <f>G211/F211-1</f>
        <v>0.15656256921373202</v>
      </c>
      <c r="H69" s="59">
        <f>H211/G211-1</f>
        <v>0.16343539108520311</v>
      </c>
      <c r="I69" s="59">
        <f>I211/H211-1</f>
        <v>0.15737771837532843</v>
      </c>
      <c r="J69" s="59">
        <f t="shared" ref="J69:S69" si="5">CHOOSE($E$3,J66,J67,J68)+$E$11</f>
        <v>0.16</v>
      </c>
      <c r="K69" s="59">
        <f t="shared" si="5"/>
        <v>0.14000000000000001</v>
      </c>
      <c r="L69" s="59">
        <f t="shared" si="5"/>
        <v>0.12</v>
      </c>
      <c r="M69" s="59">
        <f t="shared" si="5"/>
        <v>0.11</v>
      </c>
      <c r="N69" s="59">
        <f t="shared" si="5"/>
        <v>0.1</v>
      </c>
      <c r="O69" s="59">
        <f t="shared" si="5"/>
        <v>9.2999999999999999E-2</v>
      </c>
      <c r="P69" s="59">
        <f t="shared" si="5"/>
        <v>8.5999999999999993E-2</v>
      </c>
      <c r="Q69" s="59">
        <f t="shared" si="5"/>
        <v>7.9000000000000001E-2</v>
      </c>
      <c r="R69" s="59">
        <f t="shared" si="5"/>
        <v>7.1999999999999995E-2</v>
      </c>
      <c r="S69" s="59">
        <f t="shared" si="5"/>
        <v>6.5000000000000002E-2</v>
      </c>
    </row>
    <row r="70" spans="2:19" ht="22.5" customHeight="1">
      <c r="B70" s="35" t="s">
        <v>263</v>
      </c>
      <c r="C70" s="35" t="s">
        <v>168</v>
      </c>
      <c r="D70" s="54"/>
      <c r="E70" s="35"/>
      <c r="F70" s="35"/>
      <c r="G70" s="35"/>
      <c r="H70" s="35"/>
      <c r="I70" s="35"/>
      <c r="J70" s="59">
        <v>0.59499999999999997</v>
      </c>
      <c r="K70" s="59">
        <v>0.58499999999999996</v>
      </c>
      <c r="L70" s="59">
        <v>0.57999999999999996</v>
      </c>
      <c r="M70" s="59">
        <v>0.57999999999999996</v>
      </c>
      <c r="N70" s="59">
        <v>0.57999999999999996</v>
      </c>
      <c r="O70" s="59">
        <v>0.57999999999999996</v>
      </c>
      <c r="P70" s="59">
        <v>0.57999999999999996</v>
      </c>
      <c r="Q70" s="59">
        <v>0.57999999999999996</v>
      </c>
      <c r="R70" s="59">
        <v>0.57999999999999996</v>
      </c>
      <c r="S70" s="59">
        <v>0.57999999999999996</v>
      </c>
    </row>
    <row r="71" spans="2:19" ht="22.5" customHeight="1">
      <c r="B71" s="35" t="s">
        <v>264</v>
      </c>
      <c r="C71" s="35" t="s">
        <v>168</v>
      </c>
      <c r="D71" s="54"/>
      <c r="E71" s="35"/>
      <c r="F71" s="35"/>
      <c r="G71" s="35"/>
      <c r="H71" s="35"/>
      <c r="I71" s="35"/>
      <c r="J71" s="59">
        <v>0.61</v>
      </c>
      <c r="K71" s="59">
        <v>0.61</v>
      </c>
      <c r="L71" s="59">
        <v>0.61</v>
      </c>
      <c r="M71" s="59">
        <v>0.61</v>
      </c>
      <c r="N71" s="59">
        <v>0.61</v>
      </c>
      <c r="O71" s="59">
        <v>0.61</v>
      </c>
      <c r="P71" s="59">
        <v>0.61</v>
      </c>
      <c r="Q71" s="59">
        <v>0.61</v>
      </c>
      <c r="R71" s="59">
        <v>0.61</v>
      </c>
      <c r="S71" s="59">
        <v>0.61</v>
      </c>
    </row>
    <row r="72" spans="2:19" ht="22.5" customHeight="1">
      <c r="B72" s="35" t="s">
        <v>265</v>
      </c>
      <c r="C72" s="35" t="s">
        <v>168</v>
      </c>
      <c r="D72" s="54"/>
      <c r="E72" s="35"/>
      <c r="F72" s="35"/>
      <c r="G72" s="35"/>
      <c r="H72" s="35"/>
      <c r="I72" s="35"/>
      <c r="J72" s="59">
        <v>0.62</v>
      </c>
      <c r="K72" s="59">
        <v>0.625</v>
      </c>
      <c r="L72" s="59">
        <v>0.63</v>
      </c>
      <c r="M72" s="59">
        <v>0.63</v>
      </c>
      <c r="N72" s="59">
        <v>0.63</v>
      </c>
      <c r="O72" s="59">
        <v>0.63</v>
      </c>
      <c r="P72" s="59">
        <v>0.63</v>
      </c>
      <c r="Q72" s="59">
        <v>0.63</v>
      </c>
      <c r="R72" s="59">
        <v>0.63</v>
      </c>
      <c r="S72" s="59">
        <v>0.63</v>
      </c>
    </row>
    <row r="73" spans="2:19" ht="18" customHeight="1">
      <c r="B73" s="73" t="s">
        <v>266</v>
      </c>
      <c r="C73" s="56" t="s">
        <v>168</v>
      </c>
      <c r="D73" s="57"/>
      <c r="E73" s="77">
        <f>(E219+E220)/E222</f>
        <v>0.57908272610372913</v>
      </c>
      <c r="F73" s="77">
        <f>(F219+F220)/F222</f>
        <v>0.61571908784623564</v>
      </c>
      <c r="G73" s="77">
        <f>(G219+G220)/G222</f>
        <v>0.60565739086035231</v>
      </c>
      <c r="H73" s="77">
        <f>(H219+H220)/H222</f>
        <v>0.60121421634794503</v>
      </c>
      <c r="I73" s="77">
        <f>(I219+I220)/I222</f>
        <v>0.61619652604937336</v>
      </c>
      <c r="J73" s="78">
        <f t="shared" ref="J73:S73" si="6">CHOOSE($E$3,J70,J71,J72)</f>
        <v>0.61</v>
      </c>
      <c r="K73" s="78">
        <f t="shared" si="6"/>
        <v>0.61</v>
      </c>
      <c r="L73" s="78">
        <f t="shared" si="6"/>
        <v>0.61</v>
      </c>
      <c r="M73" s="78">
        <f t="shared" si="6"/>
        <v>0.61</v>
      </c>
      <c r="N73" s="78">
        <f t="shared" si="6"/>
        <v>0.61</v>
      </c>
      <c r="O73" s="78">
        <f t="shared" si="6"/>
        <v>0.61</v>
      </c>
      <c r="P73" s="78">
        <f t="shared" si="6"/>
        <v>0.61</v>
      </c>
      <c r="Q73" s="78">
        <f t="shared" si="6"/>
        <v>0.61</v>
      </c>
      <c r="R73" s="78">
        <f t="shared" si="6"/>
        <v>0.61</v>
      </c>
      <c r="S73" s="78">
        <f t="shared" si="6"/>
        <v>0.61</v>
      </c>
    </row>
    <row r="74" spans="2:19" ht="22.5" customHeight="1">
      <c r="B74" s="35" t="s">
        <v>267</v>
      </c>
      <c r="C74" s="35" t="s">
        <v>168</v>
      </c>
      <c r="D74" s="54" t="s">
        <v>268</v>
      </c>
      <c r="E74" s="59">
        <f>E212/E222</f>
        <v>0.73420917273896269</v>
      </c>
      <c r="F74" s="59">
        <f>F212/F222</f>
        <v>0.79430649620828253</v>
      </c>
      <c r="G74" s="59">
        <f>G212/G222</f>
        <v>0.81802740192324053</v>
      </c>
      <c r="H74" s="59">
        <f>H212/H222</f>
        <v>0.85044311567426267</v>
      </c>
      <c r="I74" s="59">
        <f>I212/I222</f>
        <v>0.83798480376568052</v>
      </c>
      <c r="J74" s="59">
        <v>0.85</v>
      </c>
      <c r="K74" s="59">
        <v>0.86</v>
      </c>
      <c r="L74" s="59">
        <v>0.87</v>
      </c>
      <c r="M74" s="59">
        <v>0.87</v>
      </c>
      <c r="N74" s="59">
        <v>0.87</v>
      </c>
      <c r="O74" s="59">
        <v>0.87</v>
      </c>
      <c r="P74" s="59">
        <v>0.87</v>
      </c>
      <c r="Q74" s="59">
        <v>0.87</v>
      </c>
      <c r="R74" s="59">
        <v>0.87</v>
      </c>
      <c r="S74" s="59">
        <v>0.87</v>
      </c>
    </row>
    <row r="75" spans="2:19" ht="18" customHeight="1">
      <c r="B75" s="56"/>
      <c r="C75" s="56"/>
      <c r="D75" s="57"/>
      <c r="E75" s="70"/>
      <c r="F75" s="70"/>
      <c r="G75" s="70"/>
      <c r="H75" s="70"/>
      <c r="I75" s="70"/>
      <c r="J75" s="79"/>
      <c r="K75" s="79"/>
      <c r="L75" s="79"/>
      <c r="M75" s="79"/>
      <c r="N75" s="79"/>
      <c r="O75" s="79"/>
      <c r="P75" s="79"/>
      <c r="Q75" s="79"/>
      <c r="R75" s="79"/>
      <c r="S75" s="79"/>
    </row>
    <row r="76" spans="2:19" ht="27" customHeight="1">
      <c r="B76" s="24" t="s">
        <v>269</v>
      </c>
      <c r="C76" s="24"/>
      <c r="D76" s="24"/>
      <c r="E76" s="44" t="s">
        <v>223</v>
      </c>
      <c r="F76" s="44" t="s">
        <v>224</v>
      </c>
      <c r="G76" s="44" t="s">
        <v>225</v>
      </c>
      <c r="H76" s="44" t="s">
        <v>226</v>
      </c>
      <c r="I76" s="44" t="s">
        <v>93</v>
      </c>
      <c r="J76" s="44" t="s">
        <v>94</v>
      </c>
      <c r="K76" s="44" t="s">
        <v>227</v>
      </c>
      <c r="L76" s="44" t="s">
        <v>95</v>
      </c>
      <c r="M76" s="44" t="s">
        <v>228</v>
      </c>
      <c r="N76" s="44" t="s">
        <v>96</v>
      </c>
      <c r="O76" s="44" t="s">
        <v>229</v>
      </c>
      <c r="P76" s="44" t="s">
        <v>230</v>
      </c>
      <c r="Q76" s="44" t="s">
        <v>231</v>
      </c>
      <c r="R76" s="44" t="s">
        <v>232</v>
      </c>
      <c r="S76" s="44" t="s">
        <v>97</v>
      </c>
    </row>
    <row r="77" spans="2:19" ht="22.5" customHeight="1">
      <c r="B77" s="35" t="s">
        <v>270</v>
      </c>
      <c r="C77" s="35" t="s">
        <v>172</v>
      </c>
      <c r="D77" s="54"/>
      <c r="E77" s="35"/>
      <c r="F77" s="35"/>
      <c r="G77" s="35"/>
      <c r="H77" s="35"/>
      <c r="I77" s="35"/>
      <c r="J77" s="71">
        <v>-9.4999999999999998E-3</v>
      </c>
      <c r="K77" s="71">
        <v>0</v>
      </c>
      <c r="L77" s="71">
        <v>0</v>
      </c>
      <c r="M77" s="71">
        <v>0</v>
      </c>
      <c r="N77" s="71">
        <v>0</v>
      </c>
      <c r="O77" s="71">
        <v>0</v>
      </c>
      <c r="P77" s="71">
        <v>0</v>
      </c>
      <c r="Q77" s="71">
        <v>0</v>
      </c>
      <c r="R77" s="71">
        <v>0</v>
      </c>
      <c r="S77" s="71">
        <v>0</v>
      </c>
    </row>
    <row r="78" spans="2:19" ht="22.5" customHeight="1">
      <c r="B78" s="35" t="s">
        <v>271</v>
      </c>
      <c r="C78" s="35" t="s">
        <v>172</v>
      </c>
      <c r="D78" s="54"/>
      <c r="E78" s="35"/>
      <c r="F78" s="35"/>
      <c r="G78" s="35"/>
      <c r="H78" s="35"/>
      <c r="I78" s="35"/>
      <c r="J78" s="71">
        <v>-8.9999999999999993E-3</v>
      </c>
      <c r="K78" s="71">
        <v>0</v>
      </c>
      <c r="L78" s="71">
        <v>0</v>
      </c>
      <c r="M78" s="71">
        <v>0</v>
      </c>
      <c r="N78" s="71">
        <v>0</v>
      </c>
      <c r="O78" s="71">
        <v>0</v>
      </c>
      <c r="P78" s="71">
        <v>0</v>
      </c>
      <c r="Q78" s="71">
        <v>0</v>
      </c>
      <c r="R78" s="71">
        <v>0</v>
      </c>
      <c r="S78" s="71">
        <v>0</v>
      </c>
    </row>
    <row r="79" spans="2:19" ht="22.5" customHeight="1">
      <c r="B79" s="35" t="s">
        <v>272</v>
      </c>
      <c r="C79" s="35" t="s">
        <v>172</v>
      </c>
      <c r="D79" s="54"/>
      <c r="E79" s="35"/>
      <c r="F79" s="35"/>
      <c r="G79" s="35"/>
      <c r="H79" s="35"/>
      <c r="I79" s="35"/>
      <c r="J79" s="71">
        <v>-8.5000000000000006E-3</v>
      </c>
      <c r="K79" s="71">
        <v>0</v>
      </c>
      <c r="L79" s="71">
        <v>5.0000000000000001E-4</v>
      </c>
      <c r="M79" s="71">
        <v>5.0000000000000001E-4</v>
      </c>
      <c r="N79" s="71">
        <v>5.0000000000000001E-4</v>
      </c>
      <c r="O79" s="71">
        <v>0</v>
      </c>
      <c r="P79" s="71">
        <v>0</v>
      </c>
      <c r="Q79" s="71">
        <v>0</v>
      </c>
      <c r="R79" s="71">
        <v>0</v>
      </c>
      <c r="S79" s="71">
        <v>0</v>
      </c>
    </row>
    <row r="80" spans="2:19" ht="18" customHeight="1">
      <c r="B80" s="73" t="s">
        <v>273</v>
      </c>
      <c r="C80" s="56" t="s">
        <v>172</v>
      </c>
      <c r="D80" s="57" t="s">
        <v>274</v>
      </c>
      <c r="F80" s="80">
        <f>F235-E235</f>
        <v>0.10355210490903574</v>
      </c>
      <c r="G80" s="80">
        <f>G235-F235</f>
        <v>-4.2184010565291669E-3</v>
      </c>
      <c r="H80" s="80">
        <f>H235-G235</f>
        <v>-1.8072994978167722E-3</v>
      </c>
      <c r="I80" s="80">
        <f>I235-H235</f>
        <v>-2.8861632798980186E-3</v>
      </c>
      <c r="J80" s="75">
        <f t="shared" ref="J80:S80" si="7">CHOOSE($E$3,J77,J78,J79)+$E$8</f>
        <v>-8.9999999999999993E-3</v>
      </c>
      <c r="K80" s="75">
        <f t="shared" si="7"/>
        <v>0</v>
      </c>
      <c r="L80" s="75">
        <f t="shared" si="7"/>
        <v>0</v>
      </c>
      <c r="M80" s="75">
        <f t="shared" si="7"/>
        <v>0</v>
      </c>
      <c r="N80" s="75">
        <f t="shared" si="7"/>
        <v>0</v>
      </c>
      <c r="O80" s="75">
        <f t="shared" si="7"/>
        <v>0</v>
      </c>
      <c r="P80" s="75">
        <f t="shared" si="7"/>
        <v>0</v>
      </c>
      <c r="Q80" s="75">
        <f t="shared" si="7"/>
        <v>0</v>
      </c>
      <c r="R80" s="75">
        <f t="shared" si="7"/>
        <v>0</v>
      </c>
      <c r="S80" s="75">
        <f t="shared" si="7"/>
        <v>0</v>
      </c>
    </row>
    <row r="81" spans="2:19" ht="22.5" customHeight="1">
      <c r="B81" s="35" t="s">
        <v>275</v>
      </c>
      <c r="C81" s="35" t="s">
        <v>172</v>
      </c>
      <c r="D81" s="54"/>
      <c r="E81" s="35"/>
      <c r="F81" s="35"/>
      <c r="G81" s="35"/>
      <c r="H81" s="35"/>
      <c r="I81" s="35"/>
      <c r="J81" s="71">
        <v>-8.5000000000000006E-3</v>
      </c>
      <c r="K81" s="71">
        <v>0</v>
      </c>
      <c r="L81" s="71">
        <v>0</v>
      </c>
      <c r="M81" s="71">
        <v>0</v>
      </c>
      <c r="N81" s="71">
        <v>0</v>
      </c>
      <c r="O81" s="71">
        <v>0</v>
      </c>
      <c r="P81" s="71">
        <v>0</v>
      </c>
      <c r="Q81" s="71">
        <v>0</v>
      </c>
      <c r="R81" s="71">
        <v>0</v>
      </c>
      <c r="S81" s="71">
        <v>0</v>
      </c>
    </row>
    <row r="82" spans="2:19" ht="22.5" customHeight="1">
      <c r="B82" s="35" t="s">
        <v>276</v>
      </c>
      <c r="C82" s="35" t="s">
        <v>172</v>
      </c>
      <c r="D82" s="54"/>
      <c r="E82" s="35"/>
      <c r="F82" s="35"/>
      <c r="G82" s="35"/>
      <c r="H82" s="35"/>
      <c r="I82" s="35"/>
      <c r="J82" s="71">
        <v>-0.01</v>
      </c>
      <c r="K82" s="71">
        <v>0</v>
      </c>
      <c r="L82" s="71">
        <v>0</v>
      </c>
      <c r="M82" s="71">
        <v>0</v>
      </c>
      <c r="N82" s="71">
        <v>0</v>
      </c>
      <c r="O82" s="71">
        <v>0</v>
      </c>
      <c r="P82" s="71">
        <v>0</v>
      </c>
      <c r="Q82" s="71">
        <v>0</v>
      </c>
      <c r="R82" s="71">
        <v>0</v>
      </c>
      <c r="S82" s="71">
        <v>0</v>
      </c>
    </row>
    <row r="83" spans="2:19" ht="22.5" customHeight="1">
      <c r="B83" s="35" t="s">
        <v>277</v>
      </c>
      <c r="C83" s="35" t="s">
        <v>172</v>
      </c>
      <c r="D83" s="54"/>
      <c r="E83" s="35"/>
      <c r="F83" s="35"/>
      <c r="G83" s="35"/>
      <c r="H83" s="35"/>
      <c r="I83" s="35"/>
      <c r="J83" s="71">
        <v>-1.15E-2</v>
      </c>
      <c r="K83" s="71">
        <v>-5.0000000000000001E-4</v>
      </c>
      <c r="L83" s="71">
        <v>0</v>
      </c>
      <c r="M83" s="71">
        <v>0</v>
      </c>
      <c r="N83" s="71">
        <v>0</v>
      </c>
      <c r="O83" s="71">
        <v>0</v>
      </c>
      <c r="P83" s="71">
        <v>0</v>
      </c>
      <c r="Q83" s="71">
        <v>0</v>
      </c>
      <c r="R83" s="71">
        <v>0</v>
      </c>
      <c r="S83" s="71">
        <v>0</v>
      </c>
    </row>
    <row r="84" spans="2:19" ht="18" customHeight="1">
      <c r="B84" s="73" t="s">
        <v>278</v>
      </c>
      <c r="C84" s="56" t="s">
        <v>172</v>
      </c>
      <c r="D84" s="57" t="s">
        <v>279</v>
      </c>
      <c r="F84" s="80">
        <f>F226-E226</f>
        <v>-5.9999999999999984E-3</v>
      </c>
      <c r="G84" s="80">
        <f>G226-F226</f>
        <v>1.2999999999999998E-2</v>
      </c>
      <c r="H84" s="80">
        <f>H226-G226</f>
        <v>3.9999999999999966E-3</v>
      </c>
      <c r="I84" s="80">
        <f>I226-H226</f>
        <v>-9.9999999999999395E-4</v>
      </c>
      <c r="J84" s="75">
        <f t="shared" ref="J84:S84" si="8">CHOOSE($E$3,J81,J82,J83)+$E$15</f>
        <v>-0.01</v>
      </c>
      <c r="K84" s="75">
        <f t="shared" si="8"/>
        <v>0</v>
      </c>
      <c r="L84" s="75">
        <f t="shared" si="8"/>
        <v>0</v>
      </c>
      <c r="M84" s="75">
        <f t="shared" si="8"/>
        <v>0</v>
      </c>
      <c r="N84" s="75">
        <f t="shared" si="8"/>
        <v>0</v>
      </c>
      <c r="O84" s="75">
        <f t="shared" si="8"/>
        <v>0</v>
      </c>
      <c r="P84" s="75">
        <f t="shared" si="8"/>
        <v>0</v>
      </c>
      <c r="Q84" s="75">
        <f t="shared" si="8"/>
        <v>0</v>
      </c>
      <c r="R84" s="75">
        <f t="shared" si="8"/>
        <v>0</v>
      </c>
      <c r="S84" s="75">
        <f t="shared" si="8"/>
        <v>0</v>
      </c>
    </row>
    <row r="85" spans="2:19" ht="18" customHeight="1">
      <c r="B85" s="56" t="s">
        <v>280</v>
      </c>
      <c r="C85" s="56" t="s">
        <v>172</v>
      </c>
      <c r="D85" s="57"/>
      <c r="J85" s="81">
        <v>-3.0000000000000001E-3</v>
      </c>
      <c r="K85" s="81">
        <v>0</v>
      </c>
      <c r="L85" s="81">
        <v>0</v>
      </c>
      <c r="M85" s="81">
        <v>0</v>
      </c>
      <c r="N85" s="81">
        <v>0</v>
      </c>
      <c r="O85" s="81">
        <v>0</v>
      </c>
      <c r="P85" s="81">
        <v>0</v>
      </c>
      <c r="Q85" s="81">
        <v>0</v>
      </c>
      <c r="R85" s="81">
        <v>0</v>
      </c>
      <c r="S85" s="81">
        <v>0</v>
      </c>
    </row>
    <row r="86" spans="2:19" ht="18" customHeight="1">
      <c r="B86" s="56"/>
      <c r="C86" s="56"/>
      <c r="D86" s="57"/>
      <c r="J86" s="81"/>
      <c r="K86" s="81"/>
      <c r="L86" s="81"/>
      <c r="M86" s="81"/>
      <c r="N86" s="81"/>
      <c r="O86" s="81"/>
      <c r="P86" s="81"/>
      <c r="Q86" s="81"/>
      <c r="R86" s="81"/>
      <c r="S86" s="81"/>
    </row>
    <row r="87" spans="2:19" ht="27" customHeight="1">
      <c r="B87" s="24" t="s">
        <v>281</v>
      </c>
      <c r="C87" s="24"/>
      <c r="D87" s="24"/>
      <c r="E87" s="44" t="s">
        <v>223</v>
      </c>
      <c r="F87" s="44" t="s">
        <v>224</v>
      </c>
      <c r="G87" s="44" t="s">
        <v>225</v>
      </c>
      <c r="H87" s="44" t="s">
        <v>226</v>
      </c>
      <c r="I87" s="44" t="s">
        <v>93</v>
      </c>
      <c r="J87" s="44" t="s">
        <v>94</v>
      </c>
      <c r="K87" s="44" t="s">
        <v>227</v>
      </c>
      <c r="L87" s="44" t="s">
        <v>95</v>
      </c>
      <c r="M87" s="44" t="s">
        <v>228</v>
      </c>
      <c r="N87" s="44" t="s">
        <v>96</v>
      </c>
      <c r="O87" s="44" t="s">
        <v>229</v>
      </c>
      <c r="P87" s="44" t="s">
        <v>230</v>
      </c>
      <c r="Q87" s="44" t="s">
        <v>231</v>
      </c>
      <c r="R87" s="44" t="s">
        <v>232</v>
      </c>
      <c r="S87" s="44" t="s">
        <v>97</v>
      </c>
    </row>
    <row r="88" spans="2:19" ht="22.5" customHeight="1">
      <c r="B88" s="35" t="s">
        <v>282</v>
      </c>
      <c r="C88" s="35" t="s">
        <v>168</v>
      </c>
      <c r="D88" s="54"/>
      <c r="E88" s="35"/>
      <c r="F88" s="35"/>
      <c r="G88" s="35"/>
      <c r="H88" s="35"/>
      <c r="I88" s="35"/>
      <c r="J88" s="59">
        <v>0.2</v>
      </c>
      <c r="K88" s="59">
        <v>0.08</v>
      </c>
      <c r="L88" s="59">
        <v>0.06</v>
      </c>
      <c r="M88" s="59">
        <v>0.06</v>
      </c>
      <c r="N88" s="59">
        <v>0.06</v>
      </c>
      <c r="O88" s="59">
        <v>5.8000000000000003E-2</v>
      </c>
      <c r="P88" s="59">
        <v>5.6000000000000001E-2</v>
      </c>
      <c r="Q88" s="59">
        <v>5.3999999999999999E-2</v>
      </c>
      <c r="R88" s="59">
        <v>5.1999999999999998E-2</v>
      </c>
      <c r="S88" s="59">
        <v>0.05</v>
      </c>
    </row>
    <row r="89" spans="2:19" ht="22.5" customHeight="1">
      <c r="B89" s="35" t="s">
        <v>283</v>
      </c>
      <c r="C89" s="35" t="s">
        <v>168</v>
      </c>
      <c r="D89" s="54"/>
      <c r="E89" s="35"/>
      <c r="F89" s="35"/>
      <c r="G89" s="35"/>
      <c r="H89" s="35"/>
      <c r="I89" s="35"/>
      <c r="J89" s="59">
        <v>0.25</v>
      </c>
      <c r="K89" s="59">
        <v>0.15</v>
      </c>
      <c r="L89" s="59">
        <v>0.12</v>
      </c>
      <c r="M89" s="59">
        <v>0.1</v>
      </c>
      <c r="N89" s="59">
        <v>0.1</v>
      </c>
      <c r="O89" s="59">
        <v>9.4E-2</v>
      </c>
      <c r="P89" s="59">
        <v>8.7999999999999995E-2</v>
      </c>
      <c r="Q89" s="59">
        <v>8.2000000000000003E-2</v>
      </c>
      <c r="R89" s="59">
        <v>7.5999999999999998E-2</v>
      </c>
      <c r="S89" s="59">
        <v>7.0000000000000007E-2</v>
      </c>
    </row>
    <row r="90" spans="2:19" ht="22.5" customHeight="1">
      <c r="B90" s="35" t="s">
        <v>284</v>
      </c>
      <c r="C90" s="35" t="s">
        <v>168</v>
      </c>
      <c r="D90" s="54"/>
      <c r="E90" s="35"/>
      <c r="F90" s="35"/>
      <c r="G90" s="35"/>
      <c r="H90" s="35"/>
      <c r="I90" s="35"/>
      <c r="J90" s="59">
        <v>0.32</v>
      </c>
      <c r="K90" s="59">
        <v>0.2</v>
      </c>
      <c r="L90" s="59">
        <v>0.15</v>
      </c>
      <c r="M90" s="59">
        <v>0.12</v>
      </c>
      <c r="N90" s="59">
        <v>0.12</v>
      </c>
      <c r="O90" s="59">
        <v>0.114</v>
      </c>
      <c r="P90" s="59">
        <v>0.108</v>
      </c>
      <c r="Q90" s="59">
        <v>0.10199999999999999</v>
      </c>
      <c r="R90" s="59">
        <v>9.6000000000000002E-2</v>
      </c>
      <c r="S90" s="59">
        <v>0.09</v>
      </c>
    </row>
    <row r="91" spans="2:19" ht="18" customHeight="1">
      <c r="B91" s="73" t="s">
        <v>285</v>
      </c>
      <c r="C91" s="56" t="s">
        <v>168</v>
      </c>
      <c r="D91" s="57" t="s">
        <v>286</v>
      </c>
      <c r="F91" s="77">
        <f>F144/E144-1</f>
        <v>0.22868816159105188</v>
      </c>
      <c r="G91" s="77">
        <f>G144/F144-1</f>
        <v>0.13600105481840474</v>
      </c>
      <c r="H91" s="77">
        <f>H144/G144-1</f>
        <v>0.32156592537554118</v>
      </c>
      <c r="I91" s="77">
        <f>I144/H144-1</f>
        <v>0.24837977431391334</v>
      </c>
      <c r="J91" s="78">
        <f t="shared" ref="J91:S91" si="9">CHOOSE($E$3,J88,J89,J90)+$E$12</f>
        <v>0.25</v>
      </c>
      <c r="K91" s="78">
        <f t="shared" si="9"/>
        <v>0.15</v>
      </c>
      <c r="L91" s="78">
        <f t="shared" si="9"/>
        <v>0.12</v>
      </c>
      <c r="M91" s="78">
        <f t="shared" si="9"/>
        <v>0.1</v>
      </c>
      <c r="N91" s="78">
        <f t="shared" si="9"/>
        <v>0.1</v>
      </c>
      <c r="O91" s="78">
        <f t="shared" si="9"/>
        <v>9.4E-2</v>
      </c>
      <c r="P91" s="78">
        <f t="shared" si="9"/>
        <v>8.7999999999999995E-2</v>
      </c>
      <c r="Q91" s="78">
        <f t="shared" si="9"/>
        <v>8.2000000000000003E-2</v>
      </c>
      <c r="R91" s="78">
        <f t="shared" si="9"/>
        <v>7.5999999999999998E-2</v>
      </c>
      <c r="S91" s="78">
        <f t="shared" si="9"/>
        <v>7.0000000000000007E-2</v>
      </c>
    </row>
    <row r="92" spans="2:19" ht="22.5" customHeight="1">
      <c r="B92" s="35" t="s">
        <v>287</v>
      </c>
      <c r="C92" s="35" t="s">
        <v>168</v>
      </c>
      <c r="D92" s="54"/>
      <c r="E92" s="35"/>
      <c r="F92" s="35"/>
      <c r="G92" s="35"/>
      <c r="H92" s="35"/>
      <c r="I92" s="35"/>
      <c r="J92" s="59">
        <v>0.55500000000000005</v>
      </c>
      <c r="K92" s="59">
        <v>0.54</v>
      </c>
      <c r="L92" s="59">
        <v>0.53500000000000003</v>
      </c>
      <c r="M92" s="59">
        <v>0.53500000000000003</v>
      </c>
      <c r="N92" s="59">
        <v>0.53</v>
      </c>
      <c r="O92" s="59">
        <v>0.53</v>
      </c>
      <c r="P92" s="59">
        <v>0.53</v>
      </c>
      <c r="Q92" s="59">
        <v>0.53</v>
      </c>
      <c r="R92" s="59">
        <v>0.53</v>
      </c>
      <c r="S92" s="59">
        <v>0.53</v>
      </c>
    </row>
    <row r="93" spans="2:19" ht="22.5" customHeight="1">
      <c r="B93" s="35" t="s">
        <v>288</v>
      </c>
      <c r="C93" s="35" t="s">
        <v>168</v>
      </c>
      <c r="D93" s="54"/>
      <c r="E93" s="35"/>
      <c r="F93" s="35"/>
      <c r="G93" s="35"/>
      <c r="H93" s="35"/>
      <c r="I93" s="35"/>
      <c r="J93" s="59">
        <v>0.54500000000000004</v>
      </c>
      <c r="K93" s="59">
        <v>0.52</v>
      </c>
      <c r="L93" s="59">
        <v>0.51500000000000001</v>
      </c>
      <c r="M93" s="59">
        <v>0.51</v>
      </c>
      <c r="N93" s="59">
        <v>0.505</v>
      </c>
      <c r="O93" s="59">
        <v>0.505</v>
      </c>
      <c r="P93" s="59">
        <v>0.505</v>
      </c>
      <c r="Q93" s="59">
        <v>0.505</v>
      </c>
      <c r="R93" s="59">
        <v>0.505</v>
      </c>
      <c r="S93" s="59">
        <v>0.505</v>
      </c>
    </row>
    <row r="94" spans="2:19" ht="22.5" customHeight="1">
      <c r="B94" s="35" t="s">
        <v>289</v>
      </c>
      <c r="C94" s="35" t="s">
        <v>168</v>
      </c>
      <c r="D94" s="54"/>
      <c r="E94" s="35"/>
      <c r="F94" s="35"/>
      <c r="G94" s="35"/>
      <c r="H94" s="35"/>
      <c r="I94" s="35"/>
      <c r="J94" s="59">
        <v>0.53500000000000003</v>
      </c>
      <c r="K94" s="59">
        <v>0.505</v>
      </c>
      <c r="L94" s="59">
        <v>0.495</v>
      </c>
      <c r="M94" s="59">
        <v>0.49</v>
      </c>
      <c r="N94" s="59">
        <v>0.48499999999999999</v>
      </c>
      <c r="O94" s="59">
        <v>0.48499999999999999</v>
      </c>
      <c r="P94" s="59">
        <v>0.48499999999999999</v>
      </c>
      <c r="Q94" s="59">
        <v>0.48499999999999999</v>
      </c>
      <c r="R94" s="59">
        <v>0.48499999999999999</v>
      </c>
      <c r="S94" s="59">
        <v>0.48499999999999999</v>
      </c>
    </row>
    <row r="95" spans="2:19" ht="18" customHeight="1">
      <c r="B95" s="73" t="s">
        <v>290</v>
      </c>
      <c r="C95" s="56" t="s">
        <v>168</v>
      </c>
      <c r="D95" s="57" t="s">
        <v>291</v>
      </c>
      <c r="E95" s="77">
        <f>E149/E145</f>
        <v>0.53417114147167311</v>
      </c>
      <c r="F95" s="77">
        <f>F149/F145</f>
        <v>0.51292945238359466</v>
      </c>
      <c r="G95" s="77">
        <f>G149/G145</f>
        <v>0.50086416774515585</v>
      </c>
      <c r="H95" s="77">
        <f>H149/H145</f>
        <v>0.51353392825364041</v>
      </c>
      <c r="I95" s="77">
        <f>I149/I145</f>
        <v>0.52562269423834751</v>
      </c>
      <c r="J95" s="78">
        <f t="shared" ref="J95:S95" si="10">CHOOSE($E$3,J92,J93,J94)+$E$10</f>
        <v>0.54500000000000004</v>
      </c>
      <c r="K95" s="78">
        <f t="shared" si="10"/>
        <v>0.52</v>
      </c>
      <c r="L95" s="78">
        <f t="shared" si="10"/>
        <v>0.51500000000000001</v>
      </c>
      <c r="M95" s="78">
        <f t="shared" si="10"/>
        <v>0.51</v>
      </c>
      <c r="N95" s="78">
        <f t="shared" si="10"/>
        <v>0.505</v>
      </c>
      <c r="O95" s="78">
        <f t="shared" si="10"/>
        <v>0.505</v>
      </c>
      <c r="P95" s="78">
        <f t="shared" si="10"/>
        <v>0.505</v>
      </c>
      <c r="Q95" s="78">
        <f t="shared" si="10"/>
        <v>0.505</v>
      </c>
      <c r="R95" s="78">
        <f t="shared" si="10"/>
        <v>0.505</v>
      </c>
      <c r="S95" s="78">
        <f t="shared" si="10"/>
        <v>0.505</v>
      </c>
    </row>
    <row r="96" spans="2:19" ht="22.5" customHeight="1">
      <c r="B96" s="35" t="s">
        <v>292</v>
      </c>
      <c r="C96" s="35" t="s">
        <v>168</v>
      </c>
      <c r="D96" s="54"/>
      <c r="E96" s="35"/>
      <c r="F96" s="35"/>
      <c r="G96" s="35"/>
      <c r="H96" s="35"/>
      <c r="I96" s="35"/>
      <c r="J96" s="71">
        <v>8.9999999999999993E-3</v>
      </c>
      <c r="K96" s="71">
        <v>0.01</v>
      </c>
      <c r="L96" s="71">
        <v>0.01</v>
      </c>
      <c r="M96" s="71">
        <v>8.9999999999999993E-3</v>
      </c>
      <c r="N96" s="71">
        <v>8.9999999999999993E-3</v>
      </c>
      <c r="O96" s="71">
        <v>8.9999999999999993E-3</v>
      </c>
      <c r="P96" s="71">
        <v>8.9999999999999993E-3</v>
      </c>
      <c r="Q96" s="71">
        <v>8.9999999999999993E-3</v>
      </c>
      <c r="R96" s="71">
        <v>8.9999999999999993E-3</v>
      </c>
      <c r="S96" s="71">
        <v>8.9999999999999993E-3</v>
      </c>
    </row>
    <row r="97" spans="2:19" ht="22.5" customHeight="1">
      <c r="B97" s="35" t="s">
        <v>293</v>
      </c>
      <c r="C97" s="35" t="s">
        <v>168</v>
      </c>
      <c r="D97" s="54"/>
      <c r="E97" s="35"/>
      <c r="F97" s="35"/>
      <c r="G97" s="35"/>
      <c r="H97" s="35"/>
      <c r="I97" s="35"/>
      <c r="J97" s="71">
        <v>7.0000000000000001E-3</v>
      </c>
      <c r="K97" s="71">
        <v>7.4999999999999997E-3</v>
      </c>
      <c r="L97" s="71">
        <v>7.4999999999999997E-3</v>
      </c>
      <c r="M97" s="71">
        <v>7.4999999999999997E-3</v>
      </c>
      <c r="N97" s="71">
        <v>7.4999999999999997E-3</v>
      </c>
      <c r="O97" s="71">
        <v>7.4999999999999997E-3</v>
      </c>
      <c r="P97" s="71">
        <v>7.4999999999999997E-3</v>
      </c>
      <c r="Q97" s="71">
        <v>7.4999999999999997E-3</v>
      </c>
      <c r="R97" s="71">
        <v>7.4999999999999997E-3</v>
      </c>
      <c r="S97" s="71">
        <v>7.4999999999999997E-3</v>
      </c>
    </row>
    <row r="98" spans="2:19" ht="22.5" customHeight="1">
      <c r="B98" s="35" t="s">
        <v>294</v>
      </c>
      <c r="C98" s="35" t="s">
        <v>168</v>
      </c>
      <c r="D98" s="54"/>
      <c r="E98" s="35"/>
      <c r="F98" s="35"/>
      <c r="G98" s="35"/>
      <c r="H98" s="35"/>
      <c r="I98" s="35"/>
      <c r="J98" s="71">
        <v>6.0000000000000001E-3</v>
      </c>
      <c r="K98" s="71">
        <v>6.0000000000000001E-3</v>
      </c>
      <c r="L98" s="71">
        <v>6.4999999999999997E-3</v>
      </c>
      <c r="M98" s="71">
        <v>6.4999999999999997E-3</v>
      </c>
      <c r="N98" s="71">
        <v>6.4999999999999997E-3</v>
      </c>
      <c r="O98" s="71">
        <v>6.4999999999999997E-3</v>
      </c>
      <c r="P98" s="71">
        <v>6.4999999999999997E-3</v>
      </c>
      <c r="Q98" s="71">
        <v>6.4999999999999997E-3</v>
      </c>
      <c r="R98" s="71">
        <v>6.4999999999999997E-3</v>
      </c>
      <c r="S98" s="71">
        <v>6.4999999999999997E-3</v>
      </c>
    </row>
    <row r="99" spans="2:19" ht="18" customHeight="1">
      <c r="B99" s="73" t="s">
        <v>295</v>
      </c>
      <c r="C99" s="56" t="s">
        <v>168</v>
      </c>
      <c r="D99" s="57" t="s">
        <v>296</v>
      </c>
      <c r="F99" s="80">
        <f>F151/AVERAGE(F212,E212)</f>
        <v>1.9782830908059473E-2</v>
      </c>
      <c r="G99" s="80">
        <f>G151/AVERAGE(G212,F212)</f>
        <v>1.1706972902995402E-2</v>
      </c>
      <c r="H99" s="80">
        <f>H151/AVERAGE(H212,G212)</f>
        <v>7.3009944159276169E-3</v>
      </c>
      <c r="I99" s="80">
        <f>I151/AVERAGE(I212,H212)</f>
        <v>7.8916871050098356E-3</v>
      </c>
      <c r="J99" s="75">
        <f t="shared" ref="J99:S99" si="11">CHOOSE($E$3,J96,J97,J98)+$E$9</f>
        <v>7.0000000000000001E-3</v>
      </c>
      <c r="K99" s="75">
        <f t="shared" si="11"/>
        <v>7.4999999999999997E-3</v>
      </c>
      <c r="L99" s="75">
        <f t="shared" si="11"/>
        <v>7.4999999999999997E-3</v>
      </c>
      <c r="M99" s="75">
        <f t="shared" si="11"/>
        <v>7.4999999999999997E-3</v>
      </c>
      <c r="N99" s="75">
        <f t="shared" si="11"/>
        <v>7.4999999999999997E-3</v>
      </c>
      <c r="O99" s="75">
        <f t="shared" si="11"/>
        <v>7.4999999999999997E-3</v>
      </c>
      <c r="P99" s="75">
        <f t="shared" si="11"/>
        <v>7.4999999999999997E-3</v>
      </c>
      <c r="Q99" s="75">
        <f t="shared" si="11"/>
        <v>7.4999999999999997E-3</v>
      </c>
      <c r="R99" s="75">
        <f t="shared" si="11"/>
        <v>7.4999999999999997E-3</v>
      </c>
      <c r="S99" s="75">
        <f t="shared" si="11"/>
        <v>7.4999999999999997E-3</v>
      </c>
    </row>
    <row r="100" spans="2:19" ht="22.5" customHeight="1">
      <c r="B100" s="35" t="s">
        <v>297</v>
      </c>
      <c r="C100" s="35" t="s">
        <v>168</v>
      </c>
      <c r="D100" s="54"/>
      <c r="E100" s="35"/>
      <c r="F100" s="35"/>
      <c r="G100" s="35"/>
      <c r="H100" s="35"/>
      <c r="I100" s="35"/>
      <c r="J100" s="71">
        <v>2.1000000000000001E-2</v>
      </c>
      <c r="K100" s="71">
        <v>2.4E-2</v>
      </c>
      <c r="L100" s="71">
        <v>2.3E-2</v>
      </c>
      <c r="M100" s="71">
        <v>2.1999999999999999E-2</v>
      </c>
      <c r="N100" s="71">
        <v>2.1000000000000001E-2</v>
      </c>
      <c r="O100" s="71">
        <v>2.1000000000000001E-2</v>
      </c>
      <c r="P100" s="71">
        <v>2.1000000000000001E-2</v>
      </c>
      <c r="Q100" s="71">
        <v>2.1000000000000001E-2</v>
      </c>
      <c r="R100" s="71">
        <v>2.1000000000000001E-2</v>
      </c>
      <c r="S100" s="71">
        <v>2.1000000000000001E-2</v>
      </c>
    </row>
    <row r="101" spans="2:19" ht="22.5" customHeight="1">
      <c r="B101" s="35" t="s">
        <v>298</v>
      </c>
      <c r="C101" s="35" t="s">
        <v>168</v>
      </c>
      <c r="D101" s="54"/>
      <c r="E101" s="35"/>
      <c r="F101" s="35"/>
      <c r="G101" s="35"/>
      <c r="H101" s="35"/>
      <c r="I101" s="35"/>
      <c r="J101" s="71">
        <v>1.8499999999999999E-2</v>
      </c>
      <c r="K101" s="71">
        <v>1.8499999999999999E-2</v>
      </c>
      <c r="L101" s="71">
        <v>1.7999999999999999E-2</v>
      </c>
      <c r="M101" s="71">
        <v>1.7999999999999999E-2</v>
      </c>
      <c r="N101" s="71">
        <v>1.7999999999999999E-2</v>
      </c>
      <c r="O101" s="71">
        <v>1.7999999999999999E-2</v>
      </c>
      <c r="P101" s="71">
        <v>1.7999999999999999E-2</v>
      </c>
      <c r="Q101" s="71">
        <v>1.7999999999999999E-2</v>
      </c>
      <c r="R101" s="71">
        <v>1.7999999999999999E-2</v>
      </c>
      <c r="S101" s="71">
        <v>1.7999999999999999E-2</v>
      </c>
    </row>
    <row r="102" spans="2:19" ht="22.5" customHeight="1">
      <c r="B102" s="35" t="s">
        <v>299</v>
      </c>
      <c r="C102" s="35" t="s">
        <v>168</v>
      </c>
      <c r="D102" s="54"/>
      <c r="E102" s="35"/>
      <c r="F102" s="35"/>
      <c r="G102" s="35"/>
      <c r="H102" s="35"/>
      <c r="I102" s="35"/>
      <c r="J102" s="71">
        <v>1.7500000000000002E-2</v>
      </c>
      <c r="K102" s="71">
        <v>1.6500000000000001E-2</v>
      </c>
      <c r="L102" s="71">
        <v>1.6E-2</v>
      </c>
      <c r="M102" s="71">
        <v>1.6E-2</v>
      </c>
      <c r="N102" s="71">
        <v>1.6E-2</v>
      </c>
      <c r="O102" s="71">
        <v>1.6E-2</v>
      </c>
      <c r="P102" s="71">
        <v>1.6E-2</v>
      </c>
      <c r="Q102" s="71">
        <v>1.6E-2</v>
      </c>
      <c r="R102" s="71">
        <v>1.6E-2</v>
      </c>
      <c r="S102" s="71">
        <v>1.6E-2</v>
      </c>
    </row>
    <row r="103" spans="2:19" ht="22.5" customHeight="1">
      <c r="B103" s="35" t="s">
        <v>300</v>
      </c>
      <c r="C103" s="35" t="s">
        <v>168</v>
      </c>
      <c r="D103" s="54" t="s">
        <v>301</v>
      </c>
      <c r="E103" s="71">
        <v>2.93E-2</v>
      </c>
      <c r="F103" s="71">
        <v>2.4199999999999999E-2</v>
      </c>
      <c r="G103" s="71">
        <v>2.0799999999999999E-2</v>
      </c>
      <c r="H103" s="71">
        <v>1.9E-2</v>
      </c>
      <c r="I103" s="71">
        <v>1.8100000000000002E-2</v>
      </c>
      <c r="J103" s="71">
        <f t="shared" ref="J103:S103" si="12">CHOOSE($E$3,J100,J101,J102)</f>
        <v>1.8499999999999999E-2</v>
      </c>
      <c r="K103" s="71">
        <f t="shared" si="12"/>
        <v>1.8499999999999999E-2</v>
      </c>
      <c r="L103" s="71">
        <f t="shared" si="12"/>
        <v>1.7999999999999999E-2</v>
      </c>
      <c r="M103" s="71">
        <f t="shared" si="12"/>
        <v>1.7999999999999999E-2</v>
      </c>
      <c r="N103" s="71">
        <f t="shared" si="12"/>
        <v>1.7999999999999999E-2</v>
      </c>
      <c r="O103" s="71">
        <f t="shared" si="12"/>
        <v>1.7999999999999999E-2</v>
      </c>
      <c r="P103" s="71">
        <f t="shared" si="12"/>
        <v>1.7999999999999999E-2</v>
      </c>
      <c r="Q103" s="71">
        <f t="shared" si="12"/>
        <v>1.7999999999999999E-2</v>
      </c>
      <c r="R103" s="71">
        <f t="shared" si="12"/>
        <v>1.7999999999999999E-2</v>
      </c>
      <c r="S103" s="71">
        <f t="shared" si="12"/>
        <v>1.7999999999999999E-2</v>
      </c>
    </row>
    <row r="104" spans="2:19" ht="18" customHeight="1">
      <c r="B104" s="56" t="s">
        <v>302</v>
      </c>
      <c r="C104" s="56" t="s">
        <v>168</v>
      </c>
      <c r="D104" s="57" t="s">
        <v>303</v>
      </c>
      <c r="E104" s="82">
        <v>1.4886999999999999</v>
      </c>
      <c r="F104" s="82">
        <v>1.8311999999999999</v>
      </c>
      <c r="G104" s="82">
        <v>1.9435</v>
      </c>
      <c r="H104" s="82">
        <v>1.9500999999999999</v>
      </c>
      <c r="I104" s="82">
        <v>1.9088000000000001</v>
      </c>
      <c r="J104" s="79">
        <v>1.9</v>
      </c>
      <c r="K104" s="79">
        <v>1.9</v>
      </c>
      <c r="L104" s="79">
        <v>1.9</v>
      </c>
      <c r="M104" s="79">
        <v>1.9</v>
      </c>
      <c r="N104" s="79">
        <v>1.9</v>
      </c>
      <c r="O104" s="79">
        <v>1.9</v>
      </c>
      <c r="P104" s="79">
        <v>1.9</v>
      </c>
      <c r="Q104" s="79">
        <v>1.9</v>
      </c>
      <c r="R104" s="79">
        <v>1.9</v>
      </c>
      <c r="S104" s="79">
        <v>1.9</v>
      </c>
    </row>
    <row r="105" spans="2:19" ht="22.5" customHeight="1">
      <c r="B105" s="35" t="s">
        <v>304</v>
      </c>
      <c r="C105" s="35" t="s">
        <v>168</v>
      </c>
      <c r="D105" s="54"/>
      <c r="E105" s="35"/>
      <c r="F105" s="35"/>
      <c r="G105" s="35"/>
      <c r="H105" s="35"/>
      <c r="I105" s="35"/>
      <c r="J105" s="83">
        <v>0.2</v>
      </c>
      <c r="K105" s="83">
        <v>0.2</v>
      </c>
      <c r="L105" s="83">
        <v>0.2</v>
      </c>
      <c r="M105" s="83">
        <v>0.2</v>
      </c>
      <c r="N105" s="83">
        <v>0.2</v>
      </c>
      <c r="O105" s="83">
        <v>0.3</v>
      </c>
      <c r="P105" s="83">
        <v>0.35</v>
      </c>
      <c r="Q105" s="83">
        <v>0.4</v>
      </c>
      <c r="R105" s="83">
        <v>0.45</v>
      </c>
      <c r="S105" s="83">
        <v>0.5</v>
      </c>
    </row>
    <row r="106" spans="2:19" ht="22.5" customHeight="1">
      <c r="B106" s="35" t="s">
        <v>305</v>
      </c>
      <c r="C106" s="35" t="s">
        <v>168</v>
      </c>
      <c r="D106" s="54"/>
      <c r="E106" s="35"/>
      <c r="F106" s="35"/>
      <c r="G106" s="35"/>
      <c r="H106" s="35"/>
      <c r="I106" s="35"/>
      <c r="J106" s="83">
        <v>0.22</v>
      </c>
      <c r="K106" s="83">
        <v>0.25</v>
      </c>
      <c r="L106" s="83">
        <v>0.27</v>
      </c>
      <c r="M106" s="83">
        <v>0.3</v>
      </c>
      <c r="N106" s="83">
        <v>0.3</v>
      </c>
      <c r="O106" s="83">
        <v>0.4</v>
      </c>
      <c r="P106" s="83">
        <v>0.5</v>
      </c>
      <c r="Q106" s="83">
        <v>0.55000000000000004</v>
      </c>
      <c r="R106" s="83">
        <v>0.6</v>
      </c>
      <c r="S106" s="83">
        <v>0.65</v>
      </c>
    </row>
    <row r="107" spans="2:19" ht="22.5" customHeight="1">
      <c r="B107" s="35" t="s">
        <v>306</v>
      </c>
      <c r="C107" s="35" t="s">
        <v>168</v>
      </c>
      <c r="D107" s="54"/>
      <c r="E107" s="35"/>
      <c r="F107" s="35"/>
      <c r="G107" s="35"/>
      <c r="H107" s="35"/>
      <c r="I107" s="35"/>
      <c r="J107" s="83">
        <v>0.25</v>
      </c>
      <c r="K107" s="83">
        <v>0.3</v>
      </c>
      <c r="L107" s="83">
        <v>0.3</v>
      </c>
      <c r="M107" s="83">
        <v>0.3</v>
      </c>
      <c r="N107" s="83">
        <v>0.3</v>
      </c>
      <c r="O107" s="83">
        <v>0.45</v>
      </c>
      <c r="P107" s="83">
        <v>0.55000000000000004</v>
      </c>
      <c r="Q107" s="83">
        <v>0.6</v>
      </c>
      <c r="R107" s="83">
        <v>0.65</v>
      </c>
      <c r="S107" s="83">
        <v>0.7</v>
      </c>
    </row>
    <row r="108" spans="2:19" ht="22.5" customHeight="1">
      <c r="B108" s="35" t="s">
        <v>307</v>
      </c>
      <c r="C108" s="35" t="s">
        <v>168</v>
      </c>
      <c r="D108" s="54" t="s">
        <v>308</v>
      </c>
      <c r="E108" s="83">
        <v>0.25</v>
      </c>
      <c r="F108" s="83">
        <v>0.1</v>
      </c>
      <c r="G108" s="83">
        <v>0.15</v>
      </c>
      <c r="H108" s="83">
        <v>0.15</v>
      </c>
      <c r="I108" s="83">
        <v>0.2</v>
      </c>
      <c r="J108" s="83">
        <f t="shared" ref="J108:S108" si="13">CHOOSE($E$3,J105,J106,J107)+$E$13</f>
        <v>0.22</v>
      </c>
      <c r="K108" s="83">
        <f t="shared" si="13"/>
        <v>0.25</v>
      </c>
      <c r="L108" s="83">
        <f t="shared" si="13"/>
        <v>0.27</v>
      </c>
      <c r="M108" s="83">
        <f t="shared" si="13"/>
        <v>0.3</v>
      </c>
      <c r="N108" s="83">
        <f t="shared" si="13"/>
        <v>0.3</v>
      </c>
      <c r="O108" s="83">
        <f t="shared" si="13"/>
        <v>0.4</v>
      </c>
      <c r="P108" s="83">
        <f t="shared" si="13"/>
        <v>0.5</v>
      </c>
      <c r="Q108" s="83">
        <f t="shared" si="13"/>
        <v>0.55000000000000004</v>
      </c>
      <c r="R108" s="83">
        <f t="shared" si="13"/>
        <v>0.6</v>
      </c>
      <c r="S108" s="83">
        <f t="shared" si="13"/>
        <v>0.65</v>
      </c>
    </row>
    <row r="109" spans="2:19" ht="18" customHeight="1">
      <c r="B109" s="73"/>
      <c r="C109" s="56"/>
      <c r="D109" s="57"/>
      <c r="E109" s="84"/>
      <c r="F109" s="84"/>
      <c r="G109" s="84"/>
      <c r="H109" s="84"/>
      <c r="I109" s="84"/>
      <c r="J109" s="85"/>
      <c r="K109" s="85"/>
      <c r="L109" s="85"/>
      <c r="M109" s="85"/>
      <c r="N109" s="85"/>
      <c r="O109" s="85"/>
      <c r="P109" s="85"/>
      <c r="Q109" s="85"/>
      <c r="R109" s="85"/>
      <c r="S109" s="85"/>
    </row>
    <row r="110" spans="2:19" ht="27" customHeight="1">
      <c r="B110" s="24" t="s">
        <v>309</v>
      </c>
      <c r="C110" s="24"/>
      <c r="D110" s="24"/>
      <c r="E110" s="44" t="s">
        <v>223</v>
      </c>
      <c r="F110" s="44" t="s">
        <v>224</v>
      </c>
      <c r="G110" s="44" t="s">
        <v>225</v>
      </c>
      <c r="H110" s="44" t="s">
        <v>226</v>
      </c>
      <c r="I110" s="44" t="s">
        <v>93</v>
      </c>
      <c r="J110" s="44" t="s">
        <v>94</v>
      </c>
      <c r="K110" s="44" t="s">
        <v>227</v>
      </c>
      <c r="L110" s="44" t="s">
        <v>95</v>
      </c>
      <c r="M110" s="44" t="s">
        <v>228</v>
      </c>
      <c r="N110" s="44" t="s">
        <v>96</v>
      </c>
      <c r="O110" s="44" t="s">
        <v>229</v>
      </c>
      <c r="P110" s="44" t="s">
        <v>230</v>
      </c>
      <c r="Q110" s="44" t="s">
        <v>231</v>
      </c>
      <c r="R110" s="44" t="s">
        <v>232</v>
      </c>
      <c r="S110" s="44" t="s">
        <v>97</v>
      </c>
    </row>
    <row r="111" spans="2:19" ht="18" customHeight="1">
      <c r="B111" s="56" t="s">
        <v>310</v>
      </c>
      <c r="C111" s="56" t="s">
        <v>311</v>
      </c>
      <c r="D111" s="57" t="s">
        <v>312</v>
      </c>
      <c r="E111" s="86">
        <v>189.59100000000001</v>
      </c>
      <c r="F111" s="86">
        <v>50.893000000000001</v>
      </c>
      <c r="H111" s="86">
        <v>152.124</v>
      </c>
      <c r="I111" s="86">
        <v>394.66199999999998</v>
      </c>
      <c r="J111" s="87">
        <v>0</v>
      </c>
      <c r="K111" s="87">
        <v>0</v>
      </c>
      <c r="L111" s="87">
        <v>0</v>
      </c>
      <c r="M111" s="87">
        <v>0</v>
      </c>
      <c r="N111" s="87">
        <v>0</v>
      </c>
      <c r="O111" s="87">
        <v>0</v>
      </c>
      <c r="P111" s="87">
        <v>0</v>
      </c>
      <c r="Q111" s="87">
        <v>0</v>
      </c>
      <c r="R111" s="87">
        <v>0</v>
      </c>
      <c r="S111" s="87">
        <v>0</v>
      </c>
    </row>
    <row r="112" spans="2:19" ht="22.5" customHeight="1">
      <c r="B112" s="35" t="s">
        <v>313</v>
      </c>
      <c r="C112" s="35" t="s">
        <v>168</v>
      </c>
      <c r="D112" s="54" t="s">
        <v>314</v>
      </c>
      <c r="E112" s="59">
        <v>0.75600000000000001</v>
      </c>
      <c r="F112" s="59">
        <v>0.748</v>
      </c>
      <c r="G112" s="59">
        <v>0.77200000000000002</v>
      </c>
      <c r="H112" s="59">
        <v>0.77500000000000002</v>
      </c>
      <c r="I112" s="59">
        <v>0.76300000000000001</v>
      </c>
      <c r="J112" s="59">
        <f t="shared" ref="J112:S112" si="14">I112</f>
        <v>0.76300000000000001</v>
      </c>
      <c r="K112" s="59">
        <f t="shared" si="14"/>
        <v>0.76300000000000001</v>
      </c>
      <c r="L112" s="59">
        <f t="shared" si="14"/>
        <v>0.76300000000000001</v>
      </c>
      <c r="M112" s="59">
        <f t="shared" si="14"/>
        <v>0.76300000000000001</v>
      </c>
      <c r="N112" s="59">
        <f t="shared" si="14"/>
        <v>0.76300000000000001</v>
      </c>
      <c r="O112" s="59">
        <f t="shared" si="14"/>
        <v>0.76300000000000001</v>
      </c>
      <c r="P112" s="59">
        <f t="shared" si="14"/>
        <v>0.76300000000000001</v>
      </c>
      <c r="Q112" s="59">
        <f t="shared" si="14"/>
        <v>0.76300000000000001</v>
      </c>
      <c r="R112" s="59">
        <f t="shared" si="14"/>
        <v>0.76300000000000001</v>
      </c>
      <c r="S112" s="59">
        <f t="shared" si="14"/>
        <v>0.76300000000000001</v>
      </c>
    </row>
    <row r="113" spans="2:19" ht="22.5" customHeight="1">
      <c r="B113" s="35" t="s">
        <v>315</v>
      </c>
      <c r="C113" s="35" t="s">
        <v>311</v>
      </c>
      <c r="D113" s="54" t="s">
        <v>316</v>
      </c>
      <c r="E113" s="35"/>
      <c r="F113" s="35"/>
      <c r="G113" s="35"/>
      <c r="H113" s="35"/>
      <c r="I113" s="35"/>
      <c r="J113" s="88">
        <v>3000</v>
      </c>
      <c r="K113" s="88">
        <v>3000</v>
      </c>
      <c r="L113" s="88">
        <v>2000</v>
      </c>
      <c r="M113" s="88">
        <v>2000</v>
      </c>
      <c r="N113" s="88">
        <v>2000</v>
      </c>
      <c r="O113" s="88">
        <v>2000</v>
      </c>
      <c r="P113" s="88">
        <v>2000</v>
      </c>
      <c r="Q113" s="88">
        <v>2000</v>
      </c>
      <c r="R113" s="88">
        <v>2000</v>
      </c>
      <c r="S113" s="88">
        <v>2000</v>
      </c>
    </row>
    <row r="114" spans="2:19" ht="22.5" customHeight="1">
      <c r="B114" s="35" t="s">
        <v>317</v>
      </c>
      <c r="C114" s="35" t="s">
        <v>311</v>
      </c>
      <c r="D114" s="54" t="s">
        <v>318</v>
      </c>
      <c r="E114" s="35"/>
      <c r="F114" s="35"/>
      <c r="G114" s="35"/>
      <c r="H114" s="35"/>
      <c r="I114" s="35"/>
      <c r="J114" s="88">
        <v>3048.6</v>
      </c>
      <c r="K114" s="88">
        <v>1255</v>
      </c>
      <c r="L114" s="88">
        <v>686</v>
      </c>
      <c r="M114" s="88">
        <v>0</v>
      </c>
      <c r="N114" s="88">
        <v>0</v>
      </c>
      <c r="O114" s="88">
        <v>2000</v>
      </c>
      <c r="P114" s="88">
        <v>2000</v>
      </c>
      <c r="Q114" s="88">
        <v>2000</v>
      </c>
      <c r="R114" s="88">
        <v>2000</v>
      </c>
      <c r="S114" s="88">
        <v>2000</v>
      </c>
    </row>
    <row r="115" spans="2:19" ht="18" customHeight="1">
      <c r="B115" s="56" t="s">
        <v>319</v>
      </c>
      <c r="C115" s="56" t="s">
        <v>311</v>
      </c>
      <c r="D115" s="57" t="s">
        <v>320</v>
      </c>
      <c r="J115" s="89">
        <v>0</v>
      </c>
      <c r="K115" s="89">
        <v>0</v>
      </c>
      <c r="L115" s="89">
        <v>200</v>
      </c>
      <c r="M115" s="89">
        <v>0</v>
      </c>
      <c r="N115" s="89">
        <v>0</v>
      </c>
      <c r="O115" s="89">
        <v>0</v>
      </c>
      <c r="P115" s="89">
        <v>0</v>
      </c>
      <c r="Q115" s="89">
        <v>0</v>
      </c>
      <c r="R115" s="89">
        <v>0</v>
      </c>
      <c r="S115" s="89">
        <v>0</v>
      </c>
    </row>
    <row r="116" spans="2:19" ht="22.5" customHeight="1">
      <c r="B116" s="35" t="s">
        <v>321</v>
      </c>
      <c r="C116" s="35" t="s">
        <v>311</v>
      </c>
      <c r="D116" s="54" t="s">
        <v>322</v>
      </c>
      <c r="E116" s="35"/>
      <c r="F116" s="35"/>
      <c r="G116" s="35"/>
      <c r="H116" s="35"/>
      <c r="I116" s="35"/>
      <c r="J116" s="88">
        <v>0</v>
      </c>
      <c r="K116" s="88">
        <v>0</v>
      </c>
      <c r="L116" s="88">
        <v>200</v>
      </c>
      <c r="M116" s="88">
        <v>0</v>
      </c>
      <c r="N116" s="88">
        <v>0</v>
      </c>
      <c r="O116" s="88">
        <v>0</v>
      </c>
      <c r="P116" s="88">
        <v>0</v>
      </c>
      <c r="Q116" s="88">
        <v>0</v>
      </c>
      <c r="R116" s="88">
        <v>0</v>
      </c>
      <c r="S116" s="88">
        <v>0</v>
      </c>
    </row>
    <row r="117" spans="2:19" ht="18" customHeight="1">
      <c r="B117" s="56" t="s">
        <v>323</v>
      </c>
      <c r="C117" s="56" t="s">
        <v>311</v>
      </c>
      <c r="D117" s="57"/>
      <c r="J117" s="89">
        <v>0</v>
      </c>
      <c r="K117" s="89">
        <v>0</v>
      </c>
      <c r="L117" s="89">
        <v>0</v>
      </c>
      <c r="M117" s="89">
        <v>0</v>
      </c>
      <c r="N117" s="89">
        <v>0</v>
      </c>
      <c r="O117" s="89">
        <v>0</v>
      </c>
      <c r="P117" s="89">
        <v>0</v>
      </c>
      <c r="Q117" s="89">
        <v>0</v>
      </c>
      <c r="R117" s="89">
        <v>0</v>
      </c>
      <c r="S117" s="89">
        <v>0</v>
      </c>
    </row>
    <row r="118" spans="2:19" ht="18" customHeight="1">
      <c r="B118" s="56" t="s">
        <v>324</v>
      </c>
      <c r="C118" s="56" t="s">
        <v>311</v>
      </c>
      <c r="D118" s="57"/>
      <c r="J118" s="89">
        <v>0</v>
      </c>
      <c r="K118" s="89">
        <v>0</v>
      </c>
      <c r="L118" s="89">
        <v>0</v>
      </c>
      <c r="M118" s="89">
        <v>0</v>
      </c>
      <c r="N118" s="89">
        <v>0</v>
      </c>
      <c r="O118" s="89">
        <v>0</v>
      </c>
      <c r="P118" s="89">
        <v>0</v>
      </c>
      <c r="Q118" s="89">
        <v>0</v>
      </c>
      <c r="R118" s="89">
        <v>0</v>
      </c>
      <c r="S118" s="89">
        <v>0</v>
      </c>
    </row>
    <row r="119" spans="2:19" ht="18" customHeight="1">
      <c r="B119" s="56" t="s">
        <v>325</v>
      </c>
      <c r="C119" s="56" t="s">
        <v>168</v>
      </c>
      <c r="D119" s="57" t="s">
        <v>326</v>
      </c>
      <c r="E119" s="60">
        <v>6.7000000000000004E-2</v>
      </c>
    </row>
    <row r="120" spans="2:19" ht="22.5" customHeight="1">
      <c r="B120" s="35" t="s">
        <v>327</v>
      </c>
      <c r="C120" s="35" t="s">
        <v>168</v>
      </c>
      <c r="D120" s="54" t="s">
        <v>328</v>
      </c>
      <c r="E120" s="71">
        <v>7.3499999999999996E-2</v>
      </c>
      <c r="F120" s="35"/>
      <c r="G120" s="35"/>
      <c r="H120" s="35"/>
      <c r="I120" s="35"/>
      <c r="J120" s="35"/>
      <c r="K120" s="35"/>
      <c r="L120" s="35"/>
      <c r="M120" s="35"/>
      <c r="N120" s="35"/>
      <c r="O120" s="35"/>
      <c r="P120" s="35"/>
      <c r="Q120" s="35"/>
      <c r="R120" s="35"/>
      <c r="S120" s="35"/>
    </row>
    <row r="121" spans="2:19" ht="18" customHeight="1">
      <c r="B121" s="56" t="s">
        <v>329</v>
      </c>
      <c r="C121" s="56" t="s">
        <v>168</v>
      </c>
      <c r="D121" s="57"/>
      <c r="E121" s="68">
        <v>0.06</v>
      </c>
    </row>
    <row r="122" spans="2:19" ht="22.5" customHeight="1">
      <c r="B122" s="35" t="s">
        <v>330</v>
      </c>
      <c r="C122" s="35" t="s">
        <v>168</v>
      </c>
      <c r="D122" s="54" t="s">
        <v>331</v>
      </c>
      <c r="E122" s="59">
        <v>0.08</v>
      </c>
      <c r="F122" s="35"/>
      <c r="G122" s="35"/>
      <c r="H122" s="35"/>
      <c r="I122" s="35"/>
      <c r="J122" s="35"/>
      <c r="K122" s="35"/>
      <c r="L122" s="35"/>
      <c r="M122" s="35"/>
      <c r="N122" s="35"/>
      <c r="O122" s="35"/>
      <c r="P122" s="35"/>
      <c r="Q122" s="35"/>
      <c r="R122" s="35"/>
      <c r="S122" s="35"/>
    </row>
    <row r="123" spans="2:19" ht="18" customHeight="1">
      <c r="B123" s="56" t="s">
        <v>332</v>
      </c>
      <c r="C123" s="56" t="s">
        <v>168</v>
      </c>
      <c r="D123" s="57"/>
      <c r="E123" s="90">
        <v>0.1</v>
      </c>
    </row>
    <row r="124" spans="2:19" ht="18" customHeight="1">
      <c r="B124" s="56" t="s">
        <v>333</v>
      </c>
      <c r="C124" s="56" t="s">
        <v>168</v>
      </c>
      <c r="D124" s="57"/>
      <c r="E124" s="72">
        <v>0.05</v>
      </c>
    </row>
    <row r="125" spans="2:19" ht="18" customHeight="1">
      <c r="B125" s="56" t="s">
        <v>334</v>
      </c>
      <c r="C125" s="56" t="s">
        <v>168</v>
      </c>
      <c r="D125" s="57"/>
      <c r="E125" s="90">
        <v>0.4</v>
      </c>
    </row>
    <row r="126" spans="2:19" ht="18" customHeight="1">
      <c r="B126" s="56" t="s">
        <v>335</v>
      </c>
      <c r="C126" s="56" t="s">
        <v>168</v>
      </c>
      <c r="D126" s="57"/>
      <c r="E126" s="72">
        <v>0.25</v>
      </c>
    </row>
    <row r="127" spans="2:19" ht="18" customHeight="1">
      <c r="B127" s="56" t="s">
        <v>336</v>
      </c>
      <c r="C127" s="56" t="s">
        <v>168</v>
      </c>
      <c r="D127" s="57"/>
      <c r="E127" s="90">
        <v>0.25</v>
      </c>
    </row>
    <row r="128" spans="2:19" ht="18" customHeight="1">
      <c r="B128" s="56" t="s">
        <v>337</v>
      </c>
      <c r="C128" s="56" t="s">
        <v>168</v>
      </c>
      <c r="D128" s="57"/>
      <c r="E128" s="72">
        <v>0.2</v>
      </c>
    </row>
    <row r="129" spans="2:19" ht="18" customHeight="1">
      <c r="B129" s="56" t="s">
        <v>338</v>
      </c>
      <c r="C129" s="56" t="s">
        <v>168</v>
      </c>
      <c r="D129" s="57"/>
      <c r="E129" s="90">
        <v>0.25</v>
      </c>
    </row>
    <row r="130" spans="2:19" ht="18" customHeight="1">
      <c r="B130" s="56" t="s">
        <v>339</v>
      </c>
      <c r="C130" s="56" t="s">
        <v>168</v>
      </c>
      <c r="D130" s="57"/>
      <c r="E130" s="72">
        <v>0.2</v>
      </c>
    </row>
    <row r="131" spans="2:19" ht="18" customHeight="1">
      <c r="B131" s="56" t="s">
        <v>340</v>
      </c>
      <c r="C131" s="56" t="s">
        <v>200</v>
      </c>
      <c r="D131" s="57"/>
      <c r="E131" s="76">
        <v>1</v>
      </c>
    </row>
    <row r="132" spans="2:19" ht="22.5" customHeight="1">
      <c r="B132" s="35" t="s">
        <v>341</v>
      </c>
      <c r="C132" s="35" t="s">
        <v>200</v>
      </c>
      <c r="D132" s="54" t="s">
        <v>342</v>
      </c>
      <c r="E132" s="91">
        <f>I316/I175</f>
        <v>0.97344258567870556</v>
      </c>
      <c r="F132" s="35"/>
      <c r="G132" s="35"/>
      <c r="H132" s="35"/>
      <c r="I132" s="35"/>
      <c r="J132" s="35"/>
      <c r="K132" s="35"/>
      <c r="L132" s="35"/>
      <c r="M132" s="35"/>
      <c r="N132" s="35"/>
      <c r="O132" s="35"/>
      <c r="P132" s="35"/>
      <c r="Q132" s="35"/>
      <c r="R132" s="35"/>
      <c r="S132" s="35"/>
    </row>
    <row r="133" spans="2:19" ht="18" customHeight="1">
      <c r="B133" s="56" t="s">
        <v>343</v>
      </c>
      <c r="C133" s="56" t="s">
        <v>344</v>
      </c>
      <c r="D133" s="57" t="s">
        <v>345</v>
      </c>
      <c r="E133" s="92">
        <v>1</v>
      </c>
    </row>
    <row r="134" spans="2:19" ht="18" customHeight="1">
      <c r="B134" s="56" t="s">
        <v>346</v>
      </c>
      <c r="C134" s="56" t="s">
        <v>188</v>
      </c>
      <c r="D134" s="57" t="s">
        <v>347</v>
      </c>
      <c r="J134" s="89">
        <v>0</v>
      </c>
      <c r="K134" s="89">
        <v>6800</v>
      </c>
      <c r="L134" s="89">
        <v>0</v>
      </c>
      <c r="M134" s="89">
        <v>0</v>
      </c>
      <c r="N134" s="89">
        <v>0</v>
      </c>
      <c r="O134" s="89">
        <v>0</v>
      </c>
      <c r="P134" s="89">
        <v>0</v>
      </c>
      <c r="Q134" s="89">
        <v>0</v>
      </c>
      <c r="R134" s="89">
        <v>0</v>
      </c>
      <c r="S134" s="89">
        <v>0</v>
      </c>
    </row>
    <row r="135" spans="2:19" ht="18" customHeight="1">
      <c r="B135" s="56" t="s">
        <v>348</v>
      </c>
      <c r="C135" s="56" t="s">
        <v>185</v>
      </c>
      <c r="D135" s="57" t="s">
        <v>349</v>
      </c>
      <c r="E135" s="93">
        <f>ROUND($E$20*(1-0.14),-1)</f>
        <v>940</v>
      </c>
    </row>
    <row r="136" spans="2:19" ht="18" customHeight="1">
      <c r="B136" s="56" t="s">
        <v>350</v>
      </c>
      <c r="C136" s="56" t="s">
        <v>168</v>
      </c>
      <c r="D136" s="57" t="s">
        <v>351</v>
      </c>
      <c r="E136" s="72">
        <v>0.09</v>
      </c>
    </row>
    <row r="137" spans="2:19" ht="18" customHeight="1"/>
    <row r="138" spans="2:19" ht="18" customHeight="1"/>
    <row r="139" spans="2:19" ht="23.1" customHeight="1">
      <c r="B139" s="233" t="s">
        <v>352</v>
      </c>
      <c r="C139" s="233"/>
      <c r="D139" s="233"/>
      <c r="E139" s="233"/>
      <c r="F139" s="233"/>
      <c r="G139" s="233"/>
      <c r="H139" s="233"/>
      <c r="I139" s="233"/>
      <c r="J139" s="233"/>
      <c r="K139" s="233"/>
      <c r="L139" s="233"/>
      <c r="M139" s="233"/>
      <c r="N139" s="233"/>
      <c r="O139" s="233"/>
      <c r="P139" s="233"/>
      <c r="Q139" s="233"/>
      <c r="R139" s="233"/>
      <c r="S139" s="233"/>
    </row>
    <row r="140" spans="2:19" ht="27" customHeight="1">
      <c r="B140" s="24" t="s">
        <v>353</v>
      </c>
      <c r="C140" s="24"/>
      <c r="D140" s="24"/>
      <c r="E140" s="44" t="s">
        <v>223</v>
      </c>
      <c r="F140" s="44" t="s">
        <v>224</v>
      </c>
      <c r="G140" s="44" t="s">
        <v>225</v>
      </c>
      <c r="H140" s="44" t="s">
        <v>226</v>
      </c>
      <c r="I140" s="44" t="s">
        <v>93</v>
      </c>
      <c r="J140" s="44" t="s">
        <v>94</v>
      </c>
      <c r="K140" s="44" t="s">
        <v>227</v>
      </c>
      <c r="L140" s="44" t="s">
        <v>95</v>
      </c>
      <c r="M140" s="44" t="s">
        <v>228</v>
      </c>
      <c r="N140" s="44" t="s">
        <v>96</v>
      </c>
      <c r="O140" s="44" t="s">
        <v>229</v>
      </c>
      <c r="P140" s="44" t="s">
        <v>230</v>
      </c>
      <c r="Q140" s="44" t="s">
        <v>231</v>
      </c>
      <c r="R140" s="44" t="s">
        <v>232</v>
      </c>
      <c r="S140" s="44" t="s">
        <v>97</v>
      </c>
    </row>
    <row r="141" spans="2:19" ht="22.5" customHeight="1">
      <c r="B141" s="35" t="s">
        <v>354</v>
      </c>
      <c r="C141" s="35" t="s">
        <v>311</v>
      </c>
      <c r="D141" s="54" t="s">
        <v>355</v>
      </c>
      <c r="E141" s="88">
        <v>17808.432000000001</v>
      </c>
      <c r="F141" s="88">
        <v>19622.865000000002</v>
      </c>
      <c r="G141" s="88">
        <v>22251.742999999999</v>
      </c>
      <c r="H141" s="88">
        <v>25298.203000000001</v>
      </c>
      <c r="I141" s="88">
        <v>28265.491000000002</v>
      </c>
      <c r="J141" s="88">
        <f t="shared" ref="J141:S141" si="15">J235*J214+J326</f>
        <v>29781.904506888197</v>
      </c>
      <c r="K141" s="88">
        <f t="shared" si="15"/>
        <v>33832.447749685598</v>
      </c>
      <c r="L141" s="88">
        <f t="shared" si="15"/>
        <v>37885.33409210309</v>
      </c>
      <c r="M141" s="88">
        <f t="shared" si="15"/>
        <v>41841.252306622657</v>
      </c>
      <c r="N141" s="88">
        <f t="shared" si="15"/>
        <v>46062.6688438001</v>
      </c>
      <c r="O141" s="88">
        <f t="shared" si="15"/>
        <v>50371.515213801627</v>
      </c>
      <c r="P141" s="88">
        <f t="shared" si="15"/>
        <v>54759.066945994738</v>
      </c>
      <c r="Q141" s="88">
        <f t="shared" si="15"/>
        <v>59174.157290747855</v>
      </c>
      <c r="R141" s="88">
        <f t="shared" si="15"/>
        <v>63560.252912794611</v>
      </c>
      <c r="S141" s="88">
        <f t="shared" si="15"/>
        <v>67856.48872409547</v>
      </c>
    </row>
    <row r="142" spans="2:19" ht="18" customHeight="1">
      <c r="B142" s="56" t="s">
        <v>356</v>
      </c>
      <c r="C142" s="56" t="s">
        <v>311</v>
      </c>
      <c r="D142" s="57" t="s">
        <v>357</v>
      </c>
      <c r="E142" s="62">
        <v>4378.8069999999998</v>
      </c>
      <c r="F142" s="62">
        <v>4032.1689999999999</v>
      </c>
      <c r="G142" s="62">
        <v>5993.1679999999997</v>
      </c>
      <c r="H142" s="62">
        <v>7889.0290000000005</v>
      </c>
      <c r="I142" s="62">
        <v>9136.4050000000007</v>
      </c>
      <c r="J142" s="94">
        <f t="shared" ref="J142:S142" si="16">J228+J260</f>
        <v>8654.9786196447658</v>
      </c>
      <c r="K142" s="94">
        <f t="shared" si="16"/>
        <v>9059.8207590841266</v>
      </c>
      <c r="L142" s="94">
        <f t="shared" si="16"/>
        <v>9318.892539323755</v>
      </c>
      <c r="M142" s="94">
        <f t="shared" si="16"/>
        <v>9900.3845362477732</v>
      </c>
      <c r="N142" s="94">
        <f t="shared" si="16"/>
        <v>10942.059543218493</v>
      </c>
      <c r="O142" s="94">
        <f t="shared" si="16"/>
        <v>11935.533423368192</v>
      </c>
      <c r="P142" s="94">
        <f t="shared" si="16"/>
        <v>12878.930269907663</v>
      </c>
      <c r="Q142" s="94">
        <f t="shared" si="16"/>
        <v>13828.248377741118</v>
      </c>
      <c r="R142" s="94">
        <f t="shared" si="16"/>
        <v>14771.332136298011</v>
      </c>
      <c r="S142" s="94">
        <f t="shared" si="16"/>
        <v>15695.094535868686</v>
      </c>
    </row>
    <row r="143" spans="2:19" ht="18" customHeight="1">
      <c r="B143" s="73" t="s">
        <v>358</v>
      </c>
      <c r="C143" s="56" t="s">
        <v>311</v>
      </c>
      <c r="D143" s="57"/>
      <c r="E143" s="95">
        <f t="shared" ref="E143:S143" si="17">E141-E142</f>
        <v>13429.625</v>
      </c>
      <c r="F143" s="95">
        <f t="shared" si="17"/>
        <v>15590.696000000002</v>
      </c>
      <c r="G143" s="95">
        <f t="shared" si="17"/>
        <v>16258.574999999999</v>
      </c>
      <c r="H143" s="95">
        <f t="shared" si="17"/>
        <v>17409.173999999999</v>
      </c>
      <c r="I143" s="95">
        <f t="shared" si="17"/>
        <v>19129.086000000003</v>
      </c>
      <c r="J143" s="96">
        <f t="shared" si="17"/>
        <v>21126.925887243429</v>
      </c>
      <c r="K143" s="96">
        <f t="shared" si="17"/>
        <v>24772.626990601471</v>
      </c>
      <c r="L143" s="96">
        <f t="shared" si="17"/>
        <v>28566.441552779335</v>
      </c>
      <c r="M143" s="96">
        <f t="shared" si="17"/>
        <v>31940.867770374884</v>
      </c>
      <c r="N143" s="96">
        <f t="shared" si="17"/>
        <v>35120.609300581607</v>
      </c>
      <c r="O143" s="96">
        <f t="shared" si="17"/>
        <v>38435.981790433434</v>
      </c>
      <c r="P143" s="96">
        <f t="shared" si="17"/>
        <v>41880.136676087073</v>
      </c>
      <c r="Q143" s="96">
        <f t="shared" si="17"/>
        <v>45345.908913006737</v>
      </c>
      <c r="R143" s="96">
        <f t="shared" si="17"/>
        <v>48788.920776496598</v>
      </c>
      <c r="S143" s="96">
        <f t="shared" si="17"/>
        <v>52161.394188226783</v>
      </c>
    </row>
    <row r="144" spans="2:19" ht="18" customHeight="1">
      <c r="B144" s="56" t="s">
        <v>359</v>
      </c>
      <c r="C144" s="56" t="s">
        <v>311</v>
      </c>
      <c r="D144" s="57" t="s">
        <v>360</v>
      </c>
      <c r="E144" s="62">
        <v>3012.2460000000001</v>
      </c>
      <c r="F144" s="62">
        <v>3701.1109999999999</v>
      </c>
      <c r="G144" s="62">
        <v>4204.4660000000003</v>
      </c>
      <c r="H144" s="62">
        <v>5556.4790000000003</v>
      </c>
      <c r="I144" s="62">
        <v>6936.5959999999995</v>
      </c>
      <c r="J144" s="94">
        <f t="shared" ref="J144:S144" si="18">I144*(1+J91)</f>
        <v>8670.744999999999</v>
      </c>
      <c r="K144" s="94">
        <f t="shared" si="18"/>
        <v>9971.3567499999972</v>
      </c>
      <c r="L144" s="94">
        <f t="shared" si="18"/>
        <v>11167.919559999998</v>
      </c>
      <c r="M144" s="94">
        <f t="shared" si="18"/>
        <v>12284.711515999999</v>
      </c>
      <c r="N144" s="94">
        <f t="shared" si="18"/>
        <v>13513.1826676</v>
      </c>
      <c r="O144" s="94">
        <f t="shared" si="18"/>
        <v>14783.421838354401</v>
      </c>
      <c r="P144" s="94">
        <f t="shared" si="18"/>
        <v>16084.362960129589</v>
      </c>
      <c r="Q144" s="94">
        <f t="shared" si="18"/>
        <v>17403.280722860218</v>
      </c>
      <c r="R144" s="94">
        <f t="shared" si="18"/>
        <v>18725.930057797596</v>
      </c>
      <c r="S144" s="94">
        <f t="shared" si="18"/>
        <v>20036.745161843428</v>
      </c>
    </row>
    <row r="145" spans="2:19" ht="22.5" customHeight="1">
      <c r="B145" s="35" t="s">
        <v>361</v>
      </c>
      <c r="C145" s="35" t="s">
        <v>311</v>
      </c>
      <c r="D145" s="54" t="s">
        <v>362</v>
      </c>
      <c r="E145" s="97">
        <f t="shared" ref="E145:S145" si="19">E143+E144</f>
        <v>16441.870999999999</v>
      </c>
      <c r="F145" s="97">
        <f t="shared" si="19"/>
        <v>19291.807000000001</v>
      </c>
      <c r="G145" s="97">
        <f t="shared" si="19"/>
        <v>20463.040999999997</v>
      </c>
      <c r="H145" s="97">
        <f t="shared" si="19"/>
        <v>22965.652999999998</v>
      </c>
      <c r="I145" s="97">
        <f t="shared" si="19"/>
        <v>26065.682000000001</v>
      </c>
      <c r="J145" s="97">
        <f t="shared" si="19"/>
        <v>29797.670887243428</v>
      </c>
      <c r="K145" s="97">
        <f t="shared" si="19"/>
        <v>34743.98374060147</v>
      </c>
      <c r="L145" s="97">
        <f t="shared" si="19"/>
        <v>39734.361112779334</v>
      </c>
      <c r="M145" s="97">
        <f t="shared" si="19"/>
        <v>44225.579286374879</v>
      </c>
      <c r="N145" s="97">
        <f t="shared" si="19"/>
        <v>48633.791968181606</v>
      </c>
      <c r="O145" s="97">
        <f t="shared" si="19"/>
        <v>53219.403628787833</v>
      </c>
      <c r="P145" s="97">
        <f t="shared" si="19"/>
        <v>57964.499636216664</v>
      </c>
      <c r="Q145" s="97">
        <f t="shared" si="19"/>
        <v>62749.189635866955</v>
      </c>
      <c r="R145" s="97">
        <f t="shared" si="19"/>
        <v>67514.850834294193</v>
      </c>
      <c r="S145" s="97">
        <f t="shared" si="19"/>
        <v>72198.139350070211</v>
      </c>
    </row>
    <row r="146" spans="2:19" ht="22.5" customHeight="1">
      <c r="B146" s="35" t="s">
        <v>363</v>
      </c>
      <c r="C146" s="35" t="s">
        <v>311</v>
      </c>
      <c r="D146" s="54" t="s">
        <v>364</v>
      </c>
      <c r="E146" s="88">
        <v>4400</v>
      </c>
      <c r="F146" s="88">
        <v>4847</v>
      </c>
      <c r="G146" s="88">
        <v>4944</v>
      </c>
      <c r="H146" s="88">
        <v>5141</v>
      </c>
      <c r="I146" s="88">
        <v>5380</v>
      </c>
      <c r="J146" s="88">
        <f t="shared" ref="J146:S146" si="20">J158*J149</f>
        <v>6377.0217237208553</v>
      </c>
      <c r="K146" s="88">
        <f t="shared" si="20"/>
        <v>7094.503900505234</v>
      </c>
      <c r="L146" s="88">
        <f t="shared" si="20"/>
        <v>8035.4932111697026</v>
      </c>
      <c r="M146" s="88">
        <f t="shared" si="20"/>
        <v>8856.9212119861349</v>
      </c>
      <c r="N146" s="88">
        <f t="shared" si="20"/>
        <v>9644.2528030548328</v>
      </c>
      <c r="O146" s="88">
        <f t="shared" si="20"/>
        <v>10553.595799390723</v>
      </c>
      <c r="P146" s="88">
        <f t="shared" si="20"/>
        <v>11494.565105266562</v>
      </c>
      <c r="Q146" s="88">
        <f t="shared" si="20"/>
        <v>12443.386039712012</v>
      </c>
      <c r="R146" s="88">
        <f t="shared" si="20"/>
        <v>13388.433495633431</v>
      </c>
      <c r="S146" s="88">
        <f t="shared" si="20"/>
        <v>14317.146157507246</v>
      </c>
    </row>
    <row r="147" spans="2:19" ht="22.5" customHeight="1">
      <c r="B147" s="35" t="s">
        <v>365</v>
      </c>
      <c r="C147" s="35" t="s">
        <v>311</v>
      </c>
      <c r="D147" s="54" t="s">
        <v>366</v>
      </c>
      <c r="E147" s="88">
        <f>8782.773-E146-E148</f>
        <v>3982.7729999999992</v>
      </c>
      <c r="F147" s="88">
        <f>9895.336-F146-F148</f>
        <v>4531.3359999999993</v>
      </c>
      <c r="G147" s="88">
        <f>10249.204-G146-G148</f>
        <v>4599.2039999999997</v>
      </c>
      <c r="H147" s="88">
        <f>11793.642-H146-H148</f>
        <v>5708.6419999999998</v>
      </c>
      <c r="I147" s="88">
        <f>13700.714-I146-I148</f>
        <v>7196.7139999999999</v>
      </c>
      <c r="J147" s="88">
        <f t="shared" ref="J147:S147" si="21">J149-J146-J148</f>
        <v>8577.7787063024407</v>
      </c>
      <c r="K147" s="88">
        <f t="shared" si="21"/>
        <v>9474.1433616428239</v>
      </c>
      <c r="L147" s="88">
        <f t="shared" si="21"/>
        <v>10714.284256661575</v>
      </c>
      <c r="M147" s="88">
        <f t="shared" si="21"/>
        <v>11791.036156394877</v>
      </c>
      <c r="N147" s="88">
        <f t="shared" si="21"/>
        <v>12818.633859785436</v>
      </c>
      <c r="O147" s="88">
        <f t="shared" si="21"/>
        <v>14027.284769402586</v>
      </c>
      <c r="P147" s="88">
        <f t="shared" si="21"/>
        <v>15277.971707171182</v>
      </c>
      <c r="Q147" s="88">
        <f t="shared" si="21"/>
        <v>16539.094616900711</v>
      </c>
      <c r="R147" s="88">
        <f t="shared" si="21"/>
        <v>17795.202017335218</v>
      </c>
      <c r="S147" s="88">
        <f t="shared" si="21"/>
        <v>19029.598068187002</v>
      </c>
    </row>
    <row r="148" spans="2:19" ht="18" customHeight="1">
      <c r="B148" s="56" t="s">
        <v>367</v>
      </c>
      <c r="C148" s="56" t="s">
        <v>311</v>
      </c>
      <c r="D148" s="57"/>
      <c r="E148" s="98">
        <v>400</v>
      </c>
      <c r="F148" s="62">
        <v>517</v>
      </c>
      <c r="G148" s="62">
        <v>706</v>
      </c>
      <c r="H148" s="62">
        <v>944</v>
      </c>
      <c r="I148" s="62">
        <v>1124</v>
      </c>
      <c r="J148" s="94">
        <f t="shared" ref="J148:S148" si="22">J159*J145</f>
        <v>1284.9302035243741</v>
      </c>
      <c r="K148" s="94">
        <f t="shared" si="22"/>
        <v>1498.2242829647064</v>
      </c>
      <c r="L148" s="94">
        <f t="shared" si="22"/>
        <v>1713.418505250082</v>
      </c>
      <c r="M148" s="94">
        <f t="shared" si="22"/>
        <v>1907.0880676701788</v>
      </c>
      <c r="N148" s="94">
        <f t="shared" si="22"/>
        <v>2097.1782810914415</v>
      </c>
      <c r="O148" s="94">
        <f t="shared" si="22"/>
        <v>2294.9182637445483</v>
      </c>
      <c r="P148" s="94">
        <f t="shared" si="22"/>
        <v>2499.5355038516745</v>
      </c>
      <c r="Q148" s="94">
        <f t="shared" si="22"/>
        <v>2705.8601095000872</v>
      </c>
      <c r="R148" s="94">
        <f t="shared" si="22"/>
        <v>2911.3641583499207</v>
      </c>
      <c r="S148" s="94">
        <f t="shared" si="22"/>
        <v>3113.3161460912061</v>
      </c>
    </row>
    <row r="149" spans="2:19" ht="18" customHeight="1">
      <c r="B149" s="73" t="s">
        <v>368</v>
      </c>
      <c r="C149" s="56" t="s">
        <v>311</v>
      </c>
      <c r="D149" s="57"/>
      <c r="E149" s="95">
        <f>E146+E147+E148</f>
        <v>8782.7729999999992</v>
      </c>
      <c r="F149" s="95">
        <f>F146+F147+F148</f>
        <v>9895.3359999999993</v>
      </c>
      <c r="G149" s="95">
        <f>G146+G147+G148</f>
        <v>10249.204</v>
      </c>
      <c r="H149" s="95">
        <f>H146+H147+H148</f>
        <v>11793.642</v>
      </c>
      <c r="I149" s="95">
        <f>I146+I147+I148</f>
        <v>13700.714</v>
      </c>
      <c r="J149" s="96">
        <f t="shared" ref="J149:S149" si="23">J95*J145</f>
        <v>16239.73063354767</v>
      </c>
      <c r="K149" s="96">
        <f t="shared" si="23"/>
        <v>18066.871545112765</v>
      </c>
      <c r="L149" s="96">
        <f t="shared" si="23"/>
        <v>20463.195973081358</v>
      </c>
      <c r="M149" s="96">
        <f t="shared" si="23"/>
        <v>22555.04543605119</v>
      </c>
      <c r="N149" s="96">
        <f t="shared" si="23"/>
        <v>24560.064943931709</v>
      </c>
      <c r="O149" s="96">
        <f t="shared" si="23"/>
        <v>26875.798832537857</v>
      </c>
      <c r="P149" s="96">
        <f t="shared" si="23"/>
        <v>29272.072316289417</v>
      </c>
      <c r="Q149" s="96">
        <f t="shared" si="23"/>
        <v>31688.340766112811</v>
      </c>
      <c r="R149" s="96">
        <f t="shared" si="23"/>
        <v>34094.999671318568</v>
      </c>
      <c r="S149" s="96">
        <f t="shared" si="23"/>
        <v>36460.060371785454</v>
      </c>
    </row>
    <row r="150" spans="2:19" ht="18" customHeight="1">
      <c r="B150" s="73" t="s">
        <v>369</v>
      </c>
      <c r="C150" s="56" t="s">
        <v>311</v>
      </c>
      <c r="D150" s="57"/>
      <c r="E150" s="99">
        <f t="shared" ref="E150:S150" si="24">E145-E149</f>
        <v>7659.098</v>
      </c>
      <c r="F150" s="99">
        <f t="shared" si="24"/>
        <v>9396.4710000000014</v>
      </c>
      <c r="G150" s="99">
        <f t="shared" si="24"/>
        <v>10213.836999999998</v>
      </c>
      <c r="H150" s="99">
        <f t="shared" si="24"/>
        <v>11172.010999999999</v>
      </c>
      <c r="I150" s="99">
        <f t="shared" si="24"/>
        <v>12364.968000000001</v>
      </c>
      <c r="J150" s="100">
        <f t="shared" si="24"/>
        <v>13557.940253695759</v>
      </c>
      <c r="K150" s="100">
        <f t="shared" si="24"/>
        <v>16677.112195488706</v>
      </c>
      <c r="L150" s="100">
        <f t="shared" si="24"/>
        <v>19271.165139697976</v>
      </c>
      <c r="M150" s="100">
        <f t="shared" si="24"/>
        <v>21670.533850323689</v>
      </c>
      <c r="N150" s="100">
        <f t="shared" si="24"/>
        <v>24073.727024249896</v>
      </c>
      <c r="O150" s="100">
        <f t="shared" si="24"/>
        <v>26343.604796249976</v>
      </c>
      <c r="P150" s="100">
        <f t="shared" si="24"/>
        <v>28692.427319927247</v>
      </c>
      <c r="Q150" s="100">
        <f t="shared" si="24"/>
        <v>31060.848869754143</v>
      </c>
      <c r="R150" s="100">
        <f t="shared" si="24"/>
        <v>33419.851162975625</v>
      </c>
      <c r="S150" s="100">
        <f t="shared" si="24"/>
        <v>35738.078978284757</v>
      </c>
    </row>
    <row r="151" spans="2:19" ht="18" customHeight="1">
      <c r="B151" s="56" t="s">
        <v>370</v>
      </c>
      <c r="C151" s="56" t="s">
        <v>311</v>
      </c>
      <c r="D151" s="57" t="s">
        <v>371</v>
      </c>
      <c r="E151" s="62">
        <v>3551.2489999999998</v>
      </c>
      <c r="F151" s="62">
        <v>3748.797</v>
      </c>
      <c r="G151" s="62">
        <v>2622.4789999999998</v>
      </c>
      <c r="H151" s="62">
        <v>1893.867</v>
      </c>
      <c r="I151" s="62">
        <v>2356.951</v>
      </c>
      <c r="J151" s="94">
        <f t="shared" ref="J151:S151" si="25">J99*J214</f>
        <v>2392.3887400000003</v>
      </c>
      <c r="K151" s="94">
        <f t="shared" si="25"/>
        <v>2912.2046077499999</v>
      </c>
      <c r="L151" s="94">
        <f t="shared" si="25"/>
        <v>3267.4523352449996</v>
      </c>
      <c r="M151" s="94">
        <f t="shared" si="25"/>
        <v>3629.7885093433506</v>
      </c>
      <c r="N151" s="94">
        <f t="shared" si="25"/>
        <v>4001.1077436496157</v>
      </c>
      <c r="O151" s="94">
        <f t="shared" si="25"/>
        <v>4380.1173772078519</v>
      </c>
      <c r="P151" s="94">
        <f t="shared" si="25"/>
        <v>4766.0499984806138</v>
      </c>
      <c r="Q151" s="94">
        <f t="shared" si="25"/>
        <v>5154.404938527081</v>
      </c>
      <c r="R151" s="94">
        <f t="shared" si="25"/>
        <v>5540.2094791662803</v>
      </c>
      <c r="S151" s="94">
        <f t="shared" si="25"/>
        <v>5918.1098777178149</v>
      </c>
    </row>
    <row r="152" spans="2:19" ht="18" customHeight="1">
      <c r="B152" s="56" t="s">
        <v>372</v>
      </c>
      <c r="C152" s="56" t="s">
        <v>311</v>
      </c>
      <c r="D152" s="57"/>
      <c r="E152" s="101">
        <f t="shared" ref="E152:S152" si="26">E150-E151</f>
        <v>4107.8490000000002</v>
      </c>
      <c r="F152" s="101">
        <f t="shared" si="26"/>
        <v>5647.6740000000009</v>
      </c>
      <c r="G152" s="101">
        <f t="shared" si="26"/>
        <v>7591.3579999999984</v>
      </c>
      <c r="H152" s="101">
        <f t="shared" si="26"/>
        <v>9278.1439999999984</v>
      </c>
      <c r="I152" s="101">
        <f t="shared" si="26"/>
        <v>10008.017</v>
      </c>
      <c r="J152" s="94">
        <f t="shared" si="26"/>
        <v>11165.551513695758</v>
      </c>
      <c r="K152" s="94">
        <f t="shared" si="26"/>
        <v>13764.907587738706</v>
      </c>
      <c r="L152" s="94">
        <f t="shared" si="26"/>
        <v>16003.712804452976</v>
      </c>
      <c r="M152" s="94">
        <f t="shared" si="26"/>
        <v>18040.745340980338</v>
      </c>
      <c r="N152" s="94">
        <f t="shared" si="26"/>
        <v>20072.61928060028</v>
      </c>
      <c r="O152" s="94">
        <f t="shared" si="26"/>
        <v>21963.487419042125</v>
      </c>
      <c r="P152" s="94">
        <f t="shared" si="26"/>
        <v>23926.377321446635</v>
      </c>
      <c r="Q152" s="94">
        <f t="shared" si="26"/>
        <v>25906.443931227062</v>
      </c>
      <c r="R152" s="94">
        <f t="shared" si="26"/>
        <v>27879.641683809343</v>
      </c>
      <c r="S152" s="94">
        <f t="shared" si="26"/>
        <v>29819.969100566941</v>
      </c>
    </row>
    <row r="153" spans="2:19" ht="18" customHeight="1">
      <c r="B153" s="56" t="s">
        <v>373</v>
      </c>
      <c r="C153" s="56" t="s">
        <v>311</v>
      </c>
      <c r="D153" s="57"/>
      <c r="E153" s="101">
        <f>E152-E154</f>
        <v>1079.6440000000002</v>
      </c>
      <c r="F153" s="101">
        <f>F152-F154</f>
        <v>1387.6740000000009</v>
      </c>
      <c r="G153" s="101">
        <f>G152-G154</f>
        <v>1887.614999999998</v>
      </c>
      <c r="H153" s="101">
        <f>H152-H154</f>
        <v>2272.2559999999985</v>
      </c>
      <c r="I153" s="101">
        <f>I152-I154</f>
        <v>2440.4939999999997</v>
      </c>
      <c r="J153" s="94">
        <f t="shared" ref="J153:S153" si="27">J155*J152</f>
        <v>2744.2646895637067</v>
      </c>
      <c r="K153" s="94">
        <f t="shared" si="27"/>
        <v>3383.1333635247929</v>
      </c>
      <c r="L153" s="94">
        <f t="shared" si="27"/>
        <v>3933.3859950677906</v>
      </c>
      <c r="M153" s="94">
        <f t="shared" si="27"/>
        <v>4434.047019704818</v>
      </c>
      <c r="N153" s="94">
        <f t="shared" si="27"/>
        <v>4933.4401665013856</v>
      </c>
      <c r="O153" s="94">
        <f t="shared" si="27"/>
        <v>5398.1769650896231</v>
      </c>
      <c r="P153" s="94">
        <f t="shared" si="27"/>
        <v>5880.6152434014903</v>
      </c>
      <c r="Q153" s="94">
        <f t="shared" si="27"/>
        <v>6367.2752058349961</v>
      </c>
      <c r="R153" s="94">
        <f t="shared" si="27"/>
        <v>6852.2469433524811</v>
      </c>
      <c r="S153" s="94">
        <f t="shared" si="27"/>
        <v>7329.1398231595222</v>
      </c>
    </row>
    <row r="154" spans="2:19" ht="18" customHeight="1">
      <c r="B154" s="73" t="s">
        <v>374</v>
      </c>
      <c r="C154" s="56" t="s">
        <v>311</v>
      </c>
      <c r="D154" s="57"/>
      <c r="E154" s="102">
        <v>3028.2049999999999</v>
      </c>
      <c r="F154" s="102">
        <v>4260</v>
      </c>
      <c r="G154" s="102">
        <v>5703.7430000000004</v>
      </c>
      <c r="H154" s="102">
        <v>7005.8879999999999</v>
      </c>
      <c r="I154" s="102">
        <v>7567.5230000000001</v>
      </c>
      <c r="J154" s="96">
        <f t="shared" ref="J154:S154" si="28">J152-J153</f>
        <v>8421.2868241320521</v>
      </c>
      <c r="K154" s="96">
        <f t="shared" si="28"/>
        <v>10381.774224213914</v>
      </c>
      <c r="L154" s="96">
        <f t="shared" si="28"/>
        <v>12070.326809385186</v>
      </c>
      <c r="M154" s="96">
        <f t="shared" si="28"/>
        <v>13606.69832127552</v>
      </c>
      <c r="N154" s="96">
        <f t="shared" si="28"/>
        <v>15139.179114098893</v>
      </c>
      <c r="O154" s="96">
        <f t="shared" si="28"/>
        <v>16565.310453952501</v>
      </c>
      <c r="P154" s="96">
        <f t="shared" si="28"/>
        <v>18045.762078045143</v>
      </c>
      <c r="Q154" s="96">
        <f t="shared" si="28"/>
        <v>19539.168725392068</v>
      </c>
      <c r="R154" s="96">
        <f t="shared" si="28"/>
        <v>21027.394740456861</v>
      </c>
      <c r="S154" s="96">
        <f t="shared" si="28"/>
        <v>22490.829277407418</v>
      </c>
    </row>
    <row r="155" spans="2:19" ht="22.5" customHeight="1">
      <c r="B155" s="35" t="s">
        <v>375</v>
      </c>
      <c r="C155" s="35" t="s">
        <v>168</v>
      </c>
      <c r="D155" s="54" t="s">
        <v>376</v>
      </c>
      <c r="E155" s="59">
        <f>E153/E152</f>
        <v>0.26282465592089682</v>
      </c>
      <c r="F155" s="59">
        <f>F153/F152</f>
        <v>0.24570717077508381</v>
      </c>
      <c r="G155" s="59">
        <f>G153/G152</f>
        <v>0.24865313953050275</v>
      </c>
      <c r="H155" s="59">
        <f>H153/H152</f>
        <v>0.24490415324444187</v>
      </c>
      <c r="I155" s="59">
        <f>I153/I152</f>
        <v>0.24385390232650481</v>
      </c>
      <c r="J155" s="59">
        <f>AVERAGE($F$155:$I$155)</f>
        <v>0.24577959146913333</v>
      </c>
      <c r="K155" s="59">
        <f t="shared" ref="K155:S155" si="29">J155</f>
        <v>0.24577959146913333</v>
      </c>
      <c r="L155" s="59">
        <f t="shared" si="29"/>
        <v>0.24577959146913333</v>
      </c>
      <c r="M155" s="59">
        <f t="shared" si="29"/>
        <v>0.24577959146913333</v>
      </c>
      <c r="N155" s="59">
        <f t="shared" si="29"/>
        <v>0.24577959146913333</v>
      </c>
      <c r="O155" s="59">
        <f t="shared" si="29"/>
        <v>0.24577959146913333</v>
      </c>
      <c r="P155" s="59">
        <f t="shared" si="29"/>
        <v>0.24577959146913333</v>
      </c>
      <c r="Q155" s="59">
        <f t="shared" si="29"/>
        <v>0.24577959146913333</v>
      </c>
      <c r="R155" s="59">
        <f t="shared" si="29"/>
        <v>0.24577959146913333</v>
      </c>
      <c r="S155" s="59">
        <f t="shared" si="29"/>
        <v>0.24577959146913333</v>
      </c>
    </row>
    <row r="156" spans="2:19" ht="22.5" customHeight="1">
      <c r="B156" s="35" t="s">
        <v>377</v>
      </c>
      <c r="C156" s="35" t="s">
        <v>168</v>
      </c>
      <c r="D156" s="54"/>
      <c r="E156" s="35"/>
      <c r="F156" s="59">
        <f t="shared" ref="F156:S156" si="30">F154/E154-1</f>
        <v>0.40677397996502873</v>
      </c>
      <c r="G156" s="59">
        <f t="shared" si="30"/>
        <v>0.33890680751173718</v>
      </c>
      <c r="H156" s="59">
        <f t="shared" si="30"/>
        <v>0.22829657647618395</v>
      </c>
      <c r="I156" s="59">
        <f t="shared" si="30"/>
        <v>8.01661402523135E-2</v>
      </c>
      <c r="J156" s="59">
        <f t="shared" si="30"/>
        <v>0.11281945547202854</v>
      </c>
      <c r="K156" s="59">
        <f t="shared" si="30"/>
        <v>0.23280140446753173</v>
      </c>
      <c r="L156" s="59">
        <f t="shared" si="30"/>
        <v>0.16264585885840011</v>
      </c>
      <c r="M156" s="59">
        <f t="shared" si="30"/>
        <v>0.12728499701397822</v>
      </c>
      <c r="N156" s="59">
        <f t="shared" si="30"/>
        <v>0.11262693980854821</v>
      </c>
      <c r="O156" s="59">
        <f t="shared" si="30"/>
        <v>9.4201365153641081E-2</v>
      </c>
      <c r="P156" s="59">
        <f t="shared" si="30"/>
        <v>8.9370593337682047E-2</v>
      </c>
      <c r="Q156" s="59">
        <f t="shared" si="30"/>
        <v>8.2756640638847578E-2</v>
      </c>
      <c r="R156" s="59">
        <f t="shared" si="30"/>
        <v>7.6166291206174686E-2</v>
      </c>
      <c r="S156" s="59">
        <f t="shared" si="30"/>
        <v>6.9596569380746764E-2</v>
      </c>
    </row>
    <row r="157" spans="2:19" ht="18" customHeight="1">
      <c r="B157" s="56" t="s">
        <v>378</v>
      </c>
      <c r="C157" s="56" t="s">
        <v>168</v>
      </c>
      <c r="D157" s="57"/>
      <c r="F157" s="70">
        <f t="shared" ref="F157:S157" si="31">F145/E145-1</f>
        <v>0.17333404452571122</v>
      </c>
      <c r="G157" s="70">
        <f t="shared" si="31"/>
        <v>6.0711471973568631E-2</v>
      </c>
      <c r="H157" s="70">
        <f t="shared" si="31"/>
        <v>0.12229912455338399</v>
      </c>
      <c r="I157" s="70">
        <f t="shared" si="31"/>
        <v>0.13498544979321947</v>
      </c>
      <c r="J157" s="103">
        <f t="shared" si="31"/>
        <v>0.14317633765513693</v>
      </c>
      <c r="K157" s="103">
        <f t="shared" si="31"/>
        <v>0.16599662678587368</v>
      </c>
      <c r="L157" s="103">
        <f t="shared" si="31"/>
        <v>0.14363284905484686</v>
      </c>
      <c r="M157" s="103">
        <f t="shared" si="31"/>
        <v>0.11303109066855188</v>
      </c>
      <c r="N157" s="103">
        <f t="shared" si="31"/>
        <v>9.9675634620004061E-2</v>
      </c>
      <c r="O157" s="103">
        <f t="shared" si="31"/>
        <v>9.428858978560295E-2</v>
      </c>
      <c r="P157" s="103">
        <f t="shared" si="31"/>
        <v>8.9161014289571572E-2</v>
      </c>
      <c r="Q157" s="103">
        <f t="shared" si="31"/>
        <v>8.2545179026453308E-2</v>
      </c>
      <c r="R157" s="103">
        <f t="shared" si="31"/>
        <v>7.5947772809216163E-2</v>
      </c>
      <c r="S157" s="103">
        <f t="shared" si="31"/>
        <v>6.9366790534285627E-2</v>
      </c>
    </row>
    <row r="158" spans="2:19" ht="18" customHeight="1">
      <c r="B158" s="56" t="s">
        <v>379</v>
      </c>
      <c r="C158" s="56" t="s">
        <v>168</v>
      </c>
      <c r="D158" s="57"/>
      <c r="E158" s="70">
        <f>E146/E149</f>
        <v>0.50098072670214755</v>
      </c>
      <c r="F158" s="70">
        <f>F146/F149</f>
        <v>0.48982672240740488</v>
      </c>
      <c r="G158" s="70">
        <f>G146/G149</f>
        <v>0.48237892425597151</v>
      </c>
      <c r="H158" s="70">
        <f>H146/H149</f>
        <v>0.43591284185156715</v>
      </c>
      <c r="I158" s="70">
        <f>I146/I149</f>
        <v>0.39268026469277439</v>
      </c>
      <c r="J158" s="103">
        <f t="shared" ref="J158:S158" si="32">I158</f>
        <v>0.39268026469277439</v>
      </c>
      <c r="K158" s="103">
        <f t="shared" si="32"/>
        <v>0.39268026469277439</v>
      </c>
      <c r="L158" s="103">
        <f t="shared" si="32"/>
        <v>0.39268026469277439</v>
      </c>
      <c r="M158" s="103">
        <f t="shared" si="32"/>
        <v>0.39268026469277439</v>
      </c>
      <c r="N158" s="103">
        <f t="shared" si="32"/>
        <v>0.39268026469277439</v>
      </c>
      <c r="O158" s="103">
        <f t="shared" si="32"/>
        <v>0.39268026469277439</v>
      </c>
      <c r="P158" s="103">
        <f t="shared" si="32"/>
        <v>0.39268026469277439</v>
      </c>
      <c r="Q158" s="103">
        <f t="shared" si="32"/>
        <v>0.39268026469277439</v>
      </c>
      <c r="R158" s="103">
        <f t="shared" si="32"/>
        <v>0.39268026469277439</v>
      </c>
      <c r="S158" s="103">
        <f t="shared" si="32"/>
        <v>0.39268026469277439</v>
      </c>
    </row>
    <row r="159" spans="2:19" ht="18" customHeight="1">
      <c r="B159" s="56" t="s">
        <v>380</v>
      </c>
      <c r="C159" s="56" t="s">
        <v>168</v>
      </c>
      <c r="D159" s="57"/>
      <c r="E159" s="69">
        <f>E148/E145</f>
        <v>2.432813151252677E-2</v>
      </c>
      <c r="F159" s="69">
        <f>F148/F145</f>
        <v>2.6798941125629132E-2</v>
      </c>
      <c r="G159" s="69">
        <f>G148/G145</f>
        <v>3.4501225893062523E-2</v>
      </c>
      <c r="H159" s="69">
        <f>H148/H145</f>
        <v>4.1104862117354125E-2</v>
      </c>
      <c r="I159" s="69">
        <f>I148/I145</f>
        <v>4.3121833528084935E-2</v>
      </c>
      <c r="J159" s="104">
        <f t="shared" ref="J159:S159" si="33">I159</f>
        <v>4.3121833528084935E-2</v>
      </c>
      <c r="K159" s="104">
        <f t="shared" si="33"/>
        <v>4.3121833528084935E-2</v>
      </c>
      <c r="L159" s="104">
        <f t="shared" si="33"/>
        <v>4.3121833528084935E-2</v>
      </c>
      <c r="M159" s="104">
        <f t="shared" si="33"/>
        <v>4.3121833528084935E-2</v>
      </c>
      <c r="N159" s="104">
        <f t="shared" si="33"/>
        <v>4.3121833528084935E-2</v>
      </c>
      <c r="O159" s="104">
        <f t="shared" si="33"/>
        <v>4.3121833528084935E-2</v>
      </c>
      <c r="P159" s="104">
        <f t="shared" si="33"/>
        <v>4.3121833528084935E-2</v>
      </c>
      <c r="Q159" s="104">
        <f t="shared" si="33"/>
        <v>4.3121833528084935E-2</v>
      </c>
      <c r="R159" s="104">
        <f t="shared" si="33"/>
        <v>4.3121833528084935E-2</v>
      </c>
      <c r="S159" s="104">
        <f t="shared" si="33"/>
        <v>4.3121833528084935E-2</v>
      </c>
    </row>
    <row r="160" spans="2:19" ht="22.5" customHeight="1">
      <c r="B160" s="35" t="s">
        <v>381</v>
      </c>
      <c r="C160" s="35" t="s">
        <v>168</v>
      </c>
      <c r="D160" s="54"/>
      <c r="E160" s="59">
        <f t="shared" ref="E160:S160" si="34">E144/E145</f>
        <v>0.18320579209020679</v>
      </c>
      <c r="F160" s="59">
        <f t="shared" si="34"/>
        <v>0.19184885065458096</v>
      </c>
      <c r="G160" s="59">
        <f t="shared" si="34"/>
        <v>0.20546633318087965</v>
      </c>
      <c r="H160" s="59">
        <f t="shared" si="34"/>
        <v>0.24194735503492981</v>
      </c>
      <c r="I160" s="59">
        <f t="shared" si="34"/>
        <v>0.26611987363307815</v>
      </c>
      <c r="J160" s="59">
        <f t="shared" si="34"/>
        <v>0.29098734034652352</v>
      </c>
      <c r="K160" s="59">
        <f t="shared" si="34"/>
        <v>0.28699520539861323</v>
      </c>
      <c r="L160" s="59">
        <f t="shared" si="34"/>
        <v>0.28106453072950455</v>
      </c>
      <c r="M160" s="59">
        <f t="shared" si="34"/>
        <v>0.27777389723835005</v>
      </c>
      <c r="N160" s="59">
        <f t="shared" si="34"/>
        <v>0.27785583070390496</v>
      </c>
      <c r="O160" s="59">
        <f t="shared" si="34"/>
        <v>0.2777825535489023</v>
      </c>
      <c r="P160" s="59">
        <f t="shared" si="34"/>
        <v>0.27748644534283112</v>
      </c>
      <c r="Q160" s="59">
        <f t="shared" si="34"/>
        <v>0.27734670079169654</v>
      </c>
      <c r="R160" s="59">
        <f t="shared" si="34"/>
        <v>0.27736016337735508</v>
      </c>
      <c r="S160" s="59">
        <f t="shared" si="34"/>
        <v>0.2775243980276334</v>
      </c>
    </row>
    <row r="161" spans="2:19" ht="18" customHeight="1">
      <c r="B161" s="56"/>
      <c r="C161" s="56"/>
      <c r="D161" s="57"/>
      <c r="E161" s="70"/>
      <c r="F161" s="70"/>
      <c r="G161" s="70"/>
      <c r="H161" s="70"/>
      <c r="I161" s="70"/>
      <c r="J161" s="103"/>
      <c r="K161" s="103"/>
      <c r="L161" s="103"/>
      <c r="M161" s="103"/>
      <c r="N161" s="103"/>
      <c r="O161" s="103"/>
      <c r="P161" s="103"/>
      <c r="Q161" s="103"/>
      <c r="R161" s="103"/>
      <c r="S161" s="103"/>
    </row>
    <row r="162" spans="2:19" ht="27" customHeight="1">
      <c r="B162" s="24" t="s">
        <v>382</v>
      </c>
      <c r="C162" s="24"/>
      <c r="D162" s="24"/>
      <c r="E162" s="44" t="s">
        <v>223</v>
      </c>
      <c r="F162" s="44" t="s">
        <v>224</v>
      </c>
      <c r="G162" s="44" t="s">
        <v>225</v>
      </c>
      <c r="H162" s="44" t="s">
        <v>226</v>
      </c>
      <c r="I162" s="44" t="s">
        <v>93</v>
      </c>
      <c r="J162" s="44" t="s">
        <v>94</v>
      </c>
      <c r="K162" s="44" t="s">
        <v>227</v>
      </c>
      <c r="L162" s="44" t="s">
        <v>95</v>
      </c>
      <c r="M162" s="44" t="s">
        <v>228</v>
      </c>
      <c r="N162" s="44" t="s">
        <v>96</v>
      </c>
      <c r="O162" s="44" t="s">
        <v>229</v>
      </c>
      <c r="P162" s="44" t="s">
        <v>230</v>
      </c>
      <c r="Q162" s="44" t="s">
        <v>231</v>
      </c>
      <c r="R162" s="44" t="s">
        <v>232</v>
      </c>
      <c r="S162" s="44" t="s">
        <v>97</v>
      </c>
    </row>
    <row r="163" spans="2:19" ht="18" customHeight="1">
      <c r="B163" s="56" t="s">
        <v>383</v>
      </c>
      <c r="C163" s="56" t="s">
        <v>311</v>
      </c>
      <c r="D163" s="57" t="s">
        <v>384</v>
      </c>
      <c r="E163" s="62">
        <v>26525</v>
      </c>
      <c r="F163" s="62">
        <v>39206</v>
      </c>
      <c r="G163" s="62">
        <v>40001</v>
      </c>
      <c r="H163" s="62">
        <v>61913</v>
      </c>
      <c r="I163" s="62">
        <v>64845</v>
      </c>
      <c r="J163" s="94">
        <f t="shared" ref="J163:S163" si="35">J202</f>
        <v>68145.471615446004</v>
      </c>
      <c r="K163" s="94">
        <f t="shared" si="35"/>
        <v>80573.850369994019</v>
      </c>
      <c r="L163" s="94">
        <f t="shared" si="35"/>
        <v>85532.17347535734</v>
      </c>
      <c r="M163" s="94">
        <f t="shared" si="35"/>
        <v>96977.652330004552</v>
      </c>
      <c r="N163" s="94">
        <f t="shared" si="35"/>
        <v>109040.41760245353</v>
      </c>
      <c r="O163" s="94">
        <f t="shared" si="35"/>
        <v>119970.29709506572</v>
      </c>
      <c r="P163" s="94">
        <f t="shared" si="35"/>
        <v>130204.23527573518</v>
      </c>
      <c r="Q163" s="94">
        <f t="shared" si="35"/>
        <v>139460.84296456</v>
      </c>
      <c r="R163" s="94">
        <f t="shared" si="35"/>
        <v>148423.06111520837</v>
      </c>
      <c r="S163" s="94">
        <f t="shared" si="35"/>
        <v>156935.94003962152</v>
      </c>
    </row>
    <row r="164" spans="2:19" ht="22.5" customHeight="1">
      <c r="B164" s="35" t="s">
        <v>385</v>
      </c>
      <c r="C164" s="35" t="s">
        <v>311</v>
      </c>
      <c r="D164" s="54" t="s">
        <v>386</v>
      </c>
      <c r="E164" s="88">
        <f>E169-E302-E163-E167-E168</f>
        <v>67734.526712810009</v>
      </c>
      <c r="F164" s="88">
        <f>F169-F302-F163-F167-F168</f>
        <v>58323.41106816</v>
      </c>
      <c r="G164" s="88">
        <f>G169-G302-G163-G167-G168</f>
        <v>71621.726236799994</v>
      </c>
      <c r="H164" s="88">
        <f>H169-H302-H163-H167-H168</f>
        <v>62426.250163900026</v>
      </c>
      <c r="I164" s="88">
        <f>I169-I302-I163-I167-I168</f>
        <v>60369.830632320023</v>
      </c>
      <c r="J164" s="88">
        <f t="shared" ref="J164:S164" si="36">J180*J222</f>
        <v>68075.289551218564</v>
      </c>
      <c r="K164" s="88">
        <f t="shared" si="36"/>
        <v>75991.151708454185</v>
      </c>
      <c r="L164" s="88">
        <f t="shared" si="36"/>
        <v>83786.954746999807</v>
      </c>
      <c r="M164" s="88">
        <f t="shared" si="36"/>
        <v>92739.034038977101</v>
      </c>
      <c r="N164" s="88">
        <f t="shared" si="36"/>
        <v>101845.16800720524</v>
      </c>
      <c r="O164" s="88">
        <f t="shared" si="36"/>
        <v>111171.25127451566</v>
      </c>
      <c r="P164" s="88">
        <f t="shared" si="36"/>
        <v>120614.06801324523</v>
      </c>
      <c r="Q164" s="88">
        <f t="shared" si="36"/>
        <v>130057.95489792411</v>
      </c>
      <c r="R164" s="88">
        <f t="shared" si="36"/>
        <v>139376.73912731928</v>
      </c>
      <c r="S164" s="88">
        <f t="shared" si="36"/>
        <v>148436.22717059503</v>
      </c>
    </row>
    <row r="165" spans="2:19" ht="22.5" customHeight="1">
      <c r="B165" s="35" t="s">
        <v>387</v>
      </c>
      <c r="C165" s="35" t="s">
        <v>311</v>
      </c>
      <c r="D165" s="54"/>
      <c r="E165" s="88">
        <f t="shared" ref="E165:S165" si="37">E212</f>
        <v>171291</v>
      </c>
      <c r="F165" s="88">
        <f t="shared" si="37"/>
        <v>207704</v>
      </c>
      <c r="G165" s="88">
        <f t="shared" si="37"/>
        <v>240316</v>
      </c>
      <c r="H165" s="88">
        <f t="shared" si="37"/>
        <v>278481</v>
      </c>
      <c r="I165" s="88">
        <f t="shared" si="37"/>
        <v>318844</v>
      </c>
      <c r="J165" s="88">
        <f t="shared" si="37"/>
        <v>364695.64</v>
      </c>
      <c r="K165" s="88">
        <f t="shared" si="37"/>
        <v>411892.25539999997</v>
      </c>
      <c r="L165" s="88">
        <f t="shared" si="37"/>
        <v>459428.36733200005</v>
      </c>
      <c r="M165" s="88">
        <f t="shared" si="37"/>
        <v>508515.23515956011</v>
      </c>
      <c r="N165" s="88">
        <f t="shared" si="37"/>
        <v>558446.82981367095</v>
      </c>
      <c r="O165" s="88">
        <f t="shared" si="37"/>
        <v>609584.47077508958</v>
      </c>
      <c r="P165" s="88">
        <f t="shared" si="37"/>
        <v>661362.19548640749</v>
      </c>
      <c r="Q165" s="88">
        <f t="shared" si="37"/>
        <v>713145.78812081413</v>
      </c>
      <c r="R165" s="88">
        <f t="shared" si="37"/>
        <v>764243.40632352745</v>
      </c>
      <c r="S165" s="88">
        <f t="shared" si="37"/>
        <v>813919.22773455665</v>
      </c>
    </row>
    <row r="166" spans="2:19" ht="18" customHeight="1">
      <c r="B166" s="56" t="s">
        <v>388</v>
      </c>
      <c r="C166" s="56" t="s">
        <v>311</v>
      </c>
      <c r="D166" s="57"/>
      <c r="E166" s="101">
        <f t="shared" ref="E166:S166" si="38">-E298</f>
        <v>-7471.5267128099995</v>
      </c>
      <c r="F166" s="101">
        <f t="shared" si="38"/>
        <v>-9204.4110681599996</v>
      </c>
      <c r="G166" s="101">
        <f t="shared" si="38"/>
        <v>-9714.7262367999992</v>
      </c>
      <c r="H166" s="101">
        <f t="shared" si="38"/>
        <v>-10318.2501639</v>
      </c>
      <c r="I166" s="101">
        <f t="shared" si="38"/>
        <v>-11015.830632320001</v>
      </c>
      <c r="J166" s="94">
        <f t="shared" si="38"/>
        <v>-12819.051745999999</v>
      </c>
      <c r="K166" s="94">
        <f t="shared" si="38"/>
        <v>-14478.012777309998</v>
      </c>
      <c r="L166" s="94">
        <f t="shared" si="38"/>
        <v>-15712.450162754401</v>
      </c>
      <c r="M166" s="94">
        <f t="shared" si="38"/>
        <v>-17391.221042456953</v>
      </c>
      <c r="N166" s="94">
        <f t="shared" si="38"/>
        <v>-19098.881579627545</v>
      </c>
      <c r="O166" s="94">
        <f t="shared" si="38"/>
        <v>-20847.788900508061</v>
      </c>
      <c r="P166" s="94">
        <f t="shared" si="38"/>
        <v>-22618.587085635136</v>
      </c>
      <c r="Q166" s="94">
        <f t="shared" si="38"/>
        <v>-24389.585953731839</v>
      </c>
      <c r="R166" s="94">
        <f t="shared" si="38"/>
        <v>-26137.124496264634</v>
      </c>
      <c r="S166" s="94">
        <f t="shared" si="38"/>
        <v>-27836.037588521831</v>
      </c>
    </row>
    <row r="167" spans="2:19" ht="18" customHeight="1">
      <c r="B167" s="56" t="s">
        <v>389</v>
      </c>
      <c r="C167" s="56" t="s">
        <v>311</v>
      </c>
      <c r="D167" s="57" t="s">
        <v>390</v>
      </c>
      <c r="E167" s="62">
        <v>4056</v>
      </c>
      <c r="F167" s="62">
        <v>5655</v>
      </c>
      <c r="G167" s="62">
        <v>6481</v>
      </c>
      <c r="H167" s="62">
        <v>9826</v>
      </c>
      <c r="I167" s="62">
        <v>13857</v>
      </c>
      <c r="J167" s="94">
        <f t="shared" ref="J167:S167" si="39">J293</f>
        <v>13720.072769704078</v>
      </c>
      <c r="K167" s="94">
        <f t="shared" si="39"/>
        <v>13964.072784034382</v>
      </c>
      <c r="L167" s="94">
        <f t="shared" si="39"/>
        <v>14515.764295624289</v>
      </c>
      <c r="M167" s="94">
        <f t="shared" si="39"/>
        <v>15278.729946013165</v>
      </c>
      <c r="N167" s="94">
        <f t="shared" si="39"/>
        <v>16206.675398666364</v>
      </c>
      <c r="O167" s="94">
        <f t="shared" si="39"/>
        <v>17281.715239787321</v>
      </c>
      <c r="P167" s="94">
        <f t="shared" si="39"/>
        <v>18488.469612553508</v>
      </c>
      <c r="Q167" s="94">
        <f t="shared" si="39"/>
        <v>19806.190750788432</v>
      </c>
      <c r="R167" s="94">
        <f t="shared" si="39"/>
        <v>21214.217007189989</v>
      </c>
      <c r="S167" s="94">
        <f t="shared" si="39"/>
        <v>22691.56084003776</v>
      </c>
    </row>
    <row r="168" spans="2:19" ht="18" customHeight="1">
      <c r="B168" s="56" t="s">
        <v>391</v>
      </c>
      <c r="C168" s="56" t="s">
        <v>311</v>
      </c>
      <c r="D168" s="57" t="s">
        <v>392</v>
      </c>
      <c r="E168" s="62">
        <v>3154</v>
      </c>
      <c r="F168" s="62">
        <v>4043</v>
      </c>
      <c r="G168" s="62">
        <v>4919</v>
      </c>
      <c r="H168" s="62">
        <v>6285</v>
      </c>
      <c r="I168" s="62">
        <v>9293</v>
      </c>
      <c r="J168" s="94">
        <f t="shared" ref="J168:S168" si="40">J178*J145</f>
        <v>10623.537705829187</v>
      </c>
      <c r="K168" s="94">
        <f t="shared" si="40"/>
        <v>12387.009129529373</v>
      </c>
      <c r="L168" s="94">
        <f t="shared" si="40"/>
        <v>14166.190542072074</v>
      </c>
      <c r="M168" s="94">
        <f t="shared" si="40"/>
        <v>15767.410509661006</v>
      </c>
      <c r="N168" s="94">
        <f t="shared" si="40"/>
        <v>17339.037158525589</v>
      </c>
      <c r="O168" s="94">
        <f t="shared" si="40"/>
        <v>18973.910520443136</v>
      </c>
      <c r="P168" s="94">
        <f t="shared" si="40"/>
        <v>20665.64362748542</v>
      </c>
      <c r="Q168" s="94">
        <f t="shared" si="40"/>
        <v>22371.492880413087</v>
      </c>
      <c r="R168" s="94">
        <f t="shared" si="40"/>
        <v>24070.557939097696</v>
      </c>
      <c r="S168" s="94">
        <f t="shared" si="40"/>
        <v>25740.255289702469</v>
      </c>
    </row>
    <row r="169" spans="2:19" ht="18" customHeight="1">
      <c r="B169" s="73" t="s">
        <v>393</v>
      </c>
      <c r="C169" s="56" t="s">
        <v>311</v>
      </c>
      <c r="D169" s="57"/>
      <c r="E169" s="102">
        <v>265289</v>
      </c>
      <c r="F169" s="102">
        <v>305727</v>
      </c>
      <c r="G169" s="102">
        <v>353624</v>
      </c>
      <c r="H169" s="102">
        <v>408613</v>
      </c>
      <c r="I169" s="102">
        <v>456193</v>
      </c>
      <c r="J169" s="96">
        <f t="shared" ref="J169:S169" si="41">J163+J164+J212-J298+J167+J168</f>
        <v>512440.95989619783</v>
      </c>
      <c r="K169" s="96">
        <f t="shared" si="41"/>
        <v>580330.32661470189</v>
      </c>
      <c r="L169" s="96">
        <f t="shared" si="41"/>
        <v>641717.00022929918</v>
      </c>
      <c r="M169" s="96">
        <f t="shared" si="41"/>
        <v>711886.84094175894</v>
      </c>
      <c r="N169" s="96">
        <f t="shared" si="41"/>
        <v>783779.24640089413</v>
      </c>
      <c r="O169" s="96">
        <f t="shared" si="41"/>
        <v>856133.85600439331</v>
      </c>
      <c r="P169" s="96">
        <f t="shared" si="41"/>
        <v>928716.02492979157</v>
      </c>
      <c r="Q169" s="96">
        <f t="shared" si="41"/>
        <v>1000452.683660768</v>
      </c>
      <c r="R169" s="96">
        <f t="shared" si="41"/>
        <v>1071190.8570160782</v>
      </c>
      <c r="S169" s="96">
        <f t="shared" si="41"/>
        <v>1139887.1734859913</v>
      </c>
    </row>
    <row r="170" spans="2:19" ht="18" customHeight="1">
      <c r="B170" s="56" t="s">
        <v>394</v>
      </c>
      <c r="C170" s="56" t="s">
        <v>311</v>
      </c>
      <c r="D170" s="57"/>
      <c r="E170" s="101">
        <f t="shared" ref="E170:S170" si="42">E222-E174</f>
        <v>56925.200000000012</v>
      </c>
      <c r="F170" s="101">
        <f t="shared" si="42"/>
        <v>65895.731999999989</v>
      </c>
      <c r="G170" s="101">
        <f t="shared" si="42"/>
        <v>66980.699999999983</v>
      </c>
      <c r="H170" s="101">
        <f t="shared" si="42"/>
        <v>73677.149999999994</v>
      </c>
      <c r="I170" s="101">
        <f t="shared" si="42"/>
        <v>90175.892999999982</v>
      </c>
      <c r="J170" s="94">
        <f t="shared" si="42"/>
        <v>101685.72550588235</v>
      </c>
      <c r="K170" s="94">
        <f t="shared" si="42"/>
        <v>113509.84247651161</v>
      </c>
      <c r="L170" s="94">
        <f t="shared" si="42"/>
        <v>125154.62420423451</v>
      </c>
      <c r="M170" s="94">
        <f t="shared" si="42"/>
        <v>138526.56406070775</v>
      </c>
      <c r="N170" s="94">
        <f t="shared" si="42"/>
        <v>152128.61915613792</v>
      </c>
      <c r="O170" s="94">
        <f t="shared" si="42"/>
        <v>166059.21790080029</v>
      </c>
      <c r="P170" s="94">
        <f t="shared" si="42"/>
        <v>180164.18428767647</v>
      </c>
      <c r="Q170" s="94">
        <f t="shared" si="42"/>
        <v>194270.74917773902</v>
      </c>
      <c r="R170" s="94">
        <f t="shared" si="42"/>
        <v>208190.44517089194</v>
      </c>
      <c r="S170" s="94">
        <f t="shared" si="42"/>
        <v>221722.82410699991</v>
      </c>
    </row>
    <row r="171" spans="2:19" ht="18" customHeight="1">
      <c r="B171" s="56" t="s">
        <v>395</v>
      </c>
      <c r="C171" s="56" t="s">
        <v>311</v>
      </c>
      <c r="D171" s="57"/>
      <c r="E171" s="101">
        <f t="shared" ref="E171:S171" si="43">E259</f>
        <v>1491</v>
      </c>
      <c r="F171" s="101">
        <f t="shared" si="43"/>
        <v>4372</v>
      </c>
      <c r="G171" s="101">
        <f t="shared" si="43"/>
        <v>14508</v>
      </c>
      <c r="H171" s="101">
        <f t="shared" si="43"/>
        <v>26605</v>
      </c>
      <c r="I171" s="101">
        <f t="shared" si="43"/>
        <v>11864</v>
      </c>
      <c r="J171" s="94">
        <f t="shared" si="43"/>
        <v>11815.4</v>
      </c>
      <c r="K171" s="94">
        <f t="shared" si="43"/>
        <v>13560.4</v>
      </c>
      <c r="L171" s="94">
        <f t="shared" si="43"/>
        <v>14874.4</v>
      </c>
      <c r="M171" s="94">
        <f t="shared" si="43"/>
        <v>16874.400000000001</v>
      </c>
      <c r="N171" s="94">
        <f t="shared" si="43"/>
        <v>18874.400000000001</v>
      </c>
      <c r="O171" s="94">
        <f t="shared" si="43"/>
        <v>18874.400000000001</v>
      </c>
      <c r="P171" s="94">
        <f t="shared" si="43"/>
        <v>18874.400000000001</v>
      </c>
      <c r="Q171" s="94">
        <f t="shared" si="43"/>
        <v>18874.400000000001</v>
      </c>
      <c r="R171" s="94">
        <f t="shared" si="43"/>
        <v>18874.400000000001</v>
      </c>
      <c r="S171" s="94">
        <f t="shared" si="43"/>
        <v>18874.400000000001</v>
      </c>
    </row>
    <row r="172" spans="2:19" ht="18" customHeight="1">
      <c r="B172" s="56" t="s">
        <v>396</v>
      </c>
      <c r="C172" s="56" t="s">
        <v>311</v>
      </c>
      <c r="D172" s="57" t="s">
        <v>397</v>
      </c>
      <c r="E172" s="98">
        <v>800</v>
      </c>
      <c r="F172" s="98">
        <v>900</v>
      </c>
      <c r="G172" s="98">
        <v>1000</v>
      </c>
      <c r="H172" s="98">
        <v>1100</v>
      </c>
      <c r="I172" s="101">
        <f t="shared" ref="I172:S172" si="44">$E$131*I294</f>
        <v>4121</v>
      </c>
      <c r="J172" s="94">
        <f t="shared" si="44"/>
        <v>3833.1580759703816</v>
      </c>
      <c r="K172" s="94">
        <f t="shared" si="44"/>
        <v>3691.9181681071318</v>
      </c>
      <c r="L172" s="94">
        <f t="shared" si="44"/>
        <v>3668.7530345157329</v>
      </c>
      <c r="M172" s="94">
        <f t="shared" si="44"/>
        <v>3731.0628547673332</v>
      </c>
      <c r="N172" s="94">
        <f t="shared" si="44"/>
        <v>3860.2585392411347</v>
      </c>
      <c r="O172" s="94">
        <f t="shared" si="44"/>
        <v>4046.156096711089</v>
      </c>
      <c r="P172" s="94">
        <f t="shared" si="44"/>
        <v>4280.2858708207705</v>
      </c>
      <c r="Q172" s="94">
        <f t="shared" si="44"/>
        <v>4553.7141101022225</v>
      </c>
      <c r="R172" s="94">
        <f t="shared" si="44"/>
        <v>4858.2386030990729</v>
      </c>
      <c r="S172" s="94">
        <f t="shared" si="44"/>
        <v>5186.1573907805232</v>
      </c>
    </row>
    <row r="173" spans="2:19" ht="18" customHeight="1">
      <c r="B173" s="56" t="s">
        <v>398</v>
      </c>
      <c r="C173" s="56" t="s">
        <v>311</v>
      </c>
      <c r="D173" s="57" t="s">
        <v>399</v>
      </c>
      <c r="E173" s="101">
        <f>E169-E175-E222-E259-E172</f>
        <v>4684.0659999999916</v>
      </c>
      <c r="F173" s="101">
        <f>F169-F175-F222-F259-F172</f>
        <v>5458</v>
      </c>
      <c r="G173" s="101">
        <f>G169-G175-G222-G259-G172</f>
        <v>5601.8790000000154</v>
      </c>
      <c r="H173" s="101">
        <f>H169-H175-H222-H259-H172</f>
        <v>8412.4280000000144</v>
      </c>
      <c r="I173" s="101">
        <f>I169-I175-I222-I259-I172</f>
        <v>7766.1259999999893</v>
      </c>
      <c r="J173" s="94">
        <f t="shared" ref="J173:S173" si="45">J179*J145</f>
        <v>8878.0514784483275</v>
      </c>
      <c r="K173" s="94">
        <f t="shared" si="45"/>
        <v>10351.778076302087</v>
      </c>
      <c r="L173" s="94">
        <f t="shared" si="45"/>
        <v>11838.633454184859</v>
      </c>
      <c r="M173" s="94">
        <f t="shared" si="45"/>
        <v>13176.767105536579</v>
      </c>
      <c r="N173" s="94">
        <f t="shared" si="45"/>
        <v>14490.169729020934</v>
      </c>
      <c r="O173" s="94">
        <f t="shared" si="45"/>
        <v>15856.427398524351</v>
      </c>
      <c r="P173" s="94">
        <f t="shared" si="45"/>
        <v>17270.202548385732</v>
      </c>
      <c r="Q173" s="94">
        <f t="shared" si="45"/>
        <v>18695.774509565344</v>
      </c>
      <c r="R173" s="94">
        <f t="shared" si="45"/>
        <v>20115.676944510145</v>
      </c>
      <c r="S173" s="94">
        <f t="shared" si="45"/>
        <v>21511.036893575336</v>
      </c>
    </row>
    <row r="174" spans="2:19" ht="18" customHeight="1">
      <c r="B174" s="56" t="s">
        <v>400</v>
      </c>
      <c r="C174" s="56" t="s">
        <v>311</v>
      </c>
      <c r="D174" s="57" t="s">
        <v>401</v>
      </c>
      <c r="E174" s="101">
        <f t="shared" ref="E174:S174" si="46">E222*E112</f>
        <v>176374.8</v>
      </c>
      <c r="F174" s="101">
        <f t="shared" si="46"/>
        <v>195595.26800000001</v>
      </c>
      <c r="G174" s="101">
        <f t="shared" si="46"/>
        <v>226794.30000000002</v>
      </c>
      <c r="H174" s="101">
        <f t="shared" si="46"/>
        <v>253776.85</v>
      </c>
      <c r="I174" s="101">
        <f t="shared" si="46"/>
        <v>290313.10700000002</v>
      </c>
      <c r="J174" s="94">
        <f t="shared" si="46"/>
        <v>327367.96861176472</v>
      </c>
      <c r="K174" s="94">
        <f t="shared" si="46"/>
        <v>365434.64054674417</v>
      </c>
      <c r="L174" s="94">
        <f t="shared" si="46"/>
        <v>402923.95893599541</v>
      </c>
      <c r="M174" s="94">
        <f t="shared" si="46"/>
        <v>445973.70623763715</v>
      </c>
      <c r="N174" s="94">
        <f t="shared" si="46"/>
        <v>489764.28867566772</v>
      </c>
      <c r="O174" s="94">
        <f t="shared" si="46"/>
        <v>534612.58758780838</v>
      </c>
      <c r="P174" s="94">
        <f t="shared" si="46"/>
        <v>580022.24730589532</v>
      </c>
      <c r="Q174" s="94">
        <f t="shared" si="46"/>
        <v>625437.05325997842</v>
      </c>
      <c r="R174" s="94">
        <f t="shared" si="46"/>
        <v>670250.25175270287</v>
      </c>
      <c r="S174" s="94">
        <f t="shared" si="46"/>
        <v>713816.5181166284</v>
      </c>
    </row>
    <row r="175" spans="2:19" ht="18" customHeight="1">
      <c r="B175" s="73" t="s">
        <v>402</v>
      </c>
      <c r="C175" s="56" t="s">
        <v>311</v>
      </c>
      <c r="D175" s="57"/>
      <c r="E175" s="105">
        <v>25013.934000000001</v>
      </c>
      <c r="F175" s="105">
        <v>33506</v>
      </c>
      <c r="G175" s="105">
        <v>38739.120999999999</v>
      </c>
      <c r="H175" s="105">
        <v>45041.572</v>
      </c>
      <c r="I175" s="105">
        <v>51952.874000000003</v>
      </c>
      <c r="J175" s="100">
        <f t="shared" ref="J175:S175" si="47">J337</f>
        <v>58860.656224132057</v>
      </c>
      <c r="K175" s="100">
        <f t="shared" si="47"/>
        <v>73781.747347036915</v>
      </c>
      <c r="L175" s="100">
        <f t="shared" si="47"/>
        <v>83256.630600368619</v>
      </c>
      <c r="M175" s="100">
        <f t="shared" si="47"/>
        <v>93604.340683110131</v>
      </c>
      <c r="N175" s="100">
        <f t="shared" si="47"/>
        <v>104661.51030082637</v>
      </c>
      <c r="O175" s="100">
        <f t="shared" si="47"/>
        <v>116685.06702054919</v>
      </c>
      <c r="P175" s="100">
        <f t="shared" si="47"/>
        <v>128104.70491701334</v>
      </c>
      <c r="Q175" s="100">
        <f t="shared" si="47"/>
        <v>138620.99260338282</v>
      </c>
      <c r="R175" s="100">
        <f t="shared" si="47"/>
        <v>148901.84454487404</v>
      </c>
      <c r="S175" s="100">
        <f t="shared" si="47"/>
        <v>158776.23697800733</v>
      </c>
    </row>
    <row r="176" spans="2:19" ht="18" customHeight="1">
      <c r="B176" s="73" t="s">
        <v>403</v>
      </c>
      <c r="C176" s="56" t="s">
        <v>311</v>
      </c>
      <c r="D176" s="57"/>
      <c r="E176" s="95">
        <f t="shared" ref="E176:S176" si="48">E170+E171+E172+E173+E174+E175</f>
        <v>265289</v>
      </c>
      <c r="F176" s="95">
        <f t="shared" si="48"/>
        <v>305727</v>
      </c>
      <c r="G176" s="95">
        <f t="shared" si="48"/>
        <v>353624</v>
      </c>
      <c r="H176" s="95">
        <f t="shared" si="48"/>
        <v>408613</v>
      </c>
      <c r="I176" s="95">
        <f t="shared" si="48"/>
        <v>456193</v>
      </c>
      <c r="J176" s="96">
        <f t="shared" si="48"/>
        <v>512440.95989619783</v>
      </c>
      <c r="K176" s="96">
        <f t="shared" si="48"/>
        <v>580330.32661470189</v>
      </c>
      <c r="L176" s="96">
        <f t="shared" si="48"/>
        <v>641717.00022929907</v>
      </c>
      <c r="M176" s="96">
        <f t="shared" si="48"/>
        <v>711886.84094175894</v>
      </c>
      <c r="N176" s="96">
        <f t="shared" si="48"/>
        <v>783779.24640089413</v>
      </c>
      <c r="O176" s="96">
        <f t="shared" si="48"/>
        <v>856133.85600439331</v>
      </c>
      <c r="P176" s="96">
        <f t="shared" si="48"/>
        <v>928716.02492979157</v>
      </c>
      <c r="Q176" s="96">
        <f t="shared" si="48"/>
        <v>1000452.6836607677</v>
      </c>
      <c r="R176" s="96">
        <f t="shared" si="48"/>
        <v>1071190.8570160782</v>
      </c>
      <c r="S176" s="96">
        <f t="shared" si="48"/>
        <v>1139887.1734859915</v>
      </c>
    </row>
    <row r="177" spans="2:19" ht="18" customHeight="1">
      <c r="B177" s="56" t="s">
        <v>404</v>
      </c>
      <c r="C177" s="56" t="s">
        <v>311</v>
      </c>
      <c r="D177" s="57"/>
      <c r="E177" s="106">
        <f t="shared" ref="E177:S177" si="49">E169-E176</f>
        <v>0</v>
      </c>
      <c r="F177" s="106">
        <f t="shared" si="49"/>
        <v>0</v>
      </c>
      <c r="G177" s="106">
        <f t="shared" si="49"/>
        <v>0</v>
      </c>
      <c r="H177" s="106">
        <f t="shared" si="49"/>
        <v>0</v>
      </c>
      <c r="I177" s="106">
        <f t="shared" si="49"/>
        <v>0</v>
      </c>
      <c r="J177" s="107">
        <f t="shared" si="49"/>
        <v>0</v>
      </c>
      <c r="K177" s="107">
        <f t="shared" si="49"/>
        <v>0</v>
      </c>
      <c r="L177" s="107">
        <f t="shared" si="49"/>
        <v>0</v>
      </c>
      <c r="M177" s="107">
        <f t="shared" si="49"/>
        <v>0</v>
      </c>
      <c r="N177" s="107">
        <f t="shared" si="49"/>
        <v>0</v>
      </c>
      <c r="O177" s="107">
        <f t="shared" si="49"/>
        <v>0</v>
      </c>
      <c r="P177" s="107">
        <f t="shared" si="49"/>
        <v>0</v>
      </c>
      <c r="Q177" s="107">
        <f t="shared" si="49"/>
        <v>0</v>
      </c>
      <c r="R177" s="107">
        <f t="shared" si="49"/>
        <v>0</v>
      </c>
      <c r="S177" s="107">
        <f t="shared" si="49"/>
        <v>0</v>
      </c>
    </row>
    <row r="178" spans="2:19" ht="22.5" customHeight="1">
      <c r="B178" s="35" t="s">
        <v>405</v>
      </c>
      <c r="C178" s="35" t="s">
        <v>168</v>
      </c>
      <c r="D178" s="54"/>
      <c r="E178" s="59">
        <f>E168/E145</f>
        <v>0.19182731697627356</v>
      </c>
      <c r="F178" s="59">
        <f>F168/F145</f>
        <v>0.20957082973098373</v>
      </c>
      <c r="G178" s="59">
        <f>G168/G145</f>
        <v>0.24038460363735775</v>
      </c>
      <c r="H178" s="59">
        <f>H168/H145</f>
        <v>0.27366955339785026</v>
      </c>
      <c r="I178" s="59">
        <f>I168/I145</f>
        <v>0.35652241901823245</v>
      </c>
      <c r="J178" s="59">
        <f t="shared" ref="J178:S178" si="50">I178</f>
        <v>0.35652241901823245</v>
      </c>
      <c r="K178" s="59">
        <f t="shared" si="50"/>
        <v>0.35652241901823245</v>
      </c>
      <c r="L178" s="59">
        <f t="shared" si="50"/>
        <v>0.35652241901823245</v>
      </c>
      <c r="M178" s="59">
        <f t="shared" si="50"/>
        <v>0.35652241901823245</v>
      </c>
      <c r="N178" s="59">
        <f t="shared" si="50"/>
        <v>0.35652241901823245</v>
      </c>
      <c r="O178" s="59">
        <f t="shared" si="50"/>
        <v>0.35652241901823245</v>
      </c>
      <c r="P178" s="59">
        <f t="shared" si="50"/>
        <v>0.35652241901823245</v>
      </c>
      <c r="Q178" s="59">
        <f t="shared" si="50"/>
        <v>0.35652241901823245</v>
      </c>
      <c r="R178" s="59">
        <f t="shared" si="50"/>
        <v>0.35652241901823245</v>
      </c>
      <c r="S178" s="59">
        <f t="shared" si="50"/>
        <v>0.35652241901823245</v>
      </c>
    </row>
    <row r="179" spans="2:19" ht="18" customHeight="1">
      <c r="B179" s="56" t="s">
        <v>406</v>
      </c>
      <c r="C179" s="56" t="s">
        <v>168</v>
      </c>
      <c r="D179" s="57"/>
      <c r="E179" s="70">
        <f>E173/E145</f>
        <v>0.28488643415338755</v>
      </c>
      <c r="F179" s="70">
        <f>F173/F145</f>
        <v>0.28291802836302476</v>
      </c>
      <c r="G179" s="70">
        <f>G173/G145</f>
        <v>0.27375593881671917</v>
      </c>
      <c r="H179" s="70">
        <f>H173/H145</f>
        <v>0.36630475954678993</v>
      </c>
      <c r="I179" s="70">
        <f>I173/I145</f>
        <v>0.29794447733997481</v>
      </c>
      <c r="J179" s="103">
        <f t="shared" ref="J179:S179" si="51">I179</f>
        <v>0.29794447733997481</v>
      </c>
      <c r="K179" s="103">
        <f t="shared" si="51"/>
        <v>0.29794447733997481</v>
      </c>
      <c r="L179" s="103">
        <f t="shared" si="51"/>
        <v>0.29794447733997481</v>
      </c>
      <c r="M179" s="103">
        <f t="shared" si="51"/>
        <v>0.29794447733997481</v>
      </c>
      <c r="N179" s="103">
        <f t="shared" si="51"/>
        <v>0.29794447733997481</v>
      </c>
      <c r="O179" s="103">
        <f t="shared" si="51"/>
        <v>0.29794447733997481</v>
      </c>
      <c r="P179" s="103">
        <f t="shared" si="51"/>
        <v>0.29794447733997481</v>
      </c>
      <c r="Q179" s="103">
        <f t="shared" si="51"/>
        <v>0.29794447733997481</v>
      </c>
      <c r="R179" s="103">
        <f t="shared" si="51"/>
        <v>0.29794447733997481</v>
      </c>
      <c r="S179" s="103">
        <f t="shared" si="51"/>
        <v>0.29794447733997481</v>
      </c>
    </row>
    <row r="180" spans="2:19" ht="22.5" customHeight="1">
      <c r="B180" s="35" t="s">
        <v>407</v>
      </c>
      <c r="C180" s="35" t="s">
        <v>168</v>
      </c>
      <c r="D180" s="54" t="s">
        <v>408</v>
      </c>
      <c r="E180" s="59">
        <f>E164/E222</f>
        <v>0.29033230481273042</v>
      </c>
      <c r="F180" s="59">
        <f>F164/F222</f>
        <v>0.22304175313169478</v>
      </c>
      <c r="G180" s="59">
        <f>G164/G222</f>
        <v>0.24379789375134028</v>
      </c>
      <c r="H180" s="59">
        <f>H164/H222</f>
        <v>0.19064128141326728</v>
      </c>
      <c r="I180" s="59">
        <f>I164/I222</f>
        <v>0.15866380008967415</v>
      </c>
      <c r="J180" s="59">
        <f t="shared" ref="J180:S180" si="52">I180</f>
        <v>0.15866380008967415</v>
      </c>
      <c r="K180" s="59">
        <f t="shared" si="52"/>
        <v>0.15866380008967415</v>
      </c>
      <c r="L180" s="59">
        <f t="shared" si="52"/>
        <v>0.15866380008967415</v>
      </c>
      <c r="M180" s="59">
        <f t="shared" si="52"/>
        <v>0.15866380008967415</v>
      </c>
      <c r="N180" s="59">
        <f t="shared" si="52"/>
        <v>0.15866380008967415</v>
      </c>
      <c r="O180" s="59">
        <f t="shared" si="52"/>
        <v>0.15866380008967415</v>
      </c>
      <c r="P180" s="59">
        <f t="shared" si="52"/>
        <v>0.15866380008967415</v>
      </c>
      <c r="Q180" s="59">
        <f t="shared" si="52"/>
        <v>0.15866380008967415</v>
      </c>
      <c r="R180" s="59">
        <f t="shared" si="52"/>
        <v>0.15866380008967415</v>
      </c>
      <c r="S180" s="59">
        <f t="shared" si="52"/>
        <v>0.15866380008967415</v>
      </c>
    </row>
    <row r="181" spans="2:19" ht="22.5" customHeight="1">
      <c r="B181" s="35" t="s">
        <v>409</v>
      </c>
      <c r="C181" s="35" t="s">
        <v>168</v>
      </c>
      <c r="D181" s="54" t="s">
        <v>410</v>
      </c>
      <c r="E181" s="59">
        <f t="shared" ref="E181:S181" si="53">E163/E222</f>
        <v>0.11369481354479212</v>
      </c>
      <c r="F181" s="59">
        <f t="shared" si="53"/>
        <v>0.14993250245706352</v>
      </c>
      <c r="G181" s="59">
        <f t="shared" si="53"/>
        <v>0.1361620287635095</v>
      </c>
      <c r="H181" s="59">
        <f t="shared" si="53"/>
        <v>0.18907388518692703</v>
      </c>
      <c r="I181" s="59">
        <f t="shared" si="53"/>
        <v>0.17042542622782789</v>
      </c>
      <c r="J181" s="59">
        <f t="shared" si="53"/>
        <v>0.15882737417186862</v>
      </c>
      <c r="K181" s="59">
        <f t="shared" si="53"/>
        <v>0.16823212966435119</v>
      </c>
      <c r="L181" s="59">
        <f t="shared" si="53"/>
        <v>0.16196864672439196</v>
      </c>
      <c r="M181" s="59">
        <f t="shared" si="53"/>
        <v>0.16591549612201978</v>
      </c>
      <c r="N181" s="59">
        <f t="shared" si="53"/>
        <v>0.16987322382291414</v>
      </c>
      <c r="O181" s="59">
        <f t="shared" si="53"/>
        <v>0.1712218133444163</v>
      </c>
      <c r="P181" s="59">
        <f t="shared" si="53"/>
        <v>0.17127934657132624</v>
      </c>
      <c r="Q181" s="59">
        <f t="shared" si="53"/>
        <v>0.17013482432376437</v>
      </c>
      <c r="R181" s="59">
        <f t="shared" si="53"/>
        <v>0.16896195911118853</v>
      </c>
      <c r="S181" s="59">
        <f t="shared" si="53"/>
        <v>0.16774916131972573</v>
      </c>
    </row>
    <row r="182" spans="2:19" ht="18" customHeight="1">
      <c r="B182" s="56"/>
      <c r="C182" s="56"/>
      <c r="D182" s="57"/>
      <c r="E182" s="70"/>
      <c r="F182" s="70"/>
      <c r="G182" s="70"/>
      <c r="H182" s="70"/>
      <c r="I182" s="70"/>
      <c r="J182" s="103"/>
      <c r="K182" s="103"/>
      <c r="L182" s="103"/>
      <c r="M182" s="103"/>
      <c r="N182" s="103"/>
      <c r="O182" s="103"/>
      <c r="P182" s="103"/>
      <c r="Q182" s="103"/>
      <c r="R182" s="103"/>
      <c r="S182" s="103"/>
    </row>
    <row r="183" spans="2:19" ht="22.5" customHeight="1">
      <c r="B183" s="35" t="s">
        <v>411</v>
      </c>
      <c r="C183" s="35"/>
      <c r="D183" s="35" t="s">
        <v>412</v>
      </c>
      <c r="E183" s="108" t="s">
        <v>223</v>
      </c>
      <c r="F183" s="108" t="s">
        <v>224</v>
      </c>
      <c r="G183" s="108" t="s">
        <v>225</v>
      </c>
      <c r="H183" s="108" t="s">
        <v>226</v>
      </c>
      <c r="I183" s="108" t="s">
        <v>93</v>
      </c>
      <c r="J183" s="108" t="s">
        <v>94</v>
      </c>
      <c r="K183" s="108" t="s">
        <v>227</v>
      </c>
      <c r="L183" s="108" t="s">
        <v>95</v>
      </c>
      <c r="M183" s="108" t="s">
        <v>228</v>
      </c>
      <c r="N183" s="108" t="s">
        <v>96</v>
      </c>
      <c r="O183" s="108" t="s">
        <v>229</v>
      </c>
      <c r="P183" s="108" t="s">
        <v>230</v>
      </c>
      <c r="Q183" s="108" t="s">
        <v>231</v>
      </c>
      <c r="R183" s="108" t="s">
        <v>232</v>
      </c>
      <c r="S183" s="108" t="s">
        <v>97</v>
      </c>
    </row>
    <row r="184" spans="2:19" ht="22.5" customHeight="1">
      <c r="B184" s="35" t="s">
        <v>413</v>
      </c>
      <c r="C184" s="35" t="s">
        <v>311</v>
      </c>
      <c r="D184" s="54"/>
      <c r="E184" s="35"/>
      <c r="F184" s="35"/>
      <c r="G184" s="35"/>
      <c r="H184" s="35"/>
      <c r="I184" s="35"/>
      <c r="J184" s="88">
        <f t="shared" ref="J184:S184" si="54">J154</f>
        <v>8421.2868241320521</v>
      </c>
      <c r="K184" s="88">
        <f t="shared" si="54"/>
        <v>10381.774224213914</v>
      </c>
      <c r="L184" s="88">
        <f t="shared" si="54"/>
        <v>12070.326809385186</v>
      </c>
      <c r="M184" s="88">
        <f t="shared" si="54"/>
        <v>13606.69832127552</v>
      </c>
      <c r="N184" s="88">
        <f t="shared" si="54"/>
        <v>15139.179114098893</v>
      </c>
      <c r="O184" s="88">
        <f t="shared" si="54"/>
        <v>16565.310453952501</v>
      </c>
      <c r="P184" s="88">
        <f t="shared" si="54"/>
        <v>18045.762078045143</v>
      </c>
      <c r="Q184" s="88">
        <f t="shared" si="54"/>
        <v>19539.168725392068</v>
      </c>
      <c r="R184" s="88">
        <f t="shared" si="54"/>
        <v>21027.394740456861</v>
      </c>
      <c r="S184" s="88">
        <f t="shared" si="54"/>
        <v>22490.829277407418</v>
      </c>
    </row>
    <row r="185" spans="2:19" ht="18" customHeight="1">
      <c r="B185" s="56" t="s">
        <v>414</v>
      </c>
      <c r="C185" s="56" t="s">
        <v>311</v>
      </c>
      <c r="D185" s="57"/>
      <c r="J185" s="94">
        <f t="shared" ref="J185:S185" si="55">J265</f>
        <v>2520.7409012753965</v>
      </c>
      <c r="K185" s="94">
        <f t="shared" si="55"/>
        <v>2535.5186849178135</v>
      </c>
      <c r="L185" s="94">
        <f t="shared" si="55"/>
        <v>2627.0573774324403</v>
      </c>
      <c r="M185" s="94">
        <f t="shared" si="55"/>
        <v>2775.0806925211164</v>
      </c>
      <c r="N185" s="94">
        <f t="shared" si="55"/>
        <v>2962.7579048013276</v>
      </c>
      <c r="O185" s="94">
        <f t="shared" si="55"/>
        <v>3182.5124491820716</v>
      </c>
      <c r="P185" s="94">
        <f t="shared" si="55"/>
        <v>3430.4055981311462</v>
      </c>
      <c r="Q185" s="94">
        <f t="shared" si="55"/>
        <v>3702.2140326344365</v>
      </c>
      <c r="R185" s="94">
        <f t="shared" si="55"/>
        <v>3993.1618103419714</v>
      </c>
      <c r="S185" s="94">
        <f t="shared" si="55"/>
        <v>4298.5073151578481</v>
      </c>
    </row>
    <row r="186" spans="2:19" ht="22.5" customHeight="1">
      <c r="B186" s="35" t="s">
        <v>415</v>
      </c>
      <c r="C186" s="35" t="s">
        <v>311</v>
      </c>
      <c r="D186" s="54"/>
      <c r="E186" s="35"/>
      <c r="F186" s="35"/>
      <c r="G186" s="35"/>
      <c r="H186" s="35"/>
      <c r="I186" s="35"/>
      <c r="J186" s="88">
        <f t="shared" ref="J186:S186" si="56">J151</f>
        <v>2392.3887400000003</v>
      </c>
      <c r="K186" s="88">
        <f t="shared" si="56"/>
        <v>2912.2046077499999</v>
      </c>
      <c r="L186" s="88">
        <f t="shared" si="56"/>
        <v>3267.4523352449996</v>
      </c>
      <c r="M186" s="88">
        <f t="shared" si="56"/>
        <v>3629.7885093433506</v>
      </c>
      <c r="N186" s="88">
        <f t="shared" si="56"/>
        <v>4001.1077436496157</v>
      </c>
      <c r="O186" s="88">
        <f t="shared" si="56"/>
        <v>4380.1173772078519</v>
      </c>
      <c r="P186" s="88">
        <f t="shared" si="56"/>
        <v>4766.0499984806138</v>
      </c>
      <c r="Q186" s="88">
        <f t="shared" si="56"/>
        <v>5154.404938527081</v>
      </c>
      <c r="R186" s="88">
        <f t="shared" si="56"/>
        <v>5540.2094791662803</v>
      </c>
      <c r="S186" s="88">
        <f t="shared" si="56"/>
        <v>5918.1098777178149</v>
      </c>
    </row>
    <row r="187" spans="2:19" ht="18" customHeight="1">
      <c r="B187" s="56" t="s">
        <v>416</v>
      </c>
      <c r="C187" s="56" t="s">
        <v>311</v>
      </c>
      <c r="D187" s="57"/>
      <c r="J187" s="94">
        <f t="shared" ref="J187:S187" si="57">-(J168-I168)</f>
        <v>-1330.537705829187</v>
      </c>
      <c r="K187" s="94">
        <f t="shared" si="57"/>
        <v>-1763.4714237001863</v>
      </c>
      <c r="L187" s="94">
        <f t="shared" si="57"/>
        <v>-1779.1814125427009</v>
      </c>
      <c r="M187" s="94">
        <f t="shared" si="57"/>
        <v>-1601.2199675889315</v>
      </c>
      <c r="N187" s="94">
        <f t="shared" si="57"/>
        <v>-1571.6266488645833</v>
      </c>
      <c r="O187" s="94">
        <f t="shared" si="57"/>
        <v>-1634.8733619175473</v>
      </c>
      <c r="P187" s="94">
        <f t="shared" si="57"/>
        <v>-1691.7331070422842</v>
      </c>
      <c r="Q187" s="94">
        <f t="shared" si="57"/>
        <v>-1705.8492529276664</v>
      </c>
      <c r="R187" s="94">
        <f t="shared" si="57"/>
        <v>-1699.0650586846095</v>
      </c>
      <c r="S187" s="94">
        <f t="shared" si="57"/>
        <v>-1669.6973506047725</v>
      </c>
    </row>
    <row r="188" spans="2:19" ht="18" customHeight="1">
      <c r="B188" s="56" t="s">
        <v>417</v>
      </c>
      <c r="C188" s="56" t="s">
        <v>311</v>
      </c>
      <c r="D188" s="57"/>
      <c r="J188" s="94">
        <f t="shared" ref="J188:S188" si="58">J173-I173</f>
        <v>1111.9254784483383</v>
      </c>
      <c r="K188" s="94">
        <f t="shared" si="58"/>
        <v>1473.7265978537598</v>
      </c>
      <c r="L188" s="94">
        <f t="shared" si="58"/>
        <v>1486.8553778827718</v>
      </c>
      <c r="M188" s="94">
        <f t="shared" si="58"/>
        <v>1338.1336513517199</v>
      </c>
      <c r="N188" s="94">
        <f t="shared" si="58"/>
        <v>1313.402623484355</v>
      </c>
      <c r="O188" s="94">
        <f t="shared" si="58"/>
        <v>1366.2576695034168</v>
      </c>
      <c r="P188" s="94">
        <f t="shared" si="58"/>
        <v>1413.7751498613816</v>
      </c>
      <c r="Q188" s="94">
        <f t="shared" si="58"/>
        <v>1425.5719611796121</v>
      </c>
      <c r="R188" s="94">
        <f t="shared" si="58"/>
        <v>1419.9024349448009</v>
      </c>
      <c r="S188" s="94">
        <f t="shared" si="58"/>
        <v>1395.3599490651904</v>
      </c>
    </row>
    <row r="189" spans="2:19" ht="22.5" customHeight="1">
      <c r="B189" s="35" t="s">
        <v>418</v>
      </c>
      <c r="C189" s="35" t="s">
        <v>311</v>
      </c>
      <c r="D189" s="54"/>
      <c r="E189" s="109"/>
      <c r="F189" s="109"/>
      <c r="G189" s="109"/>
      <c r="H189" s="109"/>
      <c r="I189" s="109"/>
      <c r="J189" s="97">
        <f t="shared" ref="J189:S189" si="59">SUM(J184:J188)</f>
        <v>13115.8042380266</v>
      </c>
      <c r="K189" s="97">
        <f t="shared" si="59"/>
        <v>15539.752691035301</v>
      </c>
      <c r="L189" s="97">
        <f t="shared" si="59"/>
        <v>17672.510487402695</v>
      </c>
      <c r="M189" s="97">
        <f t="shared" si="59"/>
        <v>19748.481206902776</v>
      </c>
      <c r="N189" s="97">
        <f t="shared" si="59"/>
        <v>21844.820737169612</v>
      </c>
      <c r="O189" s="97">
        <f t="shared" si="59"/>
        <v>23859.324587928291</v>
      </c>
      <c r="P189" s="97">
        <f t="shared" si="59"/>
        <v>25964.259717476001</v>
      </c>
      <c r="Q189" s="97">
        <f t="shared" si="59"/>
        <v>28115.510404805533</v>
      </c>
      <c r="R189" s="97">
        <f t="shared" si="59"/>
        <v>30281.603406225302</v>
      </c>
      <c r="S189" s="97">
        <f t="shared" si="59"/>
        <v>32433.109068743499</v>
      </c>
    </row>
    <row r="190" spans="2:19" ht="22.5" customHeight="1">
      <c r="B190" s="35" t="s">
        <v>419</v>
      </c>
      <c r="C190" s="35" t="s">
        <v>311</v>
      </c>
      <c r="D190" s="54"/>
      <c r="E190" s="35"/>
      <c r="F190" s="35"/>
      <c r="G190" s="35"/>
      <c r="H190" s="35"/>
      <c r="I190" s="35"/>
      <c r="J190" s="88">
        <f t="shared" ref="J190:S190" si="60">-((J212-I212)+J300)</f>
        <v>-46440.80762632002</v>
      </c>
      <c r="K190" s="88">
        <f t="shared" si="60"/>
        <v>-48449.858976439951</v>
      </c>
      <c r="L190" s="88">
        <f t="shared" si="60"/>
        <v>-49569.126881800679</v>
      </c>
      <c r="M190" s="88">
        <f t="shared" si="60"/>
        <v>-51037.885457200857</v>
      </c>
      <c r="N190" s="88">
        <f t="shared" si="60"/>
        <v>-52225.041860589867</v>
      </c>
      <c r="O190" s="88">
        <f t="shared" si="60"/>
        <v>-53768.851017745961</v>
      </c>
      <c r="P190" s="88">
        <f t="shared" si="60"/>
        <v>-54772.976524671452</v>
      </c>
      <c r="Q190" s="88">
        <f t="shared" si="60"/>
        <v>-55166.998704837017</v>
      </c>
      <c r="R190" s="88">
        <f t="shared" si="60"/>
        <v>-54890.289139346802</v>
      </c>
      <c r="S190" s="88">
        <f t="shared" si="60"/>
        <v>-53895.018196489822</v>
      </c>
    </row>
    <row r="191" spans="2:19" ht="18" customHeight="1">
      <c r="B191" s="56" t="s">
        <v>420</v>
      </c>
      <c r="C191" s="56" t="s">
        <v>311</v>
      </c>
      <c r="D191" s="57"/>
      <c r="J191" s="94">
        <f t="shared" ref="J191:S191" si="61">-(J164-I164)</f>
        <v>-7705.458918898541</v>
      </c>
      <c r="K191" s="94">
        <f t="shared" si="61"/>
        <v>-7915.8621572356205</v>
      </c>
      <c r="L191" s="94">
        <f t="shared" si="61"/>
        <v>-7795.8030385456223</v>
      </c>
      <c r="M191" s="94">
        <f t="shared" si="61"/>
        <v>-8952.0792919772939</v>
      </c>
      <c r="N191" s="94">
        <f t="shared" si="61"/>
        <v>-9106.1339682281396</v>
      </c>
      <c r="O191" s="94">
        <f t="shared" si="61"/>
        <v>-9326.083267310416</v>
      </c>
      <c r="P191" s="94">
        <f t="shared" si="61"/>
        <v>-9442.8167387295689</v>
      </c>
      <c r="Q191" s="94">
        <f t="shared" si="61"/>
        <v>-9443.8868846788828</v>
      </c>
      <c r="R191" s="94">
        <f t="shared" si="61"/>
        <v>-9318.7842293951689</v>
      </c>
      <c r="S191" s="94">
        <f t="shared" si="61"/>
        <v>-9059.4880432757491</v>
      </c>
    </row>
    <row r="192" spans="2:19" ht="18" customHeight="1">
      <c r="B192" s="56" t="s">
        <v>421</v>
      </c>
      <c r="C192" s="56" t="s">
        <v>311</v>
      </c>
      <c r="D192" s="57"/>
      <c r="J192" s="94">
        <f t="shared" ref="J192:S192" si="62">-J272</f>
        <v>-2383.8136709794744</v>
      </c>
      <c r="K192" s="94">
        <f t="shared" si="62"/>
        <v>-2779.5186992481176</v>
      </c>
      <c r="L192" s="94">
        <f t="shared" si="62"/>
        <v>-3178.7488890223467</v>
      </c>
      <c r="M192" s="94">
        <f t="shared" si="62"/>
        <v>-3538.0463429099905</v>
      </c>
      <c r="N192" s="94">
        <f t="shared" si="62"/>
        <v>-3890.7033574545285</v>
      </c>
      <c r="O192" s="94">
        <f t="shared" si="62"/>
        <v>-4257.5522903030269</v>
      </c>
      <c r="P192" s="94">
        <f t="shared" si="62"/>
        <v>-4637.1599708973336</v>
      </c>
      <c r="Q192" s="94">
        <f t="shared" si="62"/>
        <v>-5019.9351708693566</v>
      </c>
      <c r="R192" s="94">
        <f t="shared" si="62"/>
        <v>-5401.1880667435353</v>
      </c>
      <c r="S192" s="94">
        <f t="shared" si="62"/>
        <v>-5775.8511480056168</v>
      </c>
    </row>
    <row r="193" spans="2:19" ht="22.5" customHeight="1">
      <c r="B193" s="35" t="s">
        <v>422</v>
      </c>
      <c r="C193" s="35" t="s">
        <v>311</v>
      </c>
      <c r="D193" s="54"/>
      <c r="E193" s="109"/>
      <c r="F193" s="109"/>
      <c r="G193" s="109"/>
      <c r="H193" s="109"/>
      <c r="I193" s="109"/>
      <c r="J193" s="97">
        <f t="shared" ref="J193:S193" si="63">SUM(J190:J192)</f>
        <v>-56530.080216198039</v>
      </c>
      <c r="K193" s="97">
        <f t="shared" si="63"/>
        <v>-59145.239832923689</v>
      </c>
      <c r="L193" s="97">
        <f t="shared" si="63"/>
        <v>-60543.678809368648</v>
      </c>
      <c r="M193" s="97">
        <f t="shared" si="63"/>
        <v>-63528.011092088142</v>
      </c>
      <c r="N193" s="97">
        <f t="shared" si="63"/>
        <v>-65221.879186272534</v>
      </c>
      <c r="O193" s="97">
        <f t="shared" si="63"/>
        <v>-67352.486575359406</v>
      </c>
      <c r="P193" s="97">
        <f t="shared" si="63"/>
        <v>-68852.953234298358</v>
      </c>
      <c r="Q193" s="97">
        <f t="shared" si="63"/>
        <v>-69630.82076038525</v>
      </c>
      <c r="R193" s="97">
        <f t="shared" si="63"/>
        <v>-69610.261435485503</v>
      </c>
      <c r="S193" s="97">
        <f t="shared" si="63"/>
        <v>-68730.35738777119</v>
      </c>
    </row>
    <row r="194" spans="2:19" ht="18" customHeight="1">
      <c r="B194" s="56" t="s">
        <v>423</v>
      </c>
      <c r="C194" s="56" t="s">
        <v>311</v>
      </c>
      <c r="D194" s="57"/>
      <c r="J194" s="94">
        <f t="shared" ref="J194:S194" si="64">J222-I222</f>
        <v>48564.694117647072</v>
      </c>
      <c r="K194" s="94">
        <f t="shared" si="64"/>
        <v>49890.788905608701</v>
      </c>
      <c r="L194" s="94">
        <f t="shared" si="64"/>
        <v>49134.10011697415</v>
      </c>
      <c r="M194" s="94">
        <f t="shared" si="64"/>
        <v>56421.687158114975</v>
      </c>
      <c r="N194" s="94">
        <f t="shared" si="64"/>
        <v>57392.637533460744</v>
      </c>
      <c r="O194" s="94">
        <f t="shared" si="64"/>
        <v>58778.897656803019</v>
      </c>
      <c r="P194" s="94">
        <f t="shared" si="64"/>
        <v>59514.626104963128</v>
      </c>
      <c r="Q194" s="94">
        <f t="shared" si="64"/>
        <v>59521.370844145655</v>
      </c>
      <c r="R194" s="94">
        <f t="shared" si="64"/>
        <v>58732.894485877361</v>
      </c>
      <c r="S194" s="94">
        <f t="shared" si="64"/>
        <v>57098.645300033502</v>
      </c>
    </row>
    <row r="195" spans="2:19" ht="22.5" customHeight="1">
      <c r="B195" s="35" t="s">
        <v>424</v>
      </c>
      <c r="C195" s="35" t="s">
        <v>311</v>
      </c>
      <c r="D195" s="54"/>
      <c r="E195" s="35"/>
      <c r="F195" s="35"/>
      <c r="G195" s="35"/>
      <c r="H195" s="35"/>
      <c r="I195" s="35"/>
      <c r="J195" s="88">
        <f t="shared" ref="J195:S195" si="65">J259-I259</f>
        <v>-48.600000000000364</v>
      </c>
      <c r="K195" s="88">
        <f t="shared" si="65"/>
        <v>1745</v>
      </c>
      <c r="L195" s="88">
        <f t="shared" si="65"/>
        <v>1314</v>
      </c>
      <c r="M195" s="88">
        <f t="shared" si="65"/>
        <v>2000.0000000000018</v>
      </c>
      <c r="N195" s="88">
        <f t="shared" si="65"/>
        <v>2000</v>
      </c>
      <c r="O195" s="88">
        <f t="shared" si="65"/>
        <v>0</v>
      </c>
      <c r="P195" s="88">
        <f t="shared" si="65"/>
        <v>0</v>
      </c>
      <c r="Q195" s="88">
        <f t="shared" si="65"/>
        <v>0</v>
      </c>
      <c r="R195" s="88">
        <f t="shared" si="65"/>
        <v>0</v>
      </c>
      <c r="S195" s="88">
        <f t="shared" si="65"/>
        <v>0</v>
      </c>
    </row>
    <row r="196" spans="2:19" ht="22.5" customHeight="1">
      <c r="B196" s="35" t="s">
        <v>425</v>
      </c>
      <c r="C196" s="35" t="s">
        <v>311</v>
      </c>
      <c r="D196" s="54"/>
      <c r="E196" s="35"/>
      <c r="F196" s="35"/>
      <c r="G196" s="35"/>
      <c r="H196" s="35"/>
      <c r="I196" s="35"/>
      <c r="J196" s="88">
        <f t="shared" ref="J196:S196" si="66">J172-I172</f>
        <v>-287.84192402961844</v>
      </c>
      <c r="K196" s="88">
        <f t="shared" si="66"/>
        <v>-141.23990786324975</v>
      </c>
      <c r="L196" s="88">
        <f t="shared" si="66"/>
        <v>-23.165133591398899</v>
      </c>
      <c r="M196" s="88">
        <f t="shared" si="66"/>
        <v>62.309820251600286</v>
      </c>
      <c r="N196" s="88">
        <f t="shared" si="66"/>
        <v>129.19568447380152</v>
      </c>
      <c r="O196" s="88">
        <f t="shared" si="66"/>
        <v>185.89755746995434</v>
      </c>
      <c r="P196" s="88">
        <f t="shared" si="66"/>
        <v>234.12977410968142</v>
      </c>
      <c r="Q196" s="88">
        <f t="shared" si="66"/>
        <v>273.42823928145208</v>
      </c>
      <c r="R196" s="88">
        <f t="shared" si="66"/>
        <v>304.52449299685031</v>
      </c>
      <c r="S196" s="88">
        <f t="shared" si="66"/>
        <v>327.91878768145034</v>
      </c>
    </row>
    <row r="197" spans="2:19" ht="18" customHeight="1">
      <c r="B197" s="56" t="s">
        <v>426</v>
      </c>
      <c r="C197" s="56" t="s">
        <v>311</v>
      </c>
      <c r="D197" s="57"/>
      <c r="J197" s="94">
        <f t="shared" ref="J197:S197" si="67">-J339</f>
        <v>-1513.5046000000002</v>
      </c>
      <c r="K197" s="94">
        <f t="shared" si="67"/>
        <v>-1852.6831013090514</v>
      </c>
      <c r="L197" s="94">
        <f t="shared" si="67"/>
        <v>-2595.4435560534785</v>
      </c>
      <c r="M197" s="94">
        <f t="shared" si="67"/>
        <v>-3258.9882385340002</v>
      </c>
      <c r="N197" s="94">
        <f t="shared" si="67"/>
        <v>-4082.0094963826559</v>
      </c>
      <c r="O197" s="94">
        <f t="shared" si="67"/>
        <v>-4541.7537342296682</v>
      </c>
      <c r="P197" s="94">
        <f t="shared" si="67"/>
        <v>-6626.1241815810008</v>
      </c>
      <c r="Q197" s="94">
        <f t="shared" si="67"/>
        <v>-9022.8810390225717</v>
      </c>
      <c r="R197" s="94">
        <f t="shared" si="67"/>
        <v>-10746.542798965638</v>
      </c>
      <c r="S197" s="94">
        <f t="shared" si="67"/>
        <v>-12616.436844274116</v>
      </c>
    </row>
    <row r="198" spans="2:19" ht="18" customHeight="1">
      <c r="B198" s="56" t="s">
        <v>427</v>
      </c>
      <c r="C198" s="56" t="s">
        <v>311</v>
      </c>
      <c r="D198" s="57"/>
      <c r="J198" s="94">
        <f t="shared" ref="J198:S198" si="68">J111</f>
        <v>0</v>
      </c>
      <c r="K198" s="94">
        <f t="shared" si="68"/>
        <v>0</v>
      </c>
      <c r="L198" s="94">
        <f t="shared" si="68"/>
        <v>0</v>
      </c>
      <c r="M198" s="94">
        <f t="shared" si="68"/>
        <v>0</v>
      </c>
      <c r="N198" s="94">
        <f t="shared" si="68"/>
        <v>0</v>
      </c>
      <c r="O198" s="94">
        <f t="shared" si="68"/>
        <v>0</v>
      </c>
      <c r="P198" s="94">
        <f t="shared" si="68"/>
        <v>0</v>
      </c>
      <c r="Q198" s="94">
        <f t="shared" si="68"/>
        <v>0</v>
      </c>
      <c r="R198" s="94">
        <f t="shared" si="68"/>
        <v>0</v>
      </c>
      <c r="S198" s="94">
        <f t="shared" si="68"/>
        <v>0</v>
      </c>
    </row>
    <row r="199" spans="2:19" ht="18" customHeight="1">
      <c r="B199" s="56" t="s">
        <v>428</v>
      </c>
      <c r="C199" s="56" t="s">
        <v>311</v>
      </c>
      <c r="D199" s="57"/>
      <c r="J199" s="94">
        <f t="shared" ref="J199:S199" si="69">J321</f>
        <v>0</v>
      </c>
      <c r="K199" s="94">
        <f t="shared" si="69"/>
        <v>6392</v>
      </c>
      <c r="L199" s="94">
        <f t="shared" si="69"/>
        <v>0</v>
      </c>
      <c r="M199" s="94">
        <f t="shared" si="69"/>
        <v>0</v>
      </c>
      <c r="N199" s="94">
        <f t="shared" si="69"/>
        <v>0</v>
      </c>
      <c r="O199" s="94">
        <f t="shared" si="69"/>
        <v>0</v>
      </c>
      <c r="P199" s="94">
        <f t="shared" si="69"/>
        <v>0</v>
      </c>
      <c r="Q199" s="94">
        <f t="shared" si="69"/>
        <v>0</v>
      </c>
      <c r="R199" s="94">
        <f t="shared" si="69"/>
        <v>0</v>
      </c>
      <c r="S199" s="94">
        <f t="shared" si="69"/>
        <v>0</v>
      </c>
    </row>
    <row r="200" spans="2:19" ht="18" customHeight="1">
      <c r="B200" s="73" t="s">
        <v>429</v>
      </c>
      <c r="C200" s="56" t="s">
        <v>311</v>
      </c>
      <c r="D200" s="57"/>
      <c r="E200" s="110"/>
      <c r="F200" s="110"/>
      <c r="G200" s="110"/>
      <c r="H200" s="110"/>
      <c r="I200" s="110"/>
      <c r="J200" s="96">
        <f t="shared" ref="J200:S200" si="70">SUM(J194:J199)</f>
        <v>46714.747593617452</v>
      </c>
      <c r="K200" s="96">
        <f t="shared" si="70"/>
        <v>56033.8658964364</v>
      </c>
      <c r="L200" s="96">
        <f t="shared" si="70"/>
        <v>47829.491427329274</v>
      </c>
      <c r="M200" s="96">
        <f t="shared" si="70"/>
        <v>55225.00873983257</v>
      </c>
      <c r="N200" s="96">
        <f t="shared" si="70"/>
        <v>55439.823721551889</v>
      </c>
      <c r="O200" s="96">
        <f t="shared" si="70"/>
        <v>54423.041480043306</v>
      </c>
      <c r="P200" s="96">
        <f t="shared" si="70"/>
        <v>53122.631697491808</v>
      </c>
      <c r="Q200" s="96">
        <f t="shared" si="70"/>
        <v>50771.918044404534</v>
      </c>
      <c r="R200" s="96">
        <f t="shared" si="70"/>
        <v>48290.87617990857</v>
      </c>
      <c r="S200" s="96">
        <f t="shared" si="70"/>
        <v>44810.127243440838</v>
      </c>
    </row>
    <row r="201" spans="2:19" ht="22.5" customHeight="1">
      <c r="B201" s="35" t="s">
        <v>430</v>
      </c>
      <c r="C201" s="35" t="s">
        <v>311</v>
      </c>
      <c r="D201" s="54"/>
      <c r="E201" s="35"/>
      <c r="F201" s="35"/>
      <c r="G201" s="35"/>
      <c r="H201" s="35"/>
      <c r="I201" s="35"/>
      <c r="J201" s="88">
        <f t="shared" ref="J201:S201" si="71">J189+J193+J200</f>
        <v>3300.4716154460111</v>
      </c>
      <c r="K201" s="88">
        <f t="shared" si="71"/>
        <v>12428.378754548015</v>
      </c>
      <c r="L201" s="88">
        <f t="shared" si="71"/>
        <v>4958.3231053633208</v>
      </c>
      <c r="M201" s="88">
        <f t="shared" si="71"/>
        <v>11445.478854647205</v>
      </c>
      <c r="N201" s="88">
        <f t="shared" si="71"/>
        <v>12062.765272448967</v>
      </c>
      <c r="O201" s="88">
        <f t="shared" si="71"/>
        <v>10929.879492612192</v>
      </c>
      <c r="P201" s="88">
        <f t="shared" si="71"/>
        <v>10233.938180669451</v>
      </c>
      <c r="Q201" s="88">
        <f t="shared" si="71"/>
        <v>9256.6076888248208</v>
      </c>
      <c r="R201" s="88">
        <f t="shared" si="71"/>
        <v>8962.2181506483685</v>
      </c>
      <c r="S201" s="88">
        <f t="shared" si="71"/>
        <v>8512.8789244131476</v>
      </c>
    </row>
    <row r="202" spans="2:19" ht="18" customHeight="1">
      <c r="B202" s="73" t="s">
        <v>431</v>
      </c>
      <c r="C202" s="56" t="s">
        <v>311</v>
      </c>
      <c r="D202" s="57"/>
      <c r="J202" s="100">
        <f t="shared" ref="J202:S202" si="72">I163+J201</f>
        <v>68145.471615446004</v>
      </c>
      <c r="K202" s="100">
        <f t="shared" si="72"/>
        <v>80573.850369994019</v>
      </c>
      <c r="L202" s="100">
        <f t="shared" si="72"/>
        <v>85532.17347535734</v>
      </c>
      <c r="M202" s="100">
        <f t="shared" si="72"/>
        <v>96977.652330004552</v>
      </c>
      <c r="N202" s="100">
        <f t="shared" si="72"/>
        <v>109040.41760245353</v>
      </c>
      <c r="O202" s="100">
        <f t="shared" si="72"/>
        <v>119970.29709506572</v>
      </c>
      <c r="P202" s="100">
        <f t="shared" si="72"/>
        <v>130204.23527573518</v>
      </c>
      <c r="Q202" s="100">
        <f t="shared" si="72"/>
        <v>139460.84296456</v>
      </c>
      <c r="R202" s="100">
        <f t="shared" si="72"/>
        <v>148423.06111520837</v>
      </c>
      <c r="S202" s="100">
        <f t="shared" si="72"/>
        <v>156935.94003962152</v>
      </c>
    </row>
    <row r="203" spans="2:19" ht="18" customHeight="1"/>
    <row r="204" spans="2:19" ht="18" customHeight="1"/>
    <row r="205" spans="2:19" ht="23.1" customHeight="1">
      <c r="B205" s="232" t="s">
        <v>432</v>
      </c>
      <c r="C205" s="232"/>
      <c r="D205" s="232"/>
      <c r="E205" s="232"/>
      <c r="F205" s="232"/>
      <c r="G205" s="232"/>
      <c r="H205" s="232"/>
      <c r="I205" s="232"/>
      <c r="J205" s="232"/>
      <c r="K205" s="232"/>
      <c r="L205" s="232"/>
      <c r="M205" s="232"/>
      <c r="N205" s="232"/>
      <c r="O205" s="232"/>
      <c r="P205" s="232"/>
      <c r="Q205" s="232"/>
      <c r="R205" s="232"/>
      <c r="S205" s="232"/>
    </row>
    <row r="206" spans="2:19" ht="22.5" customHeight="1">
      <c r="B206" s="35" t="s">
        <v>433</v>
      </c>
      <c r="C206" s="35"/>
      <c r="D206" s="35"/>
      <c r="E206" s="108" t="s">
        <v>223</v>
      </c>
      <c r="F206" s="108" t="s">
        <v>224</v>
      </c>
      <c r="G206" s="108" t="s">
        <v>225</v>
      </c>
      <c r="H206" s="108" t="s">
        <v>226</v>
      </c>
      <c r="I206" s="108" t="s">
        <v>93</v>
      </c>
      <c r="J206" s="108" t="s">
        <v>94</v>
      </c>
      <c r="K206" s="108" t="s">
        <v>227</v>
      </c>
      <c r="L206" s="108" t="s">
        <v>95</v>
      </c>
      <c r="M206" s="108" t="s">
        <v>228</v>
      </c>
      <c r="N206" s="108" t="s">
        <v>96</v>
      </c>
      <c r="O206" s="108" t="s">
        <v>229</v>
      </c>
      <c r="P206" s="108" t="s">
        <v>230</v>
      </c>
      <c r="Q206" s="108" t="s">
        <v>231</v>
      </c>
      <c r="R206" s="108" t="s">
        <v>232</v>
      </c>
      <c r="S206" s="108" t="s">
        <v>97</v>
      </c>
    </row>
    <row r="207" spans="2:19" ht="22.5" customHeight="1">
      <c r="B207" s="35" t="s">
        <v>434</v>
      </c>
      <c r="C207" s="35" t="s">
        <v>311</v>
      </c>
      <c r="D207" s="54" t="s">
        <v>435</v>
      </c>
      <c r="E207" s="88">
        <v>38900</v>
      </c>
      <c r="F207" s="88">
        <v>44446</v>
      </c>
      <c r="G207" s="88">
        <v>52127</v>
      </c>
      <c r="H207" s="88">
        <v>59598</v>
      </c>
      <c r="I207" s="88">
        <v>70843</v>
      </c>
      <c r="J207" s="88">
        <f t="shared" ref="J207:S207" si="73">I207*(1+J53)</f>
        <v>81469.45</v>
      </c>
      <c r="K207" s="88">
        <f t="shared" si="73"/>
        <v>92060.478499999983</v>
      </c>
      <c r="L207" s="88">
        <f t="shared" si="73"/>
        <v>103107.73591999999</v>
      </c>
      <c r="M207" s="88">
        <f t="shared" si="73"/>
        <v>114449.58687120001</v>
      </c>
      <c r="N207" s="88">
        <f t="shared" si="73"/>
        <v>125894.54555832002</v>
      </c>
      <c r="O207" s="88">
        <f t="shared" si="73"/>
        <v>137602.73829524379</v>
      </c>
      <c r="P207" s="88">
        <f t="shared" si="73"/>
        <v>149436.57378863476</v>
      </c>
      <c r="Q207" s="88">
        <f t="shared" si="73"/>
        <v>161242.06311793689</v>
      </c>
      <c r="R207" s="88">
        <f t="shared" si="73"/>
        <v>172851.49166242837</v>
      </c>
      <c r="S207" s="88">
        <f t="shared" si="73"/>
        <v>184086.8386204862</v>
      </c>
    </row>
    <row r="208" spans="2:19" ht="22.5" customHeight="1">
      <c r="B208" s="35" t="s">
        <v>436</v>
      </c>
      <c r="C208" s="35" t="s">
        <v>311</v>
      </c>
      <c r="D208" s="54" t="s">
        <v>435</v>
      </c>
      <c r="E208" s="88">
        <v>10400</v>
      </c>
      <c r="F208" s="88">
        <v>12757</v>
      </c>
      <c r="G208" s="88">
        <v>15388</v>
      </c>
      <c r="H208" s="88">
        <v>17621</v>
      </c>
      <c r="I208" s="88">
        <v>19957</v>
      </c>
      <c r="J208" s="88">
        <f t="shared" ref="J208:S208" si="74">I208*(1+J57)</f>
        <v>21154.420000000002</v>
      </c>
      <c r="K208" s="88">
        <f t="shared" si="74"/>
        <v>22846.773600000004</v>
      </c>
      <c r="L208" s="88">
        <f t="shared" si="74"/>
        <v>24674.515488000005</v>
      </c>
      <c r="M208" s="88">
        <f t="shared" si="74"/>
        <v>26648.476727040008</v>
      </c>
      <c r="N208" s="88">
        <f t="shared" si="74"/>
        <v>28780.354865203211</v>
      </c>
      <c r="O208" s="88">
        <f t="shared" si="74"/>
        <v>30996.442189823858</v>
      </c>
      <c r="P208" s="88">
        <f t="shared" si="74"/>
        <v>33290.178911870826</v>
      </c>
      <c r="Q208" s="88">
        <f t="shared" si="74"/>
        <v>35653.781614613654</v>
      </c>
      <c r="R208" s="88">
        <f t="shared" si="74"/>
        <v>38078.238764407382</v>
      </c>
      <c r="S208" s="88">
        <f t="shared" si="74"/>
        <v>40553.324284093862</v>
      </c>
    </row>
    <row r="209" spans="2:19" ht="22.5" customHeight="1">
      <c r="B209" s="35" t="s">
        <v>437</v>
      </c>
      <c r="C209" s="35" t="s">
        <v>311</v>
      </c>
      <c r="D209" s="54" t="s">
        <v>435</v>
      </c>
      <c r="E209" s="88">
        <v>18300</v>
      </c>
      <c r="F209" s="88">
        <v>18886</v>
      </c>
      <c r="G209" s="88">
        <v>19342</v>
      </c>
      <c r="H209" s="88">
        <v>21633</v>
      </c>
      <c r="I209" s="88">
        <v>24591</v>
      </c>
      <c r="J209" s="88">
        <f t="shared" ref="J209:S209" si="75">I209*(1+J61)</f>
        <v>28279.649999999998</v>
      </c>
      <c r="K209" s="88">
        <f t="shared" si="75"/>
        <v>31956.004499999995</v>
      </c>
      <c r="L209" s="88">
        <f t="shared" si="75"/>
        <v>35790.725039999998</v>
      </c>
      <c r="M209" s="88">
        <f t="shared" si="75"/>
        <v>39727.704794400001</v>
      </c>
      <c r="N209" s="88">
        <f t="shared" si="75"/>
        <v>43700.475273840006</v>
      </c>
      <c r="O209" s="88">
        <f t="shared" si="75"/>
        <v>47764.619474307125</v>
      </c>
      <c r="P209" s="88">
        <f t="shared" si="75"/>
        <v>51872.376749097544</v>
      </c>
      <c r="Q209" s="88">
        <f t="shared" si="75"/>
        <v>55970.294512276247</v>
      </c>
      <c r="R209" s="88">
        <f t="shared" si="75"/>
        <v>60000.155717160138</v>
      </c>
      <c r="S209" s="88">
        <f t="shared" si="75"/>
        <v>63900.165838775545</v>
      </c>
    </row>
    <row r="210" spans="2:19" ht="22.5" customHeight="1">
      <c r="B210" s="35" t="s">
        <v>438</v>
      </c>
      <c r="C210" s="35" t="s">
        <v>311</v>
      </c>
      <c r="D210" s="54" t="s">
        <v>435</v>
      </c>
      <c r="E210" s="88">
        <v>14100</v>
      </c>
      <c r="F210" s="88">
        <v>18740</v>
      </c>
      <c r="G210" s="88">
        <v>22912</v>
      </c>
      <c r="H210" s="88">
        <v>27746</v>
      </c>
      <c r="I210" s="88">
        <v>27667</v>
      </c>
      <c r="J210" s="88">
        <f t="shared" ref="J210:S210" si="76">I210*(1+J65)</f>
        <v>29880.36</v>
      </c>
      <c r="K210" s="88">
        <f t="shared" si="76"/>
        <v>32569.592400000001</v>
      </c>
      <c r="L210" s="88">
        <f t="shared" si="76"/>
        <v>35500.855716000005</v>
      </c>
      <c r="M210" s="88">
        <f t="shared" si="76"/>
        <v>38695.932730440007</v>
      </c>
      <c r="N210" s="88">
        <f t="shared" si="76"/>
        <v>42178.566676179609</v>
      </c>
      <c r="O210" s="88">
        <f t="shared" si="76"/>
        <v>45763.744843654873</v>
      </c>
      <c r="P210" s="88">
        <f t="shared" si="76"/>
        <v>49424.844431147263</v>
      </c>
      <c r="Q210" s="88">
        <f t="shared" si="76"/>
        <v>53131.707763483304</v>
      </c>
      <c r="R210" s="88">
        <f t="shared" si="76"/>
        <v>56850.927306927137</v>
      </c>
      <c r="S210" s="88">
        <f t="shared" si="76"/>
        <v>60546.237581877394</v>
      </c>
    </row>
    <row r="211" spans="2:19" ht="22.5" customHeight="1">
      <c r="B211" s="35" t="s">
        <v>439</v>
      </c>
      <c r="C211" s="35" t="s">
        <v>311</v>
      </c>
      <c r="D211" s="54" t="s">
        <v>440</v>
      </c>
      <c r="E211" s="88">
        <v>89591</v>
      </c>
      <c r="F211" s="88">
        <v>112875</v>
      </c>
      <c r="G211" s="88">
        <v>130547</v>
      </c>
      <c r="H211" s="88">
        <v>151883</v>
      </c>
      <c r="I211" s="88">
        <v>175786</v>
      </c>
      <c r="J211" s="88">
        <f t="shared" ref="J211:S211" si="77">I211*(1+J69)</f>
        <v>203911.75999999998</v>
      </c>
      <c r="K211" s="88">
        <f t="shared" si="77"/>
        <v>232459.40640000001</v>
      </c>
      <c r="L211" s="88">
        <f t="shared" si="77"/>
        <v>260354.53516800003</v>
      </c>
      <c r="M211" s="88">
        <f t="shared" si="77"/>
        <v>288993.53403648006</v>
      </c>
      <c r="N211" s="88">
        <f t="shared" si="77"/>
        <v>317892.88744012808</v>
      </c>
      <c r="O211" s="88">
        <f t="shared" si="77"/>
        <v>347456.92597205995</v>
      </c>
      <c r="P211" s="88">
        <f t="shared" si="77"/>
        <v>377338.22160565713</v>
      </c>
      <c r="Q211" s="88">
        <f t="shared" si="77"/>
        <v>407147.94111250405</v>
      </c>
      <c r="R211" s="88">
        <f t="shared" si="77"/>
        <v>436462.59287260438</v>
      </c>
      <c r="S211" s="88">
        <f t="shared" si="77"/>
        <v>464832.66140932363</v>
      </c>
    </row>
    <row r="212" spans="2:19" ht="22.5" customHeight="1">
      <c r="B212" s="35" t="s">
        <v>387</v>
      </c>
      <c r="C212" s="35" t="s">
        <v>311</v>
      </c>
      <c r="D212" s="54"/>
      <c r="E212" s="97">
        <f t="shared" ref="E212:S212" si="78">E207+E208+E209+E210+E211</f>
        <v>171291</v>
      </c>
      <c r="F212" s="97">
        <f t="shared" si="78"/>
        <v>207704</v>
      </c>
      <c r="G212" s="97">
        <f t="shared" si="78"/>
        <v>240316</v>
      </c>
      <c r="H212" s="97">
        <f t="shared" si="78"/>
        <v>278481</v>
      </c>
      <c r="I212" s="97">
        <f t="shared" si="78"/>
        <v>318844</v>
      </c>
      <c r="J212" s="97">
        <f t="shared" si="78"/>
        <v>364695.64</v>
      </c>
      <c r="K212" s="97">
        <f t="shared" si="78"/>
        <v>411892.25539999997</v>
      </c>
      <c r="L212" s="97">
        <f t="shared" si="78"/>
        <v>459428.36733200005</v>
      </c>
      <c r="M212" s="97">
        <f t="shared" si="78"/>
        <v>508515.23515956011</v>
      </c>
      <c r="N212" s="97">
        <f t="shared" si="78"/>
        <v>558446.82981367095</v>
      </c>
      <c r="O212" s="97">
        <f t="shared" si="78"/>
        <v>609584.47077508958</v>
      </c>
      <c r="P212" s="97">
        <f t="shared" si="78"/>
        <v>661362.19548640749</v>
      </c>
      <c r="Q212" s="97">
        <f t="shared" si="78"/>
        <v>713145.78812081413</v>
      </c>
      <c r="R212" s="97">
        <f t="shared" si="78"/>
        <v>764243.40632352745</v>
      </c>
      <c r="S212" s="97">
        <f t="shared" si="78"/>
        <v>813919.22773455665</v>
      </c>
    </row>
    <row r="213" spans="2:19" ht="22.5" customHeight="1">
      <c r="B213" s="35" t="s">
        <v>441</v>
      </c>
      <c r="C213" s="35" t="s">
        <v>311</v>
      </c>
      <c r="D213" s="54"/>
      <c r="E213" s="88">
        <v>171291</v>
      </c>
      <c r="F213" s="88">
        <v>207705</v>
      </c>
      <c r="G213" s="88">
        <v>240316</v>
      </c>
      <c r="H213" s="88">
        <v>278481</v>
      </c>
      <c r="I213" s="88">
        <v>318844</v>
      </c>
      <c r="J213" s="35"/>
      <c r="K213" s="35"/>
      <c r="L213" s="35"/>
      <c r="M213" s="35"/>
      <c r="N213" s="35"/>
      <c r="O213" s="35"/>
      <c r="P213" s="35"/>
      <c r="Q213" s="35"/>
      <c r="R213" s="35"/>
      <c r="S213" s="35"/>
    </row>
    <row r="214" spans="2:19" ht="18" customHeight="1">
      <c r="B214" s="56" t="s">
        <v>442</v>
      </c>
      <c r="C214" s="56" t="s">
        <v>311</v>
      </c>
      <c r="D214" s="57"/>
      <c r="F214" s="101">
        <f t="shared" ref="F214:S214" si="79">AVERAGE(F212,E212)</f>
        <v>189497.5</v>
      </c>
      <c r="G214" s="101">
        <f t="shared" si="79"/>
        <v>224010</v>
      </c>
      <c r="H214" s="101">
        <f t="shared" si="79"/>
        <v>259398.5</v>
      </c>
      <c r="I214" s="101">
        <f t="shared" si="79"/>
        <v>298662.5</v>
      </c>
      <c r="J214" s="94">
        <f t="shared" si="79"/>
        <v>341769.82</v>
      </c>
      <c r="K214" s="94">
        <f t="shared" si="79"/>
        <v>388293.94770000002</v>
      </c>
      <c r="L214" s="94">
        <f t="shared" si="79"/>
        <v>435660.31136599998</v>
      </c>
      <c r="M214" s="94">
        <f t="shared" si="79"/>
        <v>483971.80124578008</v>
      </c>
      <c r="N214" s="94">
        <f t="shared" si="79"/>
        <v>533481.03248661547</v>
      </c>
      <c r="O214" s="94">
        <f t="shared" si="79"/>
        <v>584015.65029438026</v>
      </c>
      <c r="P214" s="94">
        <f t="shared" si="79"/>
        <v>635473.33313074848</v>
      </c>
      <c r="Q214" s="94">
        <f t="shared" si="79"/>
        <v>687253.99180361081</v>
      </c>
      <c r="R214" s="94">
        <f t="shared" si="79"/>
        <v>738694.59722217079</v>
      </c>
      <c r="S214" s="94">
        <f t="shared" si="79"/>
        <v>789081.31702904205</v>
      </c>
    </row>
    <row r="215" spans="2:19" ht="22.5" customHeight="1">
      <c r="B215" s="35" t="s">
        <v>443</v>
      </c>
      <c r="C215" s="35" t="s">
        <v>168</v>
      </c>
      <c r="D215" s="54"/>
      <c r="E215" s="35"/>
      <c r="F215" s="59">
        <f t="shared" ref="F215:S215" si="80">F212/E212-1</f>
        <v>0.21257976192561201</v>
      </c>
      <c r="G215" s="59">
        <f t="shared" si="80"/>
        <v>0.1570119015522089</v>
      </c>
      <c r="H215" s="59">
        <f t="shared" si="80"/>
        <v>0.15881173122055969</v>
      </c>
      <c r="I215" s="59">
        <f t="shared" si="80"/>
        <v>0.14493987022453947</v>
      </c>
      <c r="J215" s="59">
        <f t="shared" si="80"/>
        <v>0.14380587371880926</v>
      </c>
      <c r="K215" s="59">
        <f t="shared" si="80"/>
        <v>0.12941370892177373</v>
      </c>
      <c r="L215" s="59">
        <f t="shared" si="80"/>
        <v>0.11540909378312159</v>
      </c>
      <c r="M215" s="59">
        <f t="shared" si="80"/>
        <v>0.10684335430269165</v>
      </c>
      <c r="N215" s="59">
        <f t="shared" si="80"/>
        <v>9.8190951227731693E-2</v>
      </c>
      <c r="O215" s="59">
        <f t="shared" si="80"/>
        <v>9.157119036467809E-2</v>
      </c>
      <c r="P215" s="59">
        <f t="shared" si="80"/>
        <v>8.4939376236868869E-2</v>
      </c>
      <c r="Q215" s="59">
        <f t="shared" si="80"/>
        <v>7.8298386251608676E-2</v>
      </c>
      <c r="R215" s="59">
        <f t="shared" si="80"/>
        <v>7.1651013094193416E-2</v>
      </c>
      <c r="S215" s="59">
        <f t="shared" si="80"/>
        <v>6.4999999999999947E-2</v>
      </c>
    </row>
    <row r="216" spans="2:19" ht="18" customHeight="1">
      <c r="B216" s="56" t="s">
        <v>444</v>
      </c>
      <c r="C216" s="56" t="s">
        <v>311</v>
      </c>
      <c r="D216" s="57"/>
      <c r="E216" s="101">
        <f t="shared" ref="E216:S216" si="81">E103*E212</f>
        <v>5018.8262999999997</v>
      </c>
      <c r="F216" s="101">
        <f t="shared" si="81"/>
        <v>5026.4367999999995</v>
      </c>
      <c r="G216" s="101">
        <f t="shared" si="81"/>
        <v>4998.5727999999999</v>
      </c>
      <c r="H216" s="101">
        <f t="shared" si="81"/>
        <v>5291.1390000000001</v>
      </c>
      <c r="I216" s="101">
        <f t="shared" si="81"/>
        <v>5771.0764000000008</v>
      </c>
      <c r="J216" s="94">
        <f t="shared" si="81"/>
        <v>6746.8693400000002</v>
      </c>
      <c r="K216" s="94">
        <f t="shared" si="81"/>
        <v>7620.0067248999994</v>
      </c>
      <c r="L216" s="94">
        <f t="shared" si="81"/>
        <v>8269.710611976001</v>
      </c>
      <c r="M216" s="94">
        <f t="shared" si="81"/>
        <v>9153.2742328720815</v>
      </c>
      <c r="N216" s="94">
        <f t="shared" si="81"/>
        <v>10052.042936646076</v>
      </c>
      <c r="O216" s="94">
        <f t="shared" si="81"/>
        <v>10972.520473951612</v>
      </c>
      <c r="P216" s="94">
        <f t="shared" si="81"/>
        <v>11904.519518755335</v>
      </c>
      <c r="Q216" s="94">
        <f t="shared" si="81"/>
        <v>12836.624186174653</v>
      </c>
      <c r="R216" s="94">
        <f t="shared" si="81"/>
        <v>13756.381313823493</v>
      </c>
      <c r="S216" s="94">
        <f t="shared" si="81"/>
        <v>14650.546099222018</v>
      </c>
    </row>
    <row r="217" spans="2:19" ht="18" customHeight="1">
      <c r="B217" s="56"/>
      <c r="C217" s="56"/>
      <c r="D217" s="57"/>
      <c r="E217" s="101"/>
      <c r="F217" s="101"/>
      <c r="G217" s="101"/>
      <c r="H217" s="101"/>
      <c r="I217" s="101"/>
      <c r="J217" s="94"/>
      <c r="K217" s="94"/>
      <c r="L217" s="94"/>
      <c r="M217" s="94"/>
      <c r="N217" s="94"/>
      <c r="O217" s="94"/>
      <c r="P217" s="94"/>
      <c r="Q217" s="94"/>
      <c r="R217" s="94"/>
      <c r="S217" s="94"/>
    </row>
    <row r="218" spans="2:19" ht="22.5" customHeight="1">
      <c r="B218" s="35" t="s">
        <v>445</v>
      </c>
      <c r="C218" s="35"/>
      <c r="D218" s="35"/>
      <c r="E218" s="108" t="s">
        <v>223</v>
      </c>
      <c r="F218" s="108" t="s">
        <v>224</v>
      </c>
      <c r="G218" s="108" t="s">
        <v>225</v>
      </c>
      <c r="H218" s="108" t="s">
        <v>226</v>
      </c>
      <c r="I218" s="108" t="s">
        <v>93</v>
      </c>
      <c r="J218" s="108" t="s">
        <v>94</v>
      </c>
      <c r="K218" s="108" t="s">
        <v>227</v>
      </c>
      <c r="L218" s="108" t="s">
        <v>95</v>
      </c>
      <c r="M218" s="108" t="s">
        <v>228</v>
      </c>
      <c r="N218" s="108" t="s">
        <v>96</v>
      </c>
      <c r="O218" s="108" t="s">
        <v>229</v>
      </c>
      <c r="P218" s="108" t="s">
        <v>230</v>
      </c>
      <c r="Q218" s="108" t="s">
        <v>231</v>
      </c>
      <c r="R218" s="108" t="s">
        <v>232</v>
      </c>
      <c r="S218" s="108" t="s">
        <v>97</v>
      </c>
    </row>
    <row r="219" spans="2:19" ht="18" customHeight="1">
      <c r="B219" s="56" t="s">
        <v>446</v>
      </c>
      <c r="C219" s="56" t="s">
        <v>311</v>
      </c>
      <c r="D219" s="57"/>
      <c r="E219" s="98">
        <v>34400</v>
      </c>
      <c r="F219" s="62">
        <v>44521</v>
      </c>
      <c r="G219" s="62">
        <v>53201</v>
      </c>
      <c r="H219" s="62">
        <v>56336</v>
      </c>
      <c r="I219" s="62">
        <v>71828</v>
      </c>
      <c r="J219" s="94">
        <f t="shared" ref="J219:S219" si="82">J222*J73*J224</f>
        <v>80181.449534497879</v>
      </c>
      <c r="K219" s="94">
        <f t="shared" si="82"/>
        <v>89505.027976347759</v>
      </c>
      <c r="L219" s="94">
        <f t="shared" si="82"/>
        <v>98687.196602244454</v>
      </c>
      <c r="M219" s="94">
        <f t="shared" si="82"/>
        <v>109231.26771395744</v>
      </c>
      <c r="N219" s="94">
        <f t="shared" si="82"/>
        <v>119956.78979460192</v>
      </c>
      <c r="O219" s="94">
        <f t="shared" si="82"/>
        <v>130941.37582841908</v>
      </c>
      <c r="P219" s="94">
        <f t="shared" si="82"/>
        <v>142063.45461488242</v>
      </c>
      <c r="Q219" s="94">
        <f t="shared" si="82"/>
        <v>153186.79385655638</v>
      </c>
      <c r="R219" s="94">
        <f t="shared" si="82"/>
        <v>164162.78282903001</v>
      </c>
      <c r="S219" s="94">
        <f t="shared" si="82"/>
        <v>174833.36371291691</v>
      </c>
    </row>
    <row r="220" spans="2:19" ht="18" customHeight="1">
      <c r="B220" s="56" t="s">
        <v>447</v>
      </c>
      <c r="C220" s="56" t="s">
        <v>311</v>
      </c>
      <c r="D220" s="57"/>
      <c r="E220" s="98">
        <v>100700</v>
      </c>
      <c r="F220" s="62">
        <v>116484</v>
      </c>
      <c r="G220" s="62">
        <v>124726</v>
      </c>
      <c r="H220" s="62">
        <v>140534</v>
      </c>
      <c r="I220" s="62">
        <v>162628</v>
      </c>
      <c r="J220" s="94">
        <f t="shared" ref="J220:S220" si="83">J222*J73*(1-J224)</f>
        <v>181541.30387726682</v>
      </c>
      <c r="K220" s="94">
        <f t="shared" si="83"/>
        <v>202651.10666783823</v>
      </c>
      <c r="L220" s="94">
        <f t="shared" si="83"/>
        <v>223440.7391132958</v>
      </c>
      <c r="M220" s="94">
        <f t="shared" si="83"/>
        <v>247313.89716803297</v>
      </c>
      <c r="N220" s="94">
        <f t="shared" si="83"/>
        <v>271597.88398279954</v>
      </c>
      <c r="O220" s="94">
        <f t="shared" si="83"/>
        <v>296468.42551963218</v>
      </c>
      <c r="P220" s="94">
        <f t="shared" si="83"/>
        <v>321650.26865719637</v>
      </c>
      <c r="Q220" s="94">
        <f t="shared" si="83"/>
        <v>346834.96563045128</v>
      </c>
      <c r="R220" s="94">
        <f t="shared" si="83"/>
        <v>371686.04229436285</v>
      </c>
      <c r="S220" s="94">
        <f t="shared" si="83"/>
        <v>395845.63504349632</v>
      </c>
    </row>
    <row r="221" spans="2:19" ht="18" customHeight="1">
      <c r="B221" s="56" t="s">
        <v>448</v>
      </c>
      <c r="C221" s="56" t="s">
        <v>311</v>
      </c>
      <c r="D221" s="57"/>
      <c r="E221" s="98">
        <v>98200</v>
      </c>
      <c r="F221" s="62">
        <v>100486</v>
      </c>
      <c r="G221" s="62">
        <v>115848</v>
      </c>
      <c r="H221" s="62">
        <v>130584</v>
      </c>
      <c r="I221" s="62">
        <v>146033</v>
      </c>
      <c r="J221" s="94">
        <f t="shared" ref="J221:S221" si="84">J222*(1-J73)</f>
        <v>167330.94070588236</v>
      </c>
      <c r="K221" s="94">
        <f t="shared" si="84"/>
        <v>186788.34837906976</v>
      </c>
      <c r="L221" s="94">
        <f t="shared" si="84"/>
        <v>205950.64742468967</v>
      </c>
      <c r="M221" s="94">
        <f t="shared" si="84"/>
        <v>227955.10541635452</v>
      </c>
      <c r="N221" s="94">
        <f t="shared" si="84"/>
        <v>250338.23405440419</v>
      </c>
      <c r="O221" s="94">
        <f t="shared" si="84"/>
        <v>273262.00414055737</v>
      </c>
      <c r="P221" s="94">
        <f t="shared" si="84"/>
        <v>296472.708321493</v>
      </c>
      <c r="Q221" s="94">
        <f t="shared" si="84"/>
        <v>319686.04295070982</v>
      </c>
      <c r="R221" s="94">
        <f t="shared" si="84"/>
        <v>342591.871800202</v>
      </c>
      <c r="S221" s="94">
        <f t="shared" si="84"/>
        <v>364860.34346721508</v>
      </c>
    </row>
    <row r="222" spans="2:19" ht="18" customHeight="1">
      <c r="B222" s="73" t="s">
        <v>449</v>
      </c>
      <c r="C222" s="56" t="s">
        <v>311</v>
      </c>
      <c r="D222" s="57"/>
      <c r="E222" s="95">
        <f>E219+E220+E221</f>
        <v>233300</v>
      </c>
      <c r="F222" s="95">
        <f>F219+F220+F221</f>
        <v>261491</v>
      </c>
      <c r="G222" s="95">
        <f>G219+G220+G221</f>
        <v>293775</v>
      </c>
      <c r="H222" s="95">
        <f>H219+H220+H221</f>
        <v>327454</v>
      </c>
      <c r="I222" s="95">
        <f>I219+I220+I221</f>
        <v>380489</v>
      </c>
      <c r="J222" s="96">
        <f t="shared" ref="J222:S222" si="85">J212/J74</f>
        <v>429053.69411764707</v>
      </c>
      <c r="K222" s="96">
        <f t="shared" si="85"/>
        <v>478944.48302325577</v>
      </c>
      <c r="L222" s="96">
        <f t="shared" si="85"/>
        <v>528078.58314022992</v>
      </c>
      <c r="M222" s="96">
        <f t="shared" si="85"/>
        <v>584500.2702983449</v>
      </c>
      <c r="N222" s="96">
        <f t="shared" si="85"/>
        <v>641892.90783180564</v>
      </c>
      <c r="O222" s="96">
        <f t="shared" si="85"/>
        <v>700671.80548860866</v>
      </c>
      <c r="P222" s="96">
        <f t="shared" si="85"/>
        <v>760186.43159357179</v>
      </c>
      <c r="Q222" s="96">
        <f t="shared" si="85"/>
        <v>819707.80243771744</v>
      </c>
      <c r="R222" s="96">
        <f t="shared" si="85"/>
        <v>878440.69692359481</v>
      </c>
      <c r="S222" s="96">
        <f t="shared" si="85"/>
        <v>935539.34222362831</v>
      </c>
    </row>
    <row r="223" spans="2:19" ht="18" customHeight="1">
      <c r="B223" s="56" t="s">
        <v>450</v>
      </c>
      <c r="C223" s="56" t="s">
        <v>311</v>
      </c>
      <c r="D223" s="57"/>
      <c r="E223" s="101">
        <f t="shared" ref="E223:S223" si="86">E219+E220</f>
        <v>135100</v>
      </c>
      <c r="F223" s="101">
        <f t="shared" si="86"/>
        <v>161005</v>
      </c>
      <c r="G223" s="101">
        <f t="shared" si="86"/>
        <v>177927</v>
      </c>
      <c r="H223" s="101">
        <f t="shared" si="86"/>
        <v>196870</v>
      </c>
      <c r="I223" s="101">
        <f t="shared" si="86"/>
        <v>234456</v>
      </c>
      <c r="J223" s="94">
        <f t="shared" si="86"/>
        <v>261722.75341176469</v>
      </c>
      <c r="K223" s="94">
        <f t="shared" si="86"/>
        <v>292156.13464418601</v>
      </c>
      <c r="L223" s="94">
        <f t="shared" si="86"/>
        <v>322127.93571554025</v>
      </c>
      <c r="M223" s="94">
        <f t="shared" si="86"/>
        <v>356545.16488199041</v>
      </c>
      <c r="N223" s="94">
        <f t="shared" si="86"/>
        <v>391554.67377740145</v>
      </c>
      <c r="O223" s="94">
        <f t="shared" si="86"/>
        <v>427409.80134805129</v>
      </c>
      <c r="P223" s="94">
        <f t="shared" si="86"/>
        <v>463713.72327207879</v>
      </c>
      <c r="Q223" s="94">
        <f t="shared" si="86"/>
        <v>500021.75948700763</v>
      </c>
      <c r="R223" s="94">
        <f t="shared" si="86"/>
        <v>535848.82512339286</v>
      </c>
      <c r="S223" s="94">
        <f t="shared" si="86"/>
        <v>570678.99875641323</v>
      </c>
    </row>
    <row r="224" spans="2:19" ht="22.5" customHeight="1">
      <c r="B224" s="35" t="s">
        <v>451</v>
      </c>
      <c r="C224" s="35" t="s">
        <v>168</v>
      </c>
      <c r="D224" s="54"/>
      <c r="E224" s="59">
        <f>E219/E223</f>
        <v>0.25462620281273129</v>
      </c>
      <c r="F224" s="59">
        <f>F219/F223</f>
        <v>0.27651936275270955</v>
      </c>
      <c r="G224" s="59">
        <f>G219/G223</f>
        <v>0.29900464797360715</v>
      </c>
      <c r="H224" s="59">
        <f>H219/H223</f>
        <v>0.28615837862548887</v>
      </c>
      <c r="I224" s="59">
        <f>I219/I223</f>
        <v>0.30636025522912613</v>
      </c>
      <c r="J224" s="59">
        <f t="shared" ref="J224:S224" si="87">I224</f>
        <v>0.30636025522912613</v>
      </c>
      <c r="K224" s="59">
        <f t="shared" si="87"/>
        <v>0.30636025522912613</v>
      </c>
      <c r="L224" s="59">
        <f t="shared" si="87"/>
        <v>0.30636025522912613</v>
      </c>
      <c r="M224" s="59">
        <f t="shared" si="87"/>
        <v>0.30636025522912613</v>
      </c>
      <c r="N224" s="59">
        <f t="shared" si="87"/>
        <v>0.30636025522912613</v>
      </c>
      <c r="O224" s="59">
        <f t="shared" si="87"/>
        <v>0.30636025522912613</v>
      </c>
      <c r="P224" s="59">
        <f t="shared" si="87"/>
        <v>0.30636025522912613</v>
      </c>
      <c r="Q224" s="59">
        <f t="shared" si="87"/>
        <v>0.30636025522912613</v>
      </c>
      <c r="R224" s="59">
        <f t="shared" si="87"/>
        <v>0.30636025522912613</v>
      </c>
      <c r="S224" s="59">
        <f t="shared" si="87"/>
        <v>0.30636025522912613</v>
      </c>
    </row>
    <row r="225" spans="2:19" ht="22.5" customHeight="1">
      <c r="B225" s="35" t="s">
        <v>452</v>
      </c>
      <c r="C225" s="35" t="s">
        <v>168</v>
      </c>
      <c r="D225" s="54"/>
      <c r="E225" s="35"/>
      <c r="F225" s="59">
        <f t="shared" ref="F225:S225" si="88">F222/E222-1</f>
        <v>0.12083583369052731</v>
      </c>
      <c r="G225" s="59">
        <f t="shared" si="88"/>
        <v>0.12346122811110138</v>
      </c>
      <c r="H225" s="59">
        <f t="shared" si="88"/>
        <v>0.11464215811420297</v>
      </c>
      <c r="I225" s="59">
        <f t="shared" si="88"/>
        <v>0.16196168011384815</v>
      </c>
      <c r="J225" s="59">
        <f t="shared" si="88"/>
        <v>0.12763757721681057</v>
      </c>
      <c r="K225" s="59">
        <f t="shared" si="88"/>
        <v>0.11628099137617154</v>
      </c>
      <c r="L225" s="59">
        <f t="shared" si="88"/>
        <v>0.10258829960170646</v>
      </c>
      <c r="M225" s="59">
        <f t="shared" si="88"/>
        <v>0.10684335430269165</v>
      </c>
      <c r="N225" s="59">
        <f t="shared" si="88"/>
        <v>9.8190951227731693E-2</v>
      </c>
      <c r="O225" s="59">
        <f t="shared" si="88"/>
        <v>9.157119036467809E-2</v>
      </c>
      <c r="P225" s="59">
        <f t="shared" si="88"/>
        <v>8.4939376236868869E-2</v>
      </c>
      <c r="Q225" s="59">
        <f t="shared" si="88"/>
        <v>7.8298386251608676E-2</v>
      </c>
      <c r="R225" s="59">
        <f t="shared" si="88"/>
        <v>7.1651013094193416E-2</v>
      </c>
      <c r="S225" s="59">
        <f t="shared" si="88"/>
        <v>6.4999999999999725E-2</v>
      </c>
    </row>
    <row r="226" spans="2:19" ht="18" customHeight="1">
      <c r="B226" s="56" t="s">
        <v>453</v>
      </c>
      <c r="C226" s="56" t="s">
        <v>168</v>
      </c>
      <c r="D226" s="57" t="s">
        <v>454</v>
      </c>
      <c r="E226" s="68">
        <v>0.04</v>
      </c>
      <c r="F226" s="68">
        <v>3.4000000000000002E-2</v>
      </c>
      <c r="G226" s="68">
        <v>4.7E-2</v>
      </c>
      <c r="H226" s="68">
        <v>5.0999999999999997E-2</v>
      </c>
      <c r="I226" s="68">
        <v>0.05</v>
      </c>
      <c r="J226" s="104">
        <f t="shared" ref="J226:S226" si="89">I226+$E$45*(J44-I44)+J84</f>
        <v>4.5999999999999999E-2</v>
      </c>
      <c r="K226" s="104">
        <f t="shared" si="89"/>
        <v>4.2999999999999997E-2</v>
      </c>
      <c r="L226" s="104">
        <f t="shared" si="89"/>
        <v>0.04</v>
      </c>
      <c r="M226" s="104">
        <f t="shared" si="89"/>
        <v>3.85E-2</v>
      </c>
      <c r="N226" s="104">
        <f t="shared" si="89"/>
        <v>3.85E-2</v>
      </c>
      <c r="O226" s="104">
        <f t="shared" si="89"/>
        <v>3.85E-2</v>
      </c>
      <c r="P226" s="104">
        <f t="shared" si="89"/>
        <v>3.85E-2</v>
      </c>
      <c r="Q226" s="104">
        <f t="shared" si="89"/>
        <v>3.85E-2</v>
      </c>
      <c r="R226" s="104">
        <f t="shared" si="89"/>
        <v>3.85E-2</v>
      </c>
      <c r="S226" s="104">
        <f t="shared" si="89"/>
        <v>3.85E-2</v>
      </c>
    </row>
    <row r="227" spans="2:19" ht="22.5" customHeight="1">
      <c r="B227" s="35" t="s">
        <v>455</v>
      </c>
      <c r="C227" s="35" t="s">
        <v>168</v>
      </c>
      <c r="D227" s="54" t="s">
        <v>456</v>
      </c>
      <c r="E227" s="35"/>
      <c r="F227" s="71">
        <f>(F142-F260-F226*AVERAGE(F221,E221))/AVERAGE(F223,E223)</f>
        <v>3.1073740733861283E-3</v>
      </c>
      <c r="G227" s="71">
        <f>(G142-G260-G226*AVERAGE(G221,F221))/AVERAGE(G223,F223)</f>
        <v>1.9607104079874395E-3</v>
      </c>
      <c r="H227" s="71">
        <f>(H142-H260-H226*AVERAGE(H221,G221))/AVERAGE(H223,G223)</f>
        <v>1.9121951349663987E-3</v>
      </c>
      <c r="I227" s="71">
        <f>(I142-I260-I226*AVERAGE(I221,H221))/AVERAGE(I223,H223)</f>
        <v>4.7829530332045844E-3</v>
      </c>
      <c r="J227" s="71">
        <f t="shared" ref="J227:S227" si="90">I227+$E$46*(J44-I44)+J85</f>
        <v>2.7829530332045844E-3</v>
      </c>
      <c r="K227" s="71">
        <f t="shared" si="90"/>
        <v>2.2829530332045839E-3</v>
      </c>
      <c r="L227" s="71">
        <f t="shared" si="90"/>
        <v>1.7829530332045841E-3</v>
      </c>
      <c r="M227" s="71">
        <f t="shared" si="90"/>
        <v>1.5329530332045839E-3</v>
      </c>
      <c r="N227" s="71">
        <f t="shared" si="90"/>
        <v>1.5329530332045839E-3</v>
      </c>
      <c r="O227" s="71">
        <f t="shared" si="90"/>
        <v>1.5329530332045839E-3</v>
      </c>
      <c r="P227" s="71">
        <f t="shared" si="90"/>
        <v>1.5329530332045839E-3</v>
      </c>
      <c r="Q227" s="71">
        <f t="shared" si="90"/>
        <v>1.5329530332045839E-3</v>
      </c>
      <c r="R227" s="71">
        <f t="shared" si="90"/>
        <v>1.5329530332045839E-3</v>
      </c>
      <c r="S227" s="71">
        <f t="shared" si="90"/>
        <v>1.5329530332045839E-3</v>
      </c>
    </row>
    <row r="228" spans="2:19" ht="18" customHeight="1">
      <c r="B228" s="56" t="s">
        <v>457</v>
      </c>
      <c r="C228" s="56" t="s">
        <v>311</v>
      </c>
      <c r="D228" s="57"/>
      <c r="F228" s="101">
        <f>F142-F260</f>
        <v>3837.7165</v>
      </c>
      <c r="G228" s="101">
        <f>G142-G260</f>
        <v>5416.1227499999995</v>
      </c>
      <c r="H228" s="101">
        <f>H142-H260</f>
        <v>6642.3585000000003</v>
      </c>
      <c r="I228" s="101">
        <f>I142-I260</f>
        <v>7946.9310000000005</v>
      </c>
      <c r="J228" s="94">
        <f t="shared" ref="J228:S228" si="91">J226*AVERAGE(J221,I221)+J227*AVERAGE(J223,I223)</f>
        <v>7897.7917196447652</v>
      </c>
      <c r="K228" s="94">
        <f t="shared" si="91"/>
        <v>8245.8044590841273</v>
      </c>
      <c r="L228" s="94">
        <f t="shared" si="91"/>
        <v>8402.3997393237551</v>
      </c>
      <c r="M228" s="94">
        <f t="shared" si="91"/>
        <v>8872.872736247773</v>
      </c>
      <c r="N228" s="94">
        <f t="shared" si="91"/>
        <v>9780.5477432184925</v>
      </c>
      <c r="O228" s="94">
        <f t="shared" si="91"/>
        <v>10707.021623368191</v>
      </c>
      <c r="P228" s="94">
        <f t="shared" si="91"/>
        <v>11650.418469907663</v>
      </c>
      <c r="Q228" s="94">
        <f t="shared" si="91"/>
        <v>12599.736577741118</v>
      </c>
      <c r="R228" s="94">
        <f t="shared" si="91"/>
        <v>13542.820336298011</v>
      </c>
      <c r="S228" s="94">
        <f t="shared" si="91"/>
        <v>14466.582735868686</v>
      </c>
    </row>
    <row r="229" spans="2:19" ht="18" customHeight="1">
      <c r="B229" s="73" t="s">
        <v>458</v>
      </c>
      <c r="C229" s="56" t="s">
        <v>168</v>
      </c>
      <c r="D229" s="57"/>
      <c r="F229" s="80">
        <f t="shared" ref="F229:S229" si="92">F142/AVERAGE(F222,E222)</f>
        <v>1.6298473496890606E-2</v>
      </c>
      <c r="G229" s="80">
        <f t="shared" si="92"/>
        <v>2.1586655764984707E-2</v>
      </c>
      <c r="H229" s="80">
        <f t="shared" si="92"/>
        <v>2.5398134987259128E-2</v>
      </c>
      <c r="I229" s="80">
        <f t="shared" si="92"/>
        <v>2.5811131687155608E-2</v>
      </c>
      <c r="J229" s="75">
        <f t="shared" si="92"/>
        <v>2.1382389545441263E-2</v>
      </c>
      <c r="K229" s="75">
        <f t="shared" si="92"/>
        <v>1.9955592394715185E-2</v>
      </c>
      <c r="L229" s="75">
        <f t="shared" si="92"/>
        <v>1.8507803549776634E-2</v>
      </c>
      <c r="M229" s="75">
        <f t="shared" si="92"/>
        <v>1.7797182654783167E-2</v>
      </c>
      <c r="N229" s="75">
        <f t="shared" si="92"/>
        <v>1.7844292904338498E-2</v>
      </c>
      <c r="O229" s="75">
        <f t="shared" si="92"/>
        <v>1.77801983099189E-2</v>
      </c>
      <c r="P229" s="75">
        <f t="shared" si="92"/>
        <v>1.7632005547138053E-2</v>
      </c>
      <c r="Q229" s="75">
        <f t="shared" si="92"/>
        <v>1.7505283682764872E-2</v>
      </c>
      <c r="R229" s="75">
        <f t="shared" si="92"/>
        <v>1.7396985177507894E-2</v>
      </c>
      <c r="S229" s="75">
        <f t="shared" si="92"/>
        <v>1.730459453484082E-2</v>
      </c>
    </row>
    <row r="230" spans="2:19" ht="18" customHeight="1">
      <c r="B230" s="56" t="s">
        <v>459</v>
      </c>
      <c r="C230" s="56" t="s">
        <v>168</v>
      </c>
      <c r="D230" s="57"/>
      <c r="F230" s="60">
        <v>1.6199999999999999E-2</v>
      </c>
      <c r="G230" s="60">
        <v>2.1299999999999999E-2</v>
      </c>
      <c r="H230" s="60">
        <v>2.4899999999999999E-2</v>
      </c>
      <c r="I230" s="60">
        <v>2.58E-2</v>
      </c>
    </row>
    <row r="231" spans="2:19" ht="22.5" customHeight="1">
      <c r="B231" s="35" t="s">
        <v>460</v>
      </c>
      <c r="C231" s="35" t="s">
        <v>168</v>
      </c>
      <c r="D231" s="54"/>
      <c r="E231" s="59">
        <f t="shared" ref="E231:S231" si="93">E212/E222</f>
        <v>0.73420917273896269</v>
      </c>
      <c r="F231" s="59">
        <f t="shared" si="93"/>
        <v>0.79430649620828253</v>
      </c>
      <c r="G231" s="59">
        <f t="shared" si="93"/>
        <v>0.81802740192324053</v>
      </c>
      <c r="H231" s="59">
        <f t="shared" si="93"/>
        <v>0.85044311567426267</v>
      </c>
      <c r="I231" s="59">
        <f t="shared" si="93"/>
        <v>0.83798480376568052</v>
      </c>
      <c r="J231" s="59">
        <f t="shared" si="93"/>
        <v>0.85</v>
      </c>
      <c r="K231" s="59">
        <f t="shared" si="93"/>
        <v>0.86</v>
      </c>
      <c r="L231" s="59">
        <f t="shared" si="93"/>
        <v>0.87</v>
      </c>
      <c r="M231" s="59">
        <f t="shared" si="93"/>
        <v>0.87000000000000011</v>
      </c>
      <c r="N231" s="59">
        <f t="shared" si="93"/>
        <v>0.87000000000000011</v>
      </c>
      <c r="O231" s="59">
        <f t="shared" si="93"/>
        <v>0.87000000000000011</v>
      </c>
      <c r="P231" s="59">
        <f t="shared" si="93"/>
        <v>0.87</v>
      </c>
      <c r="Q231" s="59">
        <f t="shared" si="93"/>
        <v>0.87</v>
      </c>
      <c r="R231" s="59">
        <f t="shared" si="93"/>
        <v>0.87</v>
      </c>
      <c r="S231" s="59">
        <f t="shared" si="93"/>
        <v>0.87</v>
      </c>
    </row>
    <row r="232" spans="2:19" ht="18" customHeight="1">
      <c r="B232" s="56" t="s">
        <v>461</v>
      </c>
      <c r="C232" s="56" t="s">
        <v>311</v>
      </c>
      <c r="D232" s="57"/>
      <c r="E232" s="101">
        <f t="shared" ref="E232:S232" si="94">E174</f>
        <v>176374.8</v>
      </c>
      <c r="F232" s="101">
        <f t="shared" si="94"/>
        <v>195595.26800000001</v>
      </c>
      <c r="G232" s="101">
        <f t="shared" si="94"/>
        <v>226794.30000000002</v>
      </c>
      <c r="H232" s="101">
        <f t="shared" si="94"/>
        <v>253776.85</v>
      </c>
      <c r="I232" s="101">
        <f t="shared" si="94"/>
        <v>290313.10700000002</v>
      </c>
      <c r="J232" s="94">
        <f t="shared" si="94"/>
        <v>327367.96861176472</v>
      </c>
      <c r="K232" s="94">
        <f t="shared" si="94"/>
        <v>365434.64054674417</v>
      </c>
      <c r="L232" s="94">
        <f t="shared" si="94"/>
        <v>402923.95893599541</v>
      </c>
      <c r="M232" s="94">
        <f t="shared" si="94"/>
        <v>445973.70623763715</v>
      </c>
      <c r="N232" s="94">
        <f t="shared" si="94"/>
        <v>489764.28867566772</v>
      </c>
      <c r="O232" s="94">
        <f t="shared" si="94"/>
        <v>534612.58758780838</v>
      </c>
      <c r="P232" s="94">
        <f t="shared" si="94"/>
        <v>580022.24730589532</v>
      </c>
      <c r="Q232" s="94">
        <f t="shared" si="94"/>
        <v>625437.05325997842</v>
      </c>
      <c r="R232" s="94">
        <f t="shared" si="94"/>
        <v>670250.25175270287</v>
      </c>
      <c r="S232" s="94">
        <f t="shared" si="94"/>
        <v>713816.5181166284</v>
      </c>
    </row>
    <row r="233" spans="2:19" ht="18" customHeight="1">
      <c r="B233" s="56"/>
      <c r="C233" s="56"/>
      <c r="D233" s="57"/>
      <c r="E233" s="101"/>
      <c r="F233" s="101"/>
      <c r="G233" s="101"/>
      <c r="H233" s="101"/>
      <c r="I233" s="101"/>
      <c r="J233" s="94"/>
      <c r="K233" s="94"/>
      <c r="L233" s="94"/>
      <c r="M233" s="94"/>
      <c r="N233" s="94"/>
      <c r="O233" s="94"/>
      <c r="P233" s="94"/>
      <c r="Q233" s="94"/>
      <c r="R233" s="94"/>
      <c r="S233" s="94"/>
    </row>
    <row r="234" spans="2:19" ht="22.5" customHeight="1">
      <c r="B234" s="35" t="s">
        <v>462</v>
      </c>
      <c r="C234" s="35"/>
      <c r="D234" s="35"/>
      <c r="E234" s="108" t="s">
        <v>223</v>
      </c>
      <c r="F234" s="108" t="s">
        <v>224</v>
      </c>
      <c r="G234" s="108" t="s">
        <v>225</v>
      </c>
      <c r="H234" s="108" t="s">
        <v>226</v>
      </c>
      <c r="I234" s="108" t="s">
        <v>93</v>
      </c>
      <c r="J234" s="108" t="s">
        <v>94</v>
      </c>
      <c r="K234" s="108" t="s">
        <v>227</v>
      </c>
      <c r="L234" s="108" t="s">
        <v>95</v>
      </c>
      <c r="M234" s="108" t="s">
        <v>228</v>
      </c>
      <c r="N234" s="108" t="s">
        <v>96</v>
      </c>
      <c r="O234" s="108" t="s">
        <v>229</v>
      </c>
      <c r="P234" s="108" t="s">
        <v>230</v>
      </c>
      <c r="Q234" s="108" t="s">
        <v>231</v>
      </c>
      <c r="R234" s="108" t="s">
        <v>232</v>
      </c>
      <c r="S234" s="108" t="s">
        <v>97</v>
      </c>
    </row>
    <row r="235" spans="2:19" ht="18" customHeight="1">
      <c r="B235" s="56" t="s">
        <v>463</v>
      </c>
      <c r="C235" s="56" t="s">
        <v>168</v>
      </c>
      <c r="D235" s="57" t="s">
        <v>464</v>
      </c>
      <c r="F235" s="69">
        <f>F141/F214</f>
        <v>0.10355210490903574</v>
      </c>
      <c r="G235" s="69">
        <f>G141/G214</f>
        <v>9.9333703852506575E-2</v>
      </c>
      <c r="H235" s="69">
        <f>H141/H214</f>
        <v>9.7526404354689802E-2</v>
      </c>
      <c r="I235" s="69">
        <f>I141/I214</f>
        <v>9.4640241074791784E-2</v>
      </c>
      <c r="J235" s="104">
        <f t="shared" ref="J235:S235" si="95">I235+$E$47*(J44-I44)+J80</f>
        <v>8.7140241074791791E-2</v>
      </c>
      <c r="K235" s="104">
        <f t="shared" si="95"/>
        <v>8.639024107479179E-2</v>
      </c>
      <c r="L235" s="104">
        <f t="shared" si="95"/>
        <v>8.564024107479179E-2</v>
      </c>
      <c r="M235" s="104">
        <f t="shared" si="95"/>
        <v>8.5265241074791789E-2</v>
      </c>
      <c r="N235" s="104">
        <f t="shared" si="95"/>
        <v>8.5265241074791789E-2</v>
      </c>
      <c r="O235" s="104">
        <f t="shared" si="95"/>
        <v>8.5265241074791789E-2</v>
      </c>
      <c r="P235" s="104">
        <f t="shared" si="95"/>
        <v>8.5265241074791789E-2</v>
      </c>
      <c r="Q235" s="104">
        <f t="shared" si="95"/>
        <v>8.5265241074791789E-2</v>
      </c>
      <c r="R235" s="104">
        <f t="shared" si="95"/>
        <v>8.5265241074791789E-2</v>
      </c>
      <c r="S235" s="104">
        <f t="shared" si="95"/>
        <v>8.5265241074791789E-2</v>
      </c>
    </row>
    <row r="236" spans="2:19" ht="18" customHeight="1">
      <c r="B236" s="56" t="s">
        <v>465</v>
      </c>
      <c r="C236" s="56" t="s">
        <v>168</v>
      </c>
      <c r="D236" s="57"/>
      <c r="F236" s="60">
        <v>9.1499999999999998E-2</v>
      </c>
      <c r="G236" s="60">
        <v>8.9399999999999993E-2</v>
      </c>
      <c r="H236" s="60">
        <v>8.9499999999999996E-2</v>
      </c>
      <c r="I236" s="60">
        <v>9.0499999999999997E-2</v>
      </c>
    </row>
    <row r="237" spans="2:19" ht="22.5" customHeight="1">
      <c r="B237" s="35" t="s">
        <v>466</v>
      </c>
      <c r="C237" s="35" t="s">
        <v>311</v>
      </c>
      <c r="D237" s="54"/>
      <c r="E237" s="88">
        <f t="shared" ref="E237:S237" si="96">E141+E144</f>
        <v>20820.678</v>
      </c>
      <c r="F237" s="88">
        <f t="shared" si="96"/>
        <v>23323.976000000002</v>
      </c>
      <c r="G237" s="88">
        <f t="shared" si="96"/>
        <v>26456.208999999999</v>
      </c>
      <c r="H237" s="88">
        <f t="shared" si="96"/>
        <v>30854.682000000001</v>
      </c>
      <c r="I237" s="88">
        <f t="shared" si="96"/>
        <v>35202.087</v>
      </c>
      <c r="J237" s="88">
        <f t="shared" si="96"/>
        <v>38452.649506888192</v>
      </c>
      <c r="K237" s="88">
        <f t="shared" si="96"/>
        <v>43803.804499685597</v>
      </c>
      <c r="L237" s="88">
        <f t="shared" si="96"/>
        <v>49053.253652103085</v>
      </c>
      <c r="M237" s="88">
        <f t="shared" si="96"/>
        <v>54125.963822622653</v>
      </c>
      <c r="N237" s="88">
        <f t="shared" si="96"/>
        <v>59575.851511400098</v>
      </c>
      <c r="O237" s="88">
        <f t="shared" si="96"/>
        <v>65154.937052156027</v>
      </c>
      <c r="P237" s="88">
        <f t="shared" si="96"/>
        <v>70843.429906124322</v>
      </c>
      <c r="Q237" s="88">
        <f t="shared" si="96"/>
        <v>76577.438013608073</v>
      </c>
      <c r="R237" s="88">
        <f t="shared" si="96"/>
        <v>82286.182970592199</v>
      </c>
      <c r="S237" s="88">
        <f t="shared" si="96"/>
        <v>87893.233885938898</v>
      </c>
    </row>
    <row r="238" spans="2:19" ht="22.5" customHeight="1">
      <c r="B238" s="35" t="s">
        <v>467</v>
      </c>
      <c r="C238" s="35" t="s">
        <v>168</v>
      </c>
      <c r="D238" s="54"/>
      <c r="E238" s="35"/>
      <c r="F238" s="59">
        <f t="shared" ref="F238:S238" si="97">F237/E237-1</f>
        <v>0.12023133924841467</v>
      </c>
      <c r="G238" s="59">
        <f t="shared" si="97"/>
        <v>0.1342924122370901</v>
      </c>
      <c r="H238" s="59">
        <f t="shared" si="97"/>
        <v>0.16625484777505362</v>
      </c>
      <c r="I238" s="59">
        <f t="shared" si="97"/>
        <v>0.14089936172409745</v>
      </c>
      <c r="J238" s="59">
        <f t="shared" si="97"/>
        <v>9.2340050943235052E-2</v>
      </c>
      <c r="K238" s="59">
        <f t="shared" si="97"/>
        <v>0.13916219197948454</v>
      </c>
      <c r="L238" s="59">
        <f t="shared" si="97"/>
        <v>0.11984002787829007</v>
      </c>
      <c r="M238" s="59">
        <f t="shared" si="97"/>
        <v>0.10341230790716538</v>
      </c>
      <c r="N238" s="59">
        <f t="shared" si="97"/>
        <v>0.1006889726091047</v>
      </c>
      <c r="O238" s="59">
        <f t="shared" si="97"/>
        <v>9.3646761216469532E-2</v>
      </c>
      <c r="P238" s="59">
        <f t="shared" si="97"/>
        <v>8.730716521780546E-2</v>
      </c>
      <c r="Q238" s="59">
        <f t="shared" si="97"/>
        <v>8.0939165637264665E-2</v>
      </c>
      <c r="R238" s="59">
        <f t="shared" si="97"/>
        <v>7.4548654343459031E-2</v>
      </c>
      <c r="S238" s="59">
        <f t="shared" si="97"/>
        <v>6.8140855644629461E-2</v>
      </c>
    </row>
    <row r="239" spans="2:19" ht="18" customHeight="1">
      <c r="B239" s="56" t="s">
        <v>468</v>
      </c>
      <c r="C239" s="56" t="s">
        <v>168</v>
      </c>
      <c r="D239" s="57"/>
      <c r="E239" s="70">
        <f t="shared" ref="E239:S239" si="98">E144/E237</f>
        <v>0.14467569211723078</v>
      </c>
      <c r="F239" s="70">
        <f t="shared" si="98"/>
        <v>0.15868267914527093</v>
      </c>
      <c r="G239" s="70">
        <f t="shared" si="98"/>
        <v>0.15892171096773541</v>
      </c>
      <c r="H239" s="70">
        <f t="shared" si="98"/>
        <v>0.18008544051758499</v>
      </c>
      <c r="I239" s="70">
        <f t="shared" si="98"/>
        <v>0.1970507032722236</v>
      </c>
      <c r="J239" s="103">
        <f t="shared" si="98"/>
        <v>0.22549148397295146</v>
      </c>
      <c r="K239" s="103">
        <f t="shared" si="98"/>
        <v>0.22763677410877786</v>
      </c>
      <c r="L239" s="103">
        <f t="shared" si="98"/>
        <v>0.22766929262644722</v>
      </c>
      <c r="M239" s="103">
        <f t="shared" si="98"/>
        <v>0.22696522423616305</v>
      </c>
      <c r="N239" s="103">
        <f t="shared" si="98"/>
        <v>0.22682315610737336</v>
      </c>
      <c r="O239" s="103">
        <f t="shared" si="98"/>
        <v>0.22689641809523023</v>
      </c>
      <c r="P239" s="103">
        <f t="shared" si="98"/>
        <v>0.22704099704719571</v>
      </c>
      <c r="Q239" s="103">
        <f t="shared" si="98"/>
        <v>0.22726381522149638</v>
      </c>
      <c r="R239" s="103">
        <f t="shared" si="98"/>
        <v>0.2275707704717565</v>
      </c>
      <c r="S239" s="103">
        <f t="shared" si="98"/>
        <v>0.22796686702693839</v>
      </c>
    </row>
    <row r="240" spans="2:19" ht="22.5" customHeight="1">
      <c r="B240" s="35" t="s">
        <v>469</v>
      </c>
      <c r="C240" s="35" t="s">
        <v>311</v>
      </c>
      <c r="D240" s="54"/>
      <c r="E240" s="35"/>
      <c r="F240" s="88">
        <f t="shared" ref="F240:S240" si="99">(F214-E214)*E235</f>
        <v>0</v>
      </c>
      <c r="G240" s="88">
        <f t="shared" si="99"/>
        <v>3573.8420206730962</v>
      </c>
      <c r="H240" s="88">
        <f t="shared" si="99"/>
        <v>3515.2707787844288</v>
      </c>
      <c r="I240" s="88">
        <f t="shared" si="99"/>
        <v>3829.2767405825402</v>
      </c>
      <c r="J240" s="88">
        <f t="shared" si="99"/>
        <v>4079.6871568881938</v>
      </c>
      <c r="K240" s="88">
        <f t="shared" si="99"/>
        <v>4054.1237035723998</v>
      </c>
      <c r="L240" s="88">
        <f t="shared" si="99"/>
        <v>4091.9915759419955</v>
      </c>
      <c r="M240" s="88">
        <f t="shared" si="99"/>
        <v>4137.4076399867317</v>
      </c>
      <c r="N240" s="88">
        <f t="shared" si="99"/>
        <v>4221.4165371774425</v>
      </c>
      <c r="O240" s="88">
        <f t="shared" si="99"/>
        <v>4308.8463700015309</v>
      </c>
      <c r="P240" s="88">
        <f t="shared" si="99"/>
        <v>4387.5517321931111</v>
      </c>
      <c r="Q240" s="88">
        <f t="shared" si="99"/>
        <v>4415.0903447531155</v>
      </c>
      <c r="R240" s="88">
        <f t="shared" si="99"/>
        <v>4386.0956220467569</v>
      </c>
      <c r="S240" s="88">
        <f t="shared" si="99"/>
        <v>4296.235811300864</v>
      </c>
    </row>
    <row r="241" spans="2:19" ht="22.5" customHeight="1">
      <c r="B241" s="35" t="s">
        <v>470</v>
      </c>
      <c r="C241" s="35" t="s">
        <v>311</v>
      </c>
      <c r="D241" s="54"/>
      <c r="E241" s="35"/>
      <c r="F241" s="88">
        <f t="shared" ref="F241:S241" si="100">(F235-E235)*F214</f>
        <v>19622.865000000002</v>
      </c>
      <c r="G241" s="88">
        <f t="shared" si="100"/>
        <v>-944.96402067309862</v>
      </c>
      <c r="H241" s="88">
        <f t="shared" si="100"/>
        <v>-468.81077878442397</v>
      </c>
      <c r="I241" s="88">
        <f t="shared" si="100"/>
        <v>-861.98874058254194</v>
      </c>
      <c r="J241" s="88">
        <f t="shared" si="100"/>
        <v>-2563.2736499999974</v>
      </c>
      <c r="K241" s="88">
        <f t="shared" si="100"/>
        <v>-291.22046077500028</v>
      </c>
      <c r="L241" s="88">
        <f t="shared" si="100"/>
        <v>-326.74523352450029</v>
      </c>
      <c r="M241" s="88">
        <f t="shared" si="100"/>
        <v>-181.48942546716768</v>
      </c>
      <c r="N241" s="88">
        <f t="shared" si="100"/>
        <v>0</v>
      </c>
      <c r="O241" s="88">
        <f t="shared" si="100"/>
        <v>0</v>
      </c>
      <c r="P241" s="88">
        <f t="shared" si="100"/>
        <v>0</v>
      </c>
      <c r="Q241" s="88">
        <f t="shared" si="100"/>
        <v>0</v>
      </c>
      <c r="R241" s="88">
        <f t="shared" si="100"/>
        <v>0</v>
      </c>
      <c r="S241" s="88">
        <f t="shared" si="100"/>
        <v>0</v>
      </c>
    </row>
    <row r="242" spans="2:19" ht="18" customHeight="1">
      <c r="B242" s="56"/>
      <c r="C242" s="56"/>
      <c r="D242" s="57"/>
      <c r="F242" s="101"/>
      <c r="G242" s="101"/>
      <c r="H242" s="101"/>
      <c r="I242" s="101"/>
      <c r="J242" s="94"/>
      <c r="K242" s="94"/>
      <c r="L242" s="94"/>
      <c r="M242" s="94"/>
      <c r="N242" s="94"/>
      <c r="O242" s="94"/>
      <c r="P242" s="94"/>
      <c r="Q242" s="94"/>
      <c r="R242" s="94"/>
      <c r="S242" s="94"/>
    </row>
    <row r="243" spans="2:19" ht="22.5" customHeight="1">
      <c r="B243" s="35" t="s">
        <v>471</v>
      </c>
      <c r="C243" s="35"/>
      <c r="D243" s="35"/>
      <c r="E243" s="108" t="s">
        <v>223</v>
      </c>
      <c r="F243" s="108" t="s">
        <v>224</v>
      </c>
      <c r="G243" s="108" t="s">
        <v>225</v>
      </c>
      <c r="H243" s="108" t="s">
        <v>226</v>
      </c>
      <c r="I243" s="108" t="s">
        <v>93</v>
      </c>
      <c r="J243" s="108" t="s">
        <v>94</v>
      </c>
      <c r="K243" s="108" t="s">
        <v>227</v>
      </c>
      <c r="L243" s="108" t="s">
        <v>95</v>
      </c>
      <c r="M243" s="108" t="s">
        <v>228</v>
      </c>
      <c r="N243" s="108" t="s">
        <v>96</v>
      </c>
      <c r="O243" s="108" t="s">
        <v>229</v>
      </c>
      <c r="P243" s="108" t="s">
        <v>230</v>
      </c>
      <c r="Q243" s="108" t="s">
        <v>231</v>
      </c>
      <c r="R243" s="108" t="s">
        <v>232</v>
      </c>
      <c r="S243" s="108" t="s">
        <v>97</v>
      </c>
    </row>
    <row r="244" spans="2:19" ht="18" customHeight="1">
      <c r="B244" s="56" t="s">
        <v>472</v>
      </c>
      <c r="C244" s="56" t="s">
        <v>311</v>
      </c>
      <c r="D244" s="57"/>
      <c r="E244" s="101">
        <f t="shared" ref="E244:S244" si="101">E212+E164</f>
        <v>239025.52671281001</v>
      </c>
      <c r="F244" s="101">
        <f t="shared" si="101"/>
        <v>266027.41106815997</v>
      </c>
      <c r="G244" s="101">
        <f t="shared" si="101"/>
        <v>311937.72623679996</v>
      </c>
      <c r="H244" s="101">
        <f t="shared" si="101"/>
        <v>340907.25016390003</v>
      </c>
      <c r="I244" s="101">
        <f t="shared" si="101"/>
        <v>379213.83063232002</v>
      </c>
      <c r="J244" s="94">
        <f t="shared" si="101"/>
        <v>432770.92955121858</v>
      </c>
      <c r="K244" s="94">
        <f t="shared" si="101"/>
        <v>487883.40710845415</v>
      </c>
      <c r="L244" s="94">
        <f t="shared" si="101"/>
        <v>543215.32207899983</v>
      </c>
      <c r="M244" s="94">
        <f t="shared" si="101"/>
        <v>601254.26919853722</v>
      </c>
      <c r="N244" s="94">
        <f t="shared" si="101"/>
        <v>660291.99782087619</v>
      </c>
      <c r="O244" s="94">
        <f t="shared" si="101"/>
        <v>720755.72204960522</v>
      </c>
      <c r="P244" s="94">
        <f t="shared" si="101"/>
        <v>781976.26349965273</v>
      </c>
      <c r="Q244" s="94">
        <f t="shared" si="101"/>
        <v>843203.74301873823</v>
      </c>
      <c r="R244" s="94">
        <f t="shared" si="101"/>
        <v>903620.14545084676</v>
      </c>
      <c r="S244" s="94">
        <f t="shared" si="101"/>
        <v>962355.45490515162</v>
      </c>
    </row>
    <row r="245" spans="2:19" ht="22.5" customHeight="1">
      <c r="B245" s="35" t="s">
        <v>473</v>
      </c>
      <c r="C245" s="35" t="s">
        <v>168</v>
      </c>
      <c r="D245" s="54"/>
      <c r="E245" s="35"/>
      <c r="F245" s="71">
        <f t="shared" ref="F245:S245" si="102">F143/AVERAGE(F244,E244)</f>
        <v>6.173885877587483E-2</v>
      </c>
      <c r="G245" s="71">
        <f t="shared" si="102"/>
        <v>5.6261438452199435E-2</v>
      </c>
      <c r="H245" s="71">
        <f t="shared" si="102"/>
        <v>5.333325560987294E-2</v>
      </c>
      <c r="I245" s="71">
        <f t="shared" si="102"/>
        <v>5.3127415680844794E-2</v>
      </c>
      <c r="J245" s="71">
        <f t="shared" si="102"/>
        <v>5.2037739926222175E-2</v>
      </c>
      <c r="K245" s="71">
        <f t="shared" si="102"/>
        <v>5.3815261611609336E-2</v>
      </c>
      <c r="L245" s="71">
        <f t="shared" si="102"/>
        <v>5.5409711493468343E-2</v>
      </c>
      <c r="M245" s="71">
        <f t="shared" si="102"/>
        <v>5.5817765738485466E-2</v>
      </c>
      <c r="N245" s="71">
        <f t="shared" si="102"/>
        <v>5.5678670245775698E-2</v>
      </c>
      <c r="O245" s="71">
        <f t="shared" si="102"/>
        <v>5.5662061835253698E-2</v>
      </c>
      <c r="P245" s="71">
        <f t="shared" si="102"/>
        <v>5.5738664084906159E-2</v>
      </c>
      <c r="Q245" s="71">
        <f t="shared" si="102"/>
        <v>5.5804167822801225E-2</v>
      </c>
      <c r="R245" s="71">
        <f t="shared" si="102"/>
        <v>5.5860148351006583E-2</v>
      </c>
      <c r="S245" s="71">
        <f t="shared" si="102"/>
        <v>5.5907905953620426E-2</v>
      </c>
    </row>
    <row r="246" spans="2:19" ht="18" customHeight="1">
      <c r="B246" s="56" t="s">
        <v>474</v>
      </c>
      <c r="C246" s="56" t="s">
        <v>168</v>
      </c>
      <c r="D246" s="57"/>
      <c r="F246" s="60">
        <v>6.3100000000000003E-2</v>
      </c>
      <c r="G246" s="60">
        <v>5.8200000000000002E-2</v>
      </c>
      <c r="H246" s="60">
        <v>5.6599999999999998E-2</v>
      </c>
      <c r="I246" s="60">
        <v>5.5899999999999998E-2</v>
      </c>
    </row>
    <row r="247" spans="2:19" ht="18" customHeight="1">
      <c r="B247" s="56" t="s">
        <v>475</v>
      </c>
      <c r="C247" s="56" t="s">
        <v>168</v>
      </c>
      <c r="D247" s="57" t="s">
        <v>476</v>
      </c>
      <c r="F247" s="69">
        <f>F246-F245</f>
        <v>1.361141224125173E-3</v>
      </c>
      <c r="G247" s="69">
        <f>G246-G245</f>
        <v>1.9385615478005672E-3</v>
      </c>
      <c r="H247" s="69">
        <f>H246-H245</f>
        <v>3.2667443901270576E-3</v>
      </c>
      <c r="I247" s="69">
        <f>I246-I245</f>
        <v>2.7725843191552038E-3</v>
      </c>
      <c r="J247" s="104">
        <f t="shared" ref="J247:S247" si="103">I247</f>
        <v>2.7725843191552038E-3</v>
      </c>
      <c r="K247" s="104">
        <f t="shared" si="103"/>
        <v>2.7725843191552038E-3</v>
      </c>
      <c r="L247" s="104">
        <f t="shared" si="103"/>
        <v>2.7725843191552038E-3</v>
      </c>
      <c r="M247" s="104">
        <f t="shared" si="103"/>
        <v>2.7725843191552038E-3</v>
      </c>
      <c r="N247" s="104">
        <f t="shared" si="103"/>
        <v>2.7725843191552038E-3</v>
      </c>
      <c r="O247" s="104">
        <f t="shared" si="103"/>
        <v>2.7725843191552038E-3</v>
      </c>
      <c r="P247" s="104">
        <f t="shared" si="103"/>
        <v>2.7725843191552038E-3</v>
      </c>
      <c r="Q247" s="104">
        <f t="shared" si="103"/>
        <v>2.7725843191552038E-3</v>
      </c>
      <c r="R247" s="104">
        <f t="shared" si="103"/>
        <v>2.7725843191552038E-3</v>
      </c>
      <c r="S247" s="104">
        <f t="shared" si="103"/>
        <v>2.7725843191552038E-3</v>
      </c>
    </row>
    <row r="248" spans="2:19" ht="22.5" customHeight="1">
      <c r="B248" s="35" t="s">
        <v>477</v>
      </c>
      <c r="C248" s="35" t="s">
        <v>168</v>
      </c>
      <c r="D248" s="54" t="s">
        <v>478</v>
      </c>
      <c r="E248" s="35"/>
      <c r="F248" s="71">
        <f>F246</f>
        <v>6.3100000000000003E-2</v>
      </c>
      <c r="G248" s="71">
        <f>G246</f>
        <v>5.8200000000000002E-2</v>
      </c>
      <c r="H248" s="71">
        <f>H246</f>
        <v>5.6599999999999998E-2</v>
      </c>
      <c r="I248" s="71">
        <f>I246</f>
        <v>5.5899999999999998E-2</v>
      </c>
      <c r="J248" s="71">
        <f t="shared" ref="J248:S248" si="104">J245+J247</f>
        <v>5.4810324245377379E-2</v>
      </c>
      <c r="K248" s="71">
        <f t="shared" si="104"/>
        <v>5.658784593076454E-2</v>
      </c>
      <c r="L248" s="71">
        <f t="shared" si="104"/>
        <v>5.8182295812623547E-2</v>
      </c>
      <c r="M248" s="71">
        <f t="shared" si="104"/>
        <v>5.8590350057640669E-2</v>
      </c>
      <c r="N248" s="71">
        <f t="shared" si="104"/>
        <v>5.8451254564930902E-2</v>
      </c>
      <c r="O248" s="71">
        <f t="shared" si="104"/>
        <v>5.8434646154408902E-2</v>
      </c>
      <c r="P248" s="71">
        <f t="shared" si="104"/>
        <v>5.8511248404061363E-2</v>
      </c>
      <c r="Q248" s="71">
        <f t="shared" si="104"/>
        <v>5.8576752141956429E-2</v>
      </c>
      <c r="R248" s="71">
        <f t="shared" si="104"/>
        <v>5.8632732670161787E-2</v>
      </c>
      <c r="S248" s="71">
        <f t="shared" si="104"/>
        <v>5.868049027277563E-2</v>
      </c>
    </row>
    <row r="249" spans="2:19" ht="18" customHeight="1">
      <c r="B249" s="56" t="s">
        <v>479</v>
      </c>
      <c r="C249" s="56" t="s">
        <v>168</v>
      </c>
      <c r="D249" s="57"/>
      <c r="F249" s="69">
        <f t="shared" ref="F249:S249" si="105">F235-F229</f>
        <v>8.7253631412145136E-2</v>
      </c>
      <c r="G249" s="69">
        <f t="shared" si="105"/>
        <v>7.7747048087521864E-2</v>
      </c>
      <c r="H249" s="69">
        <f t="shared" si="105"/>
        <v>7.2128269367430678E-2</v>
      </c>
      <c r="I249" s="69">
        <f t="shared" si="105"/>
        <v>6.8829109387636173E-2</v>
      </c>
      <c r="J249" s="104">
        <f t="shared" si="105"/>
        <v>6.5757851529350528E-2</v>
      </c>
      <c r="K249" s="104">
        <f t="shared" si="105"/>
        <v>6.6434648680076605E-2</v>
      </c>
      <c r="L249" s="104">
        <f t="shared" si="105"/>
        <v>6.7132437525015159E-2</v>
      </c>
      <c r="M249" s="104">
        <f t="shared" si="105"/>
        <v>6.7468058420008623E-2</v>
      </c>
      <c r="N249" s="104">
        <f t="shared" si="105"/>
        <v>6.7420948170453299E-2</v>
      </c>
      <c r="O249" s="104">
        <f t="shared" si="105"/>
        <v>6.7485042764872882E-2</v>
      </c>
      <c r="P249" s="104">
        <f t="shared" si="105"/>
        <v>6.763323552765374E-2</v>
      </c>
      <c r="Q249" s="104">
        <f t="shared" si="105"/>
        <v>6.775995739202692E-2</v>
      </c>
      <c r="R249" s="104">
        <f t="shared" si="105"/>
        <v>6.7868255897283902E-2</v>
      </c>
      <c r="S249" s="104">
        <f t="shared" si="105"/>
        <v>6.7960646539950972E-2</v>
      </c>
    </row>
    <row r="250" spans="2:19" ht="18" customHeight="1">
      <c r="B250" s="56" t="s">
        <v>480</v>
      </c>
      <c r="C250" s="56" t="s">
        <v>311</v>
      </c>
      <c r="D250" s="57"/>
      <c r="F250" s="101">
        <f t="shared" ref="F250:S250" si="106">-(F142-E142)</f>
        <v>346.63799999999992</v>
      </c>
      <c r="G250" s="101">
        <f t="shared" si="106"/>
        <v>-1960.9989999999998</v>
      </c>
      <c r="H250" s="101">
        <f t="shared" si="106"/>
        <v>-1895.8610000000008</v>
      </c>
      <c r="I250" s="101">
        <f t="shared" si="106"/>
        <v>-1247.3760000000002</v>
      </c>
      <c r="J250" s="94">
        <f t="shared" si="106"/>
        <v>481.42638035523487</v>
      </c>
      <c r="K250" s="94">
        <f t="shared" si="106"/>
        <v>-404.84213943936084</v>
      </c>
      <c r="L250" s="94">
        <f t="shared" si="106"/>
        <v>-259.07178023962842</v>
      </c>
      <c r="M250" s="94">
        <f t="shared" si="106"/>
        <v>-581.49199692401817</v>
      </c>
      <c r="N250" s="94">
        <f t="shared" si="106"/>
        <v>-1041.6750069707196</v>
      </c>
      <c r="O250" s="94">
        <f t="shared" si="106"/>
        <v>-993.47388014969874</v>
      </c>
      <c r="P250" s="94">
        <f t="shared" si="106"/>
        <v>-943.39684653947188</v>
      </c>
      <c r="Q250" s="94">
        <f t="shared" si="106"/>
        <v>-949.31810783345463</v>
      </c>
      <c r="R250" s="94">
        <f t="shared" si="106"/>
        <v>-943.08375855689337</v>
      </c>
      <c r="S250" s="94">
        <f t="shared" si="106"/>
        <v>-923.76239957067446</v>
      </c>
    </row>
    <row r="251" spans="2:19" ht="18" customHeight="1">
      <c r="B251" s="56"/>
      <c r="C251" s="56"/>
      <c r="D251" s="57"/>
      <c r="F251" s="101"/>
      <c r="G251" s="101"/>
      <c r="H251" s="101"/>
      <c r="I251" s="101"/>
      <c r="J251" s="94"/>
      <c r="K251" s="94"/>
      <c r="L251" s="94"/>
      <c r="M251" s="94"/>
      <c r="N251" s="94"/>
      <c r="O251" s="94"/>
      <c r="P251" s="94"/>
      <c r="Q251" s="94"/>
      <c r="R251" s="94"/>
      <c r="S251" s="94"/>
    </row>
    <row r="252" spans="2:19" ht="22.5" customHeight="1">
      <c r="B252" s="35" t="s">
        <v>481</v>
      </c>
      <c r="C252" s="35"/>
      <c r="D252" s="35"/>
      <c r="E252" s="108" t="s">
        <v>223</v>
      </c>
      <c r="F252" s="108" t="s">
        <v>224</v>
      </c>
      <c r="G252" s="108" t="s">
        <v>225</v>
      </c>
      <c r="H252" s="108" t="s">
        <v>226</v>
      </c>
      <c r="I252" s="108" t="s">
        <v>93</v>
      </c>
      <c r="J252" s="108" t="s">
        <v>94</v>
      </c>
      <c r="K252" s="108" t="s">
        <v>227</v>
      </c>
      <c r="L252" s="108" t="s">
        <v>95</v>
      </c>
      <c r="M252" s="108" t="s">
        <v>228</v>
      </c>
      <c r="N252" s="108" t="s">
        <v>96</v>
      </c>
      <c r="O252" s="108" t="s">
        <v>229</v>
      </c>
      <c r="P252" s="108" t="s">
        <v>230</v>
      </c>
      <c r="Q252" s="108" t="s">
        <v>231</v>
      </c>
      <c r="R252" s="108" t="s">
        <v>232</v>
      </c>
      <c r="S252" s="108" t="s">
        <v>97</v>
      </c>
    </row>
    <row r="253" spans="2:19" ht="22.5" customHeight="1">
      <c r="B253" s="35" t="s">
        <v>482</v>
      </c>
      <c r="C253" s="35" t="s">
        <v>311</v>
      </c>
      <c r="D253" s="54" t="s">
        <v>483</v>
      </c>
      <c r="E253" s="88">
        <v>0</v>
      </c>
      <c r="F253" s="88">
        <v>0</v>
      </c>
      <c r="G253" s="88">
        <v>4</v>
      </c>
      <c r="H253" s="88">
        <v>3019</v>
      </c>
      <c r="I253" s="88">
        <v>6325</v>
      </c>
      <c r="J253" s="88">
        <f t="shared" ref="J253:S253" si="107">I253+J113-J114</f>
        <v>6276.4</v>
      </c>
      <c r="K253" s="88">
        <f t="shared" si="107"/>
        <v>8021.4</v>
      </c>
      <c r="L253" s="88">
        <f t="shared" si="107"/>
        <v>9335.4</v>
      </c>
      <c r="M253" s="88">
        <f t="shared" si="107"/>
        <v>11335.4</v>
      </c>
      <c r="N253" s="88">
        <f t="shared" si="107"/>
        <v>13335.4</v>
      </c>
      <c r="O253" s="88">
        <f t="shared" si="107"/>
        <v>13335.4</v>
      </c>
      <c r="P253" s="88">
        <f t="shared" si="107"/>
        <v>13335.4</v>
      </c>
      <c r="Q253" s="88">
        <f t="shared" si="107"/>
        <v>13335.4</v>
      </c>
      <c r="R253" s="88">
        <f t="shared" si="107"/>
        <v>13335.4</v>
      </c>
      <c r="S253" s="88">
        <f t="shared" si="107"/>
        <v>13335.4</v>
      </c>
    </row>
    <row r="254" spans="2:19" ht="18" customHeight="1">
      <c r="B254" s="56" t="s">
        <v>484</v>
      </c>
      <c r="C254" s="56" t="s">
        <v>311</v>
      </c>
      <c r="D254" s="57"/>
      <c r="F254" s="101">
        <f t="shared" ref="F254:S254" si="108">$E$119*AVERAGE(F253,E253)</f>
        <v>0</v>
      </c>
      <c r="G254" s="101">
        <f t="shared" si="108"/>
        <v>0.13400000000000001</v>
      </c>
      <c r="H254" s="101">
        <f t="shared" si="108"/>
        <v>101.27050000000001</v>
      </c>
      <c r="I254" s="101">
        <f t="shared" si="108"/>
        <v>313.024</v>
      </c>
      <c r="J254" s="94">
        <f t="shared" si="108"/>
        <v>422.14690000000002</v>
      </c>
      <c r="K254" s="94">
        <f t="shared" si="108"/>
        <v>478.97629999999998</v>
      </c>
      <c r="L254" s="94">
        <f t="shared" si="108"/>
        <v>581.45280000000002</v>
      </c>
      <c r="M254" s="94">
        <f t="shared" si="108"/>
        <v>692.47180000000003</v>
      </c>
      <c r="N254" s="94">
        <f t="shared" si="108"/>
        <v>826.47180000000003</v>
      </c>
      <c r="O254" s="94">
        <f t="shared" si="108"/>
        <v>893.47180000000003</v>
      </c>
      <c r="P254" s="94">
        <f t="shared" si="108"/>
        <v>893.47180000000003</v>
      </c>
      <c r="Q254" s="94">
        <f t="shared" si="108"/>
        <v>893.47180000000003</v>
      </c>
      <c r="R254" s="94">
        <f t="shared" si="108"/>
        <v>893.47180000000003</v>
      </c>
      <c r="S254" s="94">
        <f t="shared" si="108"/>
        <v>893.47180000000003</v>
      </c>
    </row>
    <row r="255" spans="2:19" ht="22.5" customHeight="1">
      <c r="B255" s="35" t="s">
        <v>485</v>
      </c>
      <c r="C255" s="35" t="s">
        <v>311</v>
      </c>
      <c r="D255" s="54" t="s">
        <v>483</v>
      </c>
      <c r="E255" s="88">
        <v>1375</v>
      </c>
      <c r="F255" s="88">
        <v>1375</v>
      </c>
      <c r="G255" s="88">
        <v>200</v>
      </c>
      <c r="H255" s="88">
        <v>200</v>
      </c>
      <c r="I255" s="88">
        <v>200</v>
      </c>
      <c r="J255" s="88">
        <f t="shared" ref="J255:S255" si="109">I255+J115-J116</f>
        <v>200</v>
      </c>
      <c r="K255" s="88">
        <f t="shared" si="109"/>
        <v>200</v>
      </c>
      <c r="L255" s="88">
        <f t="shared" si="109"/>
        <v>200</v>
      </c>
      <c r="M255" s="88">
        <f t="shared" si="109"/>
        <v>200</v>
      </c>
      <c r="N255" s="88">
        <f t="shared" si="109"/>
        <v>200</v>
      </c>
      <c r="O255" s="88">
        <f t="shared" si="109"/>
        <v>200</v>
      </c>
      <c r="P255" s="88">
        <f t="shared" si="109"/>
        <v>200</v>
      </c>
      <c r="Q255" s="88">
        <f t="shared" si="109"/>
        <v>200</v>
      </c>
      <c r="R255" s="88">
        <f t="shared" si="109"/>
        <v>200</v>
      </c>
      <c r="S255" s="88">
        <f t="shared" si="109"/>
        <v>200</v>
      </c>
    </row>
    <row r="256" spans="2:19" ht="18" customHeight="1">
      <c r="B256" s="56" t="s">
        <v>486</v>
      </c>
      <c r="C256" s="56" t="s">
        <v>311</v>
      </c>
      <c r="D256" s="57"/>
      <c r="F256" s="101">
        <f t="shared" ref="F256:S256" si="110">$E$120*AVERAGE(F255,E255)</f>
        <v>101.0625</v>
      </c>
      <c r="G256" s="101">
        <f t="shared" si="110"/>
        <v>57.881249999999994</v>
      </c>
      <c r="H256" s="101">
        <f t="shared" si="110"/>
        <v>14.7</v>
      </c>
      <c r="I256" s="101">
        <f t="shared" si="110"/>
        <v>14.7</v>
      </c>
      <c r="J256" s="94">
        <f t="shared" si="110"/>
        <v>14.7</v>
      </c>
      <c r="K256" s="94">
        <f t="shared" si="110"/>
        <v>14.7</v>
      </c>
      <c r="L256" s="94">
        <f t="shared" si="110"/>
        <v>14.7</v>
      </c>
      <c r="M256" s="94">
        <f t="shared" si="110"/>
        <v>14.7</v>
      </c>
      <c r="N256" s="94">
        <f t="shared" si="110"/>
        <v>14.7</v>
      </c>
      <c r="O256" s="94">
        <f t="shared" si="110"/>
        <v>14.7</v>
      </c>
      <c r="P256" s="94">
        <f t="shared" si="110"/>
        <v>14.7</v>
      </c>
      <c r="Q256" s="94">
        <f t="shared" si="110"/>
        <v>14.7</v>
      </c>
      <c r="R256" s="94">
        <f t="shared" si="110"/>
        <v>14.7</v>
      </c>
      <c r="S256" s="94">
        <f t="shared" si="110"/>
        <v>14.7</v>
      </c>
    </row>
    <row r="257" spans="2:19" ht="22.5" customHeight="1">
      <c r="B257" s="35" t="s">
        <v>487</v>
      </c>
      <c r="C257" s="35" t="s">
        <v>311</v>
      </c>
      <c r="D257" s="54" t="s">
        <v>483</v>
      </c>
      <c r="E257" s="88">
        <v>116</v>
      </c>
      <c r="F257" s="88">
        <v>2997</v>
      </c>
      <c r="G257" s="88">
        <v>14304</v>
      </c>
      <c r="H257" s="88">
        <v>23386</v>
      </c>
      <c r="I257" s="88">
        <v>5339</v>
      </c>
      <c r="J257" s="88">
        <f t="shared" ref="J257:S257" si="111">I257+J117-J118</f>
        <v>5339</v>
      </c>
      <c r="K257" s="88">
        <f t="shared" si="111"/>
        <v>5339</v>
      </c>
      <c r="L257" s="88">
        <f t="shared" si="111"/>
        <v>5339</v>
      </c>
      <c r="M257" s="88">
        <f t="shared" si="111"/>
        <v>5339</v>
      </c>
      <c r="N257" s="88">
        <f t="shared" si="111"/>
        <v>5339</v>
      </c>
      <c r="O257" s="88">
        <f t="shared" si="111"/>
        <v>5339</v>
      </c>
      <c r="P257" s="88">
        <f t="shared" si="111"/>
        <v>5339</v>
      </c>
      <c r="Q257" s="88">
        <f t="shared" si="111"/>
        <v>5339</v>
      </c>
      <c r="R257" s="88">
        <f t="shared" si="111"/>
        <v>5339</v>
      </c>
      <c r="S257" s="88">
        <f t="shared" si="111"/>
        <v>5339</v>
      </c>
    </row>
    <row r="258" spans="2:19" ht="18" customHeight="1">
      <c r="B258" s="56" t="s">
        <v>488</v>
      </c>
      <c r="C258" s="56" t="s">
        <v>311</v>
      </c>
      <c r="D258" s="57"/>
      <c r="F258" s="101">
        <f t="shared" ref="F258:S258" si="112">$E$121*AVERAGE(F257,E257)</f>
        <v>93.39</v>
      </c>
      <c r="G258" s="101">
        <f t="shared" si="112"/>
        <v>519.03</v>
      </c>
      <c r="H258" s="101">
        <f t="shared" si="112"/>
        <v>1130.7</v>
      </c>
      <c r="I258" s="101">
        <f t="shared" si="112"/>
        <v>861.75</v>
      </c>
      <c r="J258" s="94">
        <f t="shared" si="112"/>
        <v>320.33999999999997</v>
      </c>
      <c r="K258" s="94">
        <f t="shared" si="112"/>
        <v>320.33999999999997</v>
      </c>
      <c r="L258" s="94">
        <f t="shared" si="112"/>
        <v>320.33999999999997</v>
      </c>
      <c r="M258" s="94">
        <f t="shared" si="112"/>
        <v>320.33999999999997</v>
      </c>
      <c r="N258" s="94">
        <f t="shared" si="112"/>
        <v>320.33999999999997</v>
      </c>
      <c r="O258" s="94">
        <f t="shared" si="112"/>
        <v>320.33999999999997</v>
      </c>
      <c r="P258" s="94">
        <f t="shared" si="112"/>
        <v>320.33999999999997</v>
      </c>
      <c r="Q258" s="94">
        <f t="shared" si="112"/>
        <v>320.33999999999997</v>
      </c>
      <c r="R258" s="94">
        <f t="shared" si="112"/>
        <v>320.33999999999997</v>
      </c>
      <c r="S258" s="94">
        <f t="shared" si="112"/>
        <v>320.33999999999997</v>
      </c>
    </row>
    <row r="259" spans="2:19" ht="18" customHeight="1">
      <c r="B259" s="73" t="s">
        <v>489</v>
      </c>
      <c r="C259" s="56" t="s">
        <v>311</v>
      </c>
      <c r="D259" s="57"/>
      <c r="E259" s="95">
        <f t="shared" ref="E259:S259" si="113">E253+E255+E257</f>
        <v>1491</v>
      </c>
      <c r="F259" s="95">
        <f t="shared" si="113"/>
        <v>4372</v>
      </c>
      <c r="G259" s="95">
        <f t="shared" si="113"/>
        <v>14508</v>
      </c>
      <c r="H259" s="95">
        <f t="shared" si="113"/>
        <v>26605</v>
      </c>
      <c r="I259" s="95">
        <f t="shared" si="113"/>
        <v>11864</v>
      </c>
      <c r="J259" s="96">
        <f t="shared" si="113"/>
        <v>11815.4</v>
      </c>
      <c r="K259" s="96">
        <f t="shared" si="113"/>
        <v>13560.4</v>
      </c>
      <c r="L259" s="96">
        <f t="shared" si="113"/>
        <v>14874.4</v>
      </c>
      <c r="M259" s="96">
        <f t="shared" si="113"/>
        <v>16874.400000000001</v>
      </c>
      <c r="N259" s="96">
        <f t="shared" si="113"/>
        <v>18874.400000000001</v>
      </c>
      <c r="O259" s="96">
        <f t="shared" si="113"/>
        <v>18874.400000000001</v>
      </c>
      <c r="P259" s="96">
        <f t="shared" si="113"/>
        <v>18874.400000000001</v>
      </c>
      <c r="Q259" s="96">
        <f t="shared" si="113"/>
        <v>18874.400000000001</v>
      </c>
      <c r="R259" s="96">
        <f t="shared" si="113"/>
        <v>18874.400000000001</v>
      </c>
      <c r="S259" s="96">
        <f t="shared" si="113"/>
        <v>18874.400000000001</v>
      </c>
    </row>
    <row r="260" spans="2:19" ht="18" customHeight="1">
      <c r="B260" s="56" t="s">
        <v>490</v>
      </c>
      <c r="C260" s="56" t="s">
        <v>311</v>
      </c>
      <c r="D260" s="57"/>
      <c r="E260" s="101">
        <f t="shared" ref="E260:S260" si="114">E254+E256+E258</f>
        <v>0</v>
      </c>
      <c r="F260" s="101">
        <f t="shared" si="114"/>
        <v>194.45249999999999</v>
      </c>
      <c r="G260" s="101">
        <f t="shared" si="114"/>
        <v>577.04525000000001</v>
      </c>
      <c r="H260" s="101">
        <f t="shared" si="114"/>
        <v>1246.6705000000002</v>
      </c>
      <c r="I260" s="101">
        <f t="shared" si="114"/>
        <v>1189.4739999999999</v>
      </c>
      <c r="J260" s="94">
        <f t="shared" si="114"/>
        <v>757.18689999999992</v>
      </c>
      <c r="K260" s="94">
        <f t="shared" si="114"/>
        <v>814.0163</v>
      </c>
      <c r="L260" s="94">
        <f t="shared" si="114"/>
        <v>916.49279999999999</v>
      </c>
      <c r="M260" s="94">
        <f t="shared" si="114"/>
        <v>1027.5118</v>
      </c>
      <c r="N260" s="94">
        <f t="shared" si="114"/>
        <v>1161.5118</v>
      </c>
      <c r="O260" s="94">
        <f t="shared" si="114"/>
        <v>1228.5118</v>
      </c>
      <c r="P260" s="94">
        <f t="shared" si="114"/>
        <v>1228.5118</v>
      </c>
      <c r="Q260" s="94">
        <f t="shared" si="114"/>
        <v>1228.5118</v>
      </c>
      <c r="R260" s="94">
        <f t="shared" si="114"/>
        <v>1228.5118</v>
      </c>
      <c r="S260" s="94">
        <f t="shared" si="114"/>
        <v>1228.5118</v>
      </c>
    </row>
    <row r="261" spans="2:19" ht="18" customHeight="1">
      <c r="B261" s="56" t="s">
        <v>491</v>
      </c>
      <c r="C261" s="56" t="s">
        <v>311</v>
      </c>
      <c r="D261" s="57"/>
      <c r="J261" s="94">
        <f t="shared" ref="J261:S261" si="115">J114+J116+J118</f>
        <v>3048.6</v>
      </c>
      <c r="K261" s="94">
        <f t="shared" si="115"/>
        <v>1255</v>
      </c>
      <c r="L261" s="94">
        <f t="shared" si="115"/>
        <v>886</v>
      </c>
      <c r="M261" s="94">
        <f t="shared" si="115"/>
        <v>0</v>
      </c>
      <c r="N261" s="94">
        <f t="shared" si="115"/>
        <v>0</v>
      </c>
      <c r="O261" s="94">
        <f t="shared" si="115"/>
        <v>2000</v>
      </c>
      <c r="P261" s="94">
        <f t="shared" si="115"/>
        <v>2000</v>
      </c>
      <c r="Q261" s="94">
        <f t="shared" si="115"/>
        <v>2000</v>
      </c>
      <c r="R261" s="94">
        <f t="shared" si="115"/>
        <v>2000</v>
      </c>
      <c r="S261" s="94">
        <f t="shared" si="115"/>
        <v>2000</v>
      </c>
    </row>
    <row r="262" spans="2:19" ht="18" customHeight="1">
      <c r="B262" s="56" t="s">
        <v>492</v>
      </c>
      <c r="C262" s="56" t="s">
        <v>311</v>
      </c>
      <c r="D262" s="57"/>
      <c r="E262" s="101">
        <f t="shared" ref="E262:S262" si="116">E255</f>
        <v>1375</v>
      </c>
      <c r="F262" s="101">
        <f t="shared" si="116"/>
        <v>1375</v>
      </c>
      <c r="G262" s="101">
        <f t="shared" si="116"/>
        <v>200</v>
      </c>
      <c r="H262" s="101">
        <f t="shared" si="116"/>
        <v>200</v>
      </c>
      <c r="I262" s="101">
        <f t="shared" si="116"/>
        <v>200</v>
      </c>
      <c r="J262" s="94">
        <f t="shared" si="116"/>
        <v>200</v>
      </c>
      <c r="K262" s="94">
        <f t="shared" si="116"/>
        <v>200</v>
      </c>
      <c r="L262" s="94">
        <f t="shared" si="116"/>
        <v>200</v>
      </c>
      <c r="M262" s="94">
        <f t="shared" si="116"/>
        <v>200</v>
      </c>
      <c r="N262" s="94">
        <f t="shared" si="116"/>
        <v>200</v>
      </c>
      <c r="O262" s="94">
        <f t="shared" si="116"/>
        <v>200</v>
      </c>
      <c r="P262" s="94">
        <f t="shared" si="116"/>
        <v>200</v>
      </c>
      <c r="Q262" s="94">
        <f t="shared" si="116"/>
        <v>200</v>
      </c>
      <c r="R262" s="94">
        <f t="shared" si="116"/>
        <v>200</v>
      </c>
      <c r="S262" s="94">
        <f t="shared" si="116"/>
        <v>200</v>
      </c>
    </row>
    <row r="263" spans="2:19" ht="18" customHeight="1">
      <c r="B263" s="56"/>
      <c r="C263" s="56"/>
      <c r="D263" s="57"/>
      <c r="E263" s="101"/>
      <c r="F263" s="101"/>
      <c r="G263" s="101"/>
      <c r="H263" s="101"/>
      <c r="I263" s="101"/>
      <c r="J263" s="94"/>
      <c r="K263" s="94"/>
      <c r="L263" s="94"/>
      <c r="M263" s="94"/>
      <c r="N263" s="94"/>
      <c r="O263" s="94"/>
      <c r="P263" s="94"/>
      <c r="Q263" s="94"/>
      <c r="R263" s="94"/>
      <c r="S263" s="94"/>
    </row>
    <row r="264" spans="2:19" ht="22.5" customHeight="1">
      <c r="B264" s="35" t="s">
        <v>493</v>
      </c>
      <c r="C264" s="35"/>
      <c r="D264" s="35"/>
      <c r="E264" s="108" t="s">
        <v>223</v>
      </c>
      <c r="F264" s="108" t="s">
        <v>224</v>
      </c>
      <c r="G264" s="108" t="s">
        <v>225</v>
      </c>
      <c r="H264" s="108" t="s">
        <v>226</v>
      </c>
      <c r="I264" s="108" t="s">
        <v>93</v>
      </c>
      <c r="J264" s="108" t="s">
        <v>94</v>
      </c>
      <c r="K264" s="108" t="s">
        <v>227</v>
      </c>
      <c r="L264" s="108" t="s">
        <v>95</v>
      </c>
      <c r="M264" s="108" t="s">
        <v>228</v>
      </c>
      <c r="N264" s="108" t="s">
        <v>96</v>
      </c>
      <c r="O264" s="108" t="s">
        <v>229</v>
      </c>
      <c r="P264" s="108" t="s">
        <v>230</v>
      </c>
      <c r="Q264" s="108" t="s">
        <v>231</v>
      </c>
      <c r="R264" s="108" t="s">
        <v>232</v>
      </c>
      <c r="S264" s="108" t="s">
        <v>97</v>
      </c>
    </row>
    <row r="265" spans="2:19" ht="18" customHeight="1">
      <c r="B265" s="56" t="s">
        <v>494</v>
      </c>
      <c r="C265" s="56" t="s">
        <v>311</v>
      </c>
      <c r="D265" s="57"/>
      <c r="J265" s="94">
        <f t="shared" ref="J265:S265" si="117">J275+J280+J285+J290</f>
        <v>2520.7409012753965</v>
      </c>
      <c r="K265" s="94">
        <f t="shared" si="117"/>
        <v>2535.5186849178135</v>
      </c>
      <c r="L265" s="94">
        <f t="shared" si="117"/>
        <v>2627.0573774324403</v>
      </c>
      <c r="M265" s="94">
        <f t="shared" si="117"/>
        <v>2775.0806925211164</v>
      </c>
      <c r="N265" s="94">
        <f t="shared" si="117"/>
        <v>2962.7579048013276</v>
      </c>
      <c r="O265" s="94">
        <f t="shared" si="117"/>
        <v>3182.5124491820716</v>
      </c>
      <c r="P265" s="94">
        <f t="shared" si="117"/>
        <v>3430.4055981311462</v>
      </c>
      <c r="Q265" s="94">
        <f t="shared" si="117"/>
        <v>3702.2140326344365</v>
      </c>
      <c r="R265" s="94">
        <f t="shared" si="117"/>
        <v>3993.1618103419714</v>
      </c>
      <c r="S265" s="94">
        <f t="shared" si="117"/>
        <v>4298.5073151578481</v>
      </c>
    </row>
    <row r="266" spans="2:19" ht="18" customHeight="1">
      <c r="B266" s="56" t="s">
        <v>495</v>
      </c>
      <c r="C266" s="56" t="s">
        <v>311</v>
      </c>
      <c r="D266" s="57"/>
      <c r="J266" s="94">
        <f t="shared" ref="J266:S266" si="118">J147-J265</f>
        <v>6057.0378050270447</v>
      </c>
      <c r="K266" s="94">
        <f t="shared" si="118"/>
        <v>6938.6246767250104</v>
      </c>
      <c r="L266" s="94">
        <f t="shared" si="118"/>
        <v>8087.2268792291343</v>
      </c>
      <c r="M266" s="94">
        <f t="shared" si="118"/>
        <v>9015.9554638737609</v>
      </c>
      <c r="N266" s="94">
        <f t="shared" si="118"/>
        <v>9855.8759549841088</v>
      </c>
      <c r="O266" s="94">
        <f t="shared" si="118"/>
        <v>10844.772320220514</v>
      </c>
      <c r="P266" s="94">
        <f t="shared" si="118"/>
        <v>11847.566109040035</v>
      </c>
      <c r="Q266" s="94">
        <f t="shared" si="118"/>
        <v>12836.880584266275</v>
      </c>
      <c r="R266" s="94">
        <f t="shared" si="118"/>
        <v>13802.040206993246</v>
      </c>
      <c r="S266" s="94">
        <f t="shared" si="118"/>
        <v>14731.090753029155</v>
      </c>
    </row>
    <row r="267" spans="2:19" ht="18" customHeight="1">
      <c r="B267" s="56" t="s">
        <v>496</v>
      </c>
      <c r="C267" s="56" t="s">
        <v>168</v>
      </c>
      <c r="D267" s="57"/>
      <c r="E267" s="70">
        <f t="shared" ref="E267:S267" si="119">E149/E145</f>
        <v>0.53417114147167311</v>
      </c>
      <c r="F267" s="70">
        <f t="shared" si="119"/>
        <v>0.51292945238359466</v>
      </c>
      <c r="G267" s="70">
        <f t="shared" si="119"/>
        <v>0.50086416774515585</v>
      </c>
      <c r="H267" s="70">
        <f t="shared" si="119"/>
        <v>0.51353392825364041</v>
      </c>
      <c r="I267" s="70">
        <f t="shared" si="119"/>
        <v>0.52562269423834751</v>
      </c>
      <c r="J267" s="103">
        <f t="shared" si="119"/>
        <v>0.54500000000000004</v>
      </c>
      <c r="K267" s="103">
        <f t="shared" si="119"/>
        <v>0.52</v>
      </c>
      <c r="L267" s="103">
        <f t="shared" si="119"/>
        <v>0.51500000000000001</v>
      </c>
      <c r="M267" s="103">
        <f t="shared" si="119"/>
        <v>0.51</v>
      </c>
      <c r="N267" s="103">
        <f t="shared" si="119"/>
        <v>0.505</v>
      </c>
      <c r="O267" s="103">
        <f t="shared" si="119"/>
        <v>0.505</v>
      </c>
      <c r="P267" s="103">
        <f t="shared" si="119"/>
        <v>0.505</v>
      </c>
      <c r="Q267" s="103">
        <f t="shared" si="119"/>
        <v>0.505</v>
      </c>
      <c r="R267" s="103">
        <f t="shared" si="119"/>
        <v>0.505</v>
      </c>
      <c r="S267" s="103">
        <f t="shared" si="119"/>
        <v>0.505</v>
      </c>
    </row>
    <row r="268" spans="2:19" ht="18" customHeight="1">
      <c r="B268" s="56" t="s">
        <v>497</v>
      </c>
      <c r="C268" s="56" t="s">
        <v>168</v>
      </c>
      <c r="D268" s="57"/>
      <c r="E268" s="82">
        <v>0.52569999999999995</v>
      </c>
      <c r="F268" s="82">
        <v>0.5101</v>
      </c>
      <c r="G268" s="82">
        <v>0.49859999999999999</v>
      </c>
      <c r="H268" s="82">
        <v>0.50890000000000002</v>
      </c>
      <c r="I268" s="82">
        <v>0.52090000000000003</v>
      </c>
    </row>
    <row r="269" spans="2:19" ht="18" customHeight="1">
      <c r="B269" s="56" t="s">
        <v>498</v>
      </c>
      <c r="C269" s="56" t="s">
        <v>172</v>
      </c>
      <c r="D269" s="57"/>
      <c r="F269" s="70">
        <f t="shared" ref="F269:S269" si="120">(F145/E145-1)-(F149/E149-1)</f>
        <v>4.6658449016183656E-2</v>
      </c>
      <c r="G269" s="70">
        <f t="shared" si="120"/>
        <v>2.4950382102542523E-2</v>
      </c>
      <c r="H269" s="70">
        <f t="shared" si="120"/>
        <v>-2.8389455750023052E-2</v>
      </c>
      <c r="I269" s="70">
        <f t="shared" si="120"/>
        <v>-2.6717949377282668E-2</v>
      </c>
      <c r="J269" s="103">
        <f t="shared" si="120"/>
        <v>-4.2143685341304638E-2</v>
      </c>
      <c r="K269" s="103">
        <f t="shared" si="120"/>
        <v>5.3486083797517292E-2</v>
      </c>
      <c r="L269" s="103">
        <f t="shared" si="120"/>
        <v>1.0996469702450495E-2</v>
      </c>
      <c r="M269" s="103">
        <f t="shared" si="120"/>
        <v>1.08061270938693E-2</v>
      </c>
      <c r="N269" s="103">
        <f t="shared" si="120"/>
        <v>1.0781133672745247E-2</v>
      </c>
      <c r="O269" s="103">
        <f t="shared" si="120"/>
        <v>-2.2204460492503131E-16</v>
      </c>
      <c r="P269" s="103">
        <f t="shared" si="120"/>
        <v>0</v>
      </c>
      <c r="Q269" s="103">
        <f t="shared" si="120"/>
        <v>2.2204460492503131E-16</v>
      </c>
      <c r="R269" s="103">
        <f t="shared" si="120"/>
        <v>0</v>
      </c>
      <c r="S269" s="103">
        <f t="shared" si="120"/>
        <v>2.2204460492503131E-16</v>
      </c>
    </row>
    <row r="270" spans="2:19" ht="18" customHeight="1">
      <c r="B270" s="56"/>
      <c r="C270" s="56"/>
      <c r="D270" s="57"/>
      <c r="F270" s="70"/>
      <c r="G270" s="70"/>
      <c r="H270" s="70"/>
      <c r="I270" s="70"/>
      <c r="J270" s="103"/>
      <c r="K270" s="103"/>
      <c r="L270" s="103"/>
      <c r="M270" s="103"/>
      <c r="N270" s="103"/>
      <c r="O270" s="103"/>
      <c r="P270" s="103"/>
      <c r="Q270" s="103"/>
      <c r="R270" s="103"/>
      <c r="S270" s="103"/>
    </row>
    <row r="271" spans="2:19" ht="22.5" customHeight="1">
      <c r="B271" s="35" t="s">
        <v>499</v>
      </c>
      <c r="C271" s="35"/>
      <c r="D271" s="35"/>
      <c r="E271" s="108" t="s">
        <v>223</v>
      </c>
      <c r="F271" s="108" t="s">
        <v>224</v>
      </c>
      <c r="G271" s="108" t="s">
        <v>225</v>
      </c>
      <c r="H271" s="108" t="s">
        <v>226</v>
      </c>
      <c r="I271" s="108" t="s">
        <v>93</v>
      </c>
      <c r="J271" s="108" t="s">
        <v>94</v>
      </c>
      <c r="K271" s="108" t="s">
        <v>227</v>
      </c>
      <c r="L271" s="108" t="s">
        <v>95</v>
      </c>
      <c r="M271" s="108" t="s">
        <v>228</v>
      </c>
      <c r="N271" s="108" t="s">
        <v>96</v>
      </c>
      <c r="O271" s="108" t="s">
        <v>229</v>
      </c>
      <c r="P271" s="108" t="s">
        <v>230</v>
      </c>
      <c r="Q271" s="108" t="s">
        <v>231</v>
      </c>
      <c r="R271" s="108" t="s">
        <v>232</v>
      </c>
      <c r="S271" s="108" t="s">
        <v>97</v>
      </c>
    </row>
    <row r="272" spans="2:19" ht="18" customHeight="1">
      <c r="B272" s="56" t="s">
        <v>500</v>
      </c>
      <c r="C272" s="56" t="s">
        <v>311</v>
      </c>
      <c r="D272" s="57"/>
      <c r="J272" s="94">
        <f t="shared" ref="J272:S272" si="121">$E$122*J145</f>
        <v>2383.8136709794744</v>
      </c>
      <c r="K272" s="94">
        <f t="shared" si="121"/>
        <v>2779.5186992481176</v>
      </c>
      <c r="L272" s="94">
        <f t="shared" si="121"/>
        <v>3178.7488890223467</v>
      </c>
      <c r="M272" s="94">
        <f t="shared" si="121"/>
        <v>3538.0463429099905</v>
      </c>
      <c r="N272" s="94">
        <f t="shared" si="121"/>
        <v>3890.7033574545285</v>
      </c>
      <c r="O272" s="94">
        <f t="shared" si="121"/>
        <v>4257.5522903030269</v>
      </c>
      <c r="P272" s="94">
        <f t="shared" si="121"/>
        <v>4637.1599708973336</v>
      </c>
      <c r="Q272" s="94">
        <f t="shared" si="121"/>
        <v>5019.9351708693566</v>
      </c>
      <c r="R272" s="94">
        <f t="shared" si="121"/>
        <v>5401.1880667435353</v>
      </c>
      <c r="S272" s="94">
        <f t="shared" si="121"/>
        <v>5775.8511480056168</v>
      </c>
    </row>
    <row r="273" spans="2:19" ht="18" customHeight="1">
      <c r="B273" s="56" t="s">
        <v>501</v>
      </c>
      <c r="C273" s="56" t="s">
        <v>311</v>
      </c>
      <c r="D273" s="57"/>
      <c r="J273" s="94">
        <f t="shared" ref="J273:S273" si="122">$E$123*J272</f>
        <v>238.38136709794745</v>
      </c>
      <c r="K273" s="94">
        <f t="shared" si="122"/>
        <v>277.95186992481177</v>
      </c>
      <c r="L273" s="94">
        <f t="shared" si="122"/>
        <v>317.87488890223472</v>
      </c>
      <c r="M273" s="94">
        <f t="shared" si="122"/>
        <v>353.80463429099905</v>
      </c>
      <c r="N273" s="94">
        <f t="shared" si="122"/>
        <v>389.07033574545289</v>
      </c>
      <c r="O273" s="94">
        <f t="shared" si="122"/>
        <v>425.7552290303027</v>
      </c>
      <c r="P273" s="94">
        <f t="shared" si="122"/>
        <v>463.71599708973338</v>
      </c>
      <c r="Q273" s="94">
        <f t="shared" si="122"/>
        <v>501.9935170869357</v>
      </c>
      <c r="R273" s="94">
        <f t="shared" si="122"/>
        <v>540.11880667435355</v>
      </c>
      <c r="S273" s="94">
        <f t="shared" si="122"/>
        <v>577.58511480056166</v>
      </c>
    </row>
    <row r="274" spans="2:19" ht="22.5" customHeight="1">
      <c r="B274" s="35" t="s">
        <v>502</v>
      </c>
      <c r="C274" s="35" t="s">
        <v>311</v>
      </c>
      <c r="D274" s="54"/>
      <c r="E274" s="35"/>
      <c r="F274" s="35"/>
      <c r="G274" s="35"/>
      <c r="H274" s="35"/>
      <c r="I274" s="88">
        <v>5300</v>
      </c>
      <c r="J274" s="88">
        <f t="shared" ref="J274:S274" si="123">I274+J273</f>
        <v>5538.3813670979471</v>
      </c>
      <c r="K274" s="88">
        <f t="shared" si="123"/>
        <v>5816.333237022759</v>
      </c>
      <c r="L274" s="88">
        <f t="shared" si="123"/>
        <v>6134.2081259249935</v>
      </c>
      <c r="M274" s="88">
        <f t="shared" si="123"/>
        <v>6488.0127602159928</v>
      </c>
      <c r="N274" s="88">
        <f t="shared" si="123"/>
        <v>6877.0830959614459</v>
      </c>
      <c r="O274" s="88">
        <f t="shared" si="123"/>
        <v>7302.8383249917488</v>
      </c>
      <c r="P274" s="88">
        <f t="shared" si="123"/>
        <v>7766.5543220814825</v>
      </c>
      <c r="Q274" s="88">
        <f t="shared" si="123"/>
        <v>8268.5478391684173</v>
      </c>
      <c r="R274" s="88">
        <f t="shared" si="123"/>
        <v>8808.6666458427717</v>
      </c>
      <c r="S274" s="88">
        <f t="shared" si="123"/>
        <v>9386.2517606433339</v>
      </c>
    </row>
    <row r="275" spans="2:19" ht="18" customHeight="1">
      <c r="B275" s="56" t="s">
        <v>503</v>
      </c>
      <c r="C275" s="56" t="s">
        <v>311</v>
      </c>
      <c r="D275" s="57"/>
      <c r="J275" s="94">
        <f t="shared" ref="J275:S275" si="124">$E$124*(I277+0.5*J273)</f>
        <v>220.95953417744869</v>
      </c>
      <c r="K275" s="94">
        <f t="shared" si="124"/>
        <v>222.81988839414521</v>
      </c>
      <c r="L275" s="94">
        <f t="shared" si="124"/>
        <v>226.57456294511414</v>
      </c>
      <c r="M275" s="94">
        <f t="shared" si="124"/>
        <v>232.03782287768922</v>
      </c>
      <c r="N275" s="94">
        <f t="shared" si="124"/>
        <v>239.00780598471613</v>
      </c>
      <c r="O275" s="94">
        <f t="shared" si="124"/>
        <v>247.42805480487425</v>
      </c>
      <c r="P275" s="94">
        <f t="shared" si="124"/>
        <v>257.29343271763145</v>
      </c>
      <c r="Q275" s="94">
        <f t="shared" si="124"/>
        <v>268.57149893616662</v>
      </c>
      <c r="R275" s="94">
        <f t="shared" si="124"/>
        <v>281.19573208339051</v>
      </c>
      <c r="S275" s="94">
        <f t="shared" si="124"/>
        <v>295.07854351609387</v>
      </c>
    </row>
    <row r="276" spans="2:19" ht="18" customHeight="1">
      <c r="B276" s="56" t="s">
        <v>504</v>
      </c>
      <c r="C276" s="56" t="s">
        <v>311</v>
      </c>
      <c r="D276" s="57"/>
      <c r="I276" s="98">
        <v>1000</v>
      </c>
      <c r="J276" s="94">
        <f t="shared" ref="J276:S276" si="125">I276+J275</f>
        <v>1220.9595341774486</v>
      </c>
      <c r="K276" s="94">
        <f t="shared" si="125"/>
        <v>1443.7794225715938</v>
      </c>
      <c r="L276" s="94">
        <f t="shared" si="125"/>
        <v>1670.353985516708</v>
      </c>
      <c r="M276" s="94">
        <f t="shared" si="125"/>
        <v>1902.3918083943972</v>
      </c>
      <c r="N276" s="94">
        <f t="shared" si="125"/>
        <v>2141.3996143791132</v>
      </c>
      <c r="O276" s="94">
        <f t="shared" si="125"/>
        <v>2388.8276691839874</v>
      </c>
      <c r="P276" s="94">
        <f t="shared" si="125"/>
        <v>2646.1211019016187</v>
      </c>
      <c r="Q276" s="94">
        <f t="shared" si="125"/>
        <v>2914.6926008377854</v>
      </c>
      <c r="R276" s="94">
        <f t="shared" si="125"/>
        <v>3195.8883329211758</v>
      </c>
      <c r="S276" s="94">
        <f t="shared" si="125"/>
        <v>3490.9668764372695</v>
      </c>
    </row>
    <row r="277" spans="2:19" ht="22.5" customHeight="1">
      <c r="B277" s="35" t="s">
        <v>505</v>
      </c>
      <c r="C277" s="35" t="s">
        <v>311</v>
      </c>
      <c r="D277" s="54"/>
      <c r="E277" s="35"/>
      <c r="F277" s="35"/>
      <c r="G277" s="35"/>
      <c r="H277" s="35"/>
      <c r="I277" s="88">
        <f t="shared" ref="I277:S277" si="126">I274-I276</f>
        <v>4300</v>
      </c>
      <c r="J277" s="88">
        <f t="shared" si="126"/>
        <v>4317.4218329204987</v>
      </c>
      <c r="K277" s="88">
        <f t="shared" si="126"/>
        <v>4372.5538144511647</v>
      </c>
      <c r="L277" s="88">
        <f t="shared" si="126"/>
        <v>4463.8541404082853</v>
      </c>
      <c r="M277" s="88">
        <f t="shared" si="126"/>
        <v>4585.6209518215956</v>
      </c>
      <c r="N277" s="88">
        <f t="shared" si="126"/>
        <v>4735.6834815823331</v>
      </c>
      <c r="O277" s="88">
        <f t="shared" si="126"/>
        <v>4914.0106558077614</v>
      </c>
      <c r="P277" s="88">
        <f t="shared" si="126"/>
        <v>5120.4332201798643</v>
      </c>
      <c r="Q277" s="88">
        <f t="shared" si="126"/>
        <v>5353.8552383306323</v>
      </c>
      <c r="R277" s="88">
        <f t="shared" si="126"/>
        <v>5612.7783129215959</v>
      </c>
      <c r="S277" s="88">
        <f t="shared" si="126"/>
        <v>5895.2848842060648</v>
      </c>
    </row>
    <row r="278" spans="2:19" ht="18" customHeight="1">
      <c r="B278" s="56" t="s">
        <v>506</v>
      </c>
      <c r="C278" s="56" t="s">
        <v>311</v>
      </c>
      <c r="D278" s="57"/>
      <c r="J278" s="94">
        <f t="shared" ref="J278:S278" si="127">$E$125*J272</f>
        <v>953.52546839178979</v>
      </c>
      <c r="K278" s="94">
        <f t="shared" si="127"/>
        <v>1111.8074796992471</v>
      </c>
      <c r="L278" s="94">
        <f t="shared" si="127"/>
        <v>1271.4995556089389</v>
      </c>
      <c r="M278" s="94">
        <f t="shared" si="127"/>
        <v>1415.2185371639962</v>
      </c>
      <c r="N278" s="94">
        <f t="shared" si="127"/>
        <v>1556.2813429818116</v>
      </c>
      <c r="O278" s="94">
        <f t="shared" si="127"/>
        <v>1703.0209161212108</v>
      </c>
      <c r="P278" s="94">
        <f t="shared" si="127"/>
        <v>1854.8639883589335</v>
      </c>
      <c r="Q278" s="94">
        <f t="shared" si="127"/>
        <v>2007.9740683477428</v>
      </c>
      <c r="R278" s="94">
        <f t="shared" si="127"/>
        <v>2160.4752266974142</v>
      </c>
      <c r="S278" s="94">
        <f t="shared" si="127"/>
        <v>2310.3404592022466</v>
      </c>
    </row>
    <row r="279" spans="2:19" ht="18" customHeight="1">
      <c r="B279" s="56" t="s">
        <v>507</v>
      </c>
      <c r="C279" s="56" t="s">
        <v>311</v>
      </c>
      <c r="D279" s="57"/>
      <c r="I279" s="98">
        <v>7000</v>
      </c>
      <c r="J279" s="94">
        <f t="shared" ref="J279:S279" si="128">I279+J278</f>
        <v>7953.5254683917901</v>
      </c>
      <c r="K279" s="94">
        <f t="shared" si="128"/>
        <v>9065.3329480910379</v>
      </c>
      <c r="L279" s="94">
        <f t="shared" si="128"/>
        <v>10336.832503699978</v>
      </c>
      <c r="M279" s="94">
        <f t="shared" si="128"/>
        <v>11752.051040863975</v>
      </c>
      <c r="N279" s="94">
        <f t="shared" si="128"/>
        <v>13308.332383845787</v>
      </c>
      <c r="O279" s="94">
        <f t="shared" si="128"/>
        <v>15011.353299966999</v>
      </c>
      <c r="P279" s="94">
        <f t="shared" si="128"/>
        <v>16866.217288325934</v>
      </c>
      <c r="Q279" s="94">
        <f t="shared" si="128"/>
        <v>18874.191356673677</v>
      </c>
      <c r="R279" s="94">
        <f t="shared" si="128"/>
        <v>21034.66658337109</v>
      </c>
      <c r="S279" s="94">
        <f t="shared" si="128"/>
        <v>23345.007042573336</v>
      </c>
    </row>
    <row r="280" spans="2:19" ht="18" customHeight="1">
      <c r="B280" s="56" t="s">
        <v>508</v>
      </c>
      <c r="C280" s="56" t="s">
        <v>311</v>
      </c>
      <c r="D280" s="57"/>
      <c r="J280" s="94">
        <f t="shared" ref="J280:S280" si="129">$E$126*(I282+0.5*J278)</f>
        <v>869.19068354897377</v>
      </c>
      <c r="K280" s="94">
        <f t="shared" si="129"/>
        <v>910.05963117311001</v>
      </c>
      <c r="L280" s="94">
        <f t="shared" si="129"/>
        <v>980.45810279335603</v>
      </c>
      <c r="M280" s="94">
        <f t="shared" si="129"/>
        <v>1071.1833386916342</v>
      </c>
      <c r="N280" s="94">
        <f t="shared" si="129"/>
        <v>1174.8249890369516</v>
      </c>
      <c r="O280" s="94">
        <f t="shared" si="129"/>
        <v>1288.5315241655917</v>
      </c>
      <c r="P280" s="94">
        <f t="shared" si="129"/>
        <v>1411.1342561842118</v>
      </c>
      <c r="Q280" s="94">
        <f t="shared" si="129"/>
        <v>1541.2054492264938</v>
      </c>
      <c r="R280" s="94">
        <f t="shared" si="129"/>
        <v>1676.9602488005148</v>
      </c>
      <c r="S280" s="94">
        <f t="shared" si="129"/>
        <v>1816.5721473378437</v>
      </c>
    </row>
    <row r="281" spans="2:19" ht="22.5" customHeight="1">
      <c r="B281" s="35" t="s">
        <v>509</v>
      </c>
      <c r="C281" s="35" t="s">
        <v>311</v>
      </c>
      <c r="D281" s="54"/>
      <c r="E281" s="35"/>
      <c r="F281" s="35"/>
      <c r="G281" s="35"/>
      <c r="H281" s="35"/>
      <c r="I281" s="88">
        <v>4000</v>
      </c>
      <c r="J281" s="88">
        <f t="shared" ref="J281:S281" si="130">I281+J280</f>
        <v>4869.1906835489735</v>
      </c>
      <c r="K281" s="88">
        <f t="shared" si="130"/>
        <v>5779.2503147220832</v>
      </c>
      <c r="L281" s="88">
        <f t="shared" si="130"/>
        <v>6759.7084175154396</v>
      </c>
      <c r="M281" s="88">
        <f t="shared" si="130"/>
        <v>7830.8917562070737</v>
      </c>
      <c r="N281" s="88">
        <f t="shared" si="130"/>
        <v>9005.7167452440262</v>
      </c>
      <c r="O281" s="88">
        <f t="shared" si="130"/>
        <v>10294.248269409618</v>
      </c>
      <c r="P281" s="88">
        <f t="shared" si="130"/>
        <v>11705.38252559383</v>
      </c>
      <c r="Q281" s="88">
        <f t="shared" si="130"/>
        <v>13246.587974820324</v>
      </c>
      <c r="R281" s="88">
        <f t="shared" si="130"/>
        <v>14923.548223620839</v>
      </c>
      <c r="S281" s="88">
        <f t="shared" si="130"/>
        <v>16740.120370958684</v>
      </c>
    </row>
    <row r="282" spans="2:19" ht="18" customHeight="1">
      <c r="B282" s="73" t="s">
        <v>510</v>
      </c>
      <c r="C282" s="56" t="s">
        <v>311</v>
      </c>
      <c r="D282" s="57"/>
      <c r="I282" s="99">
        <f t="shared" ref="I282:S282" si="131">I279-I281</f>
        <v>3000</v>
      </c>
      <c r="J282" s="100">
        <f t="shared" si="131"/>
        <v>3084.3347848428166</v>
      </c>
      <c r="K282" s="100">
        <f t="shared" si="131"/>
        <v>3286.0826333689547</v>
      </c>
      <c r="L282" s="100">
        <f t="shared" si="131"/>
        <v>3577.1240861845381</v>
      </c>
      <c r="M282" s="100">
        <f t="shared" si="131"/>
        <v>3921.159284656901</v>
      </c>
      <c r="N282" s="100">
        <f t="shared" si="131"/>
        <v>4302.615638601761</v>
      </c>
      <c r="O282" s="100">
        <f t="shared" si="131"/>
        <v>4717.1050305573808</v>
      </c>
      <c r="P282" s="100">
        <f t="shared" si="131"/>
        <v>5160.8347627321036</v>
      </c>
      <c r="Q282" s="100">
        <f t="shared" si="131"/>
        <v>5627.6033818533524</v>
      </c>
      <c r="R282" s="100">
        <f t="shared" si="131"/>
        <v>6111.1183597502513</v>
      </c>
      <c r="S282" s="100">
        <f t="shared" si="131"/>
        <v>6604.8866716146513</v>
      </c>
    </row>
    <row r="283" spans="2:19" ht="22.5" customHeight="1">
      <c r="B283" s="35" t="s">
        <v>511</v>
      </c>
      <c r="C283" s="35" t="s">
        <v>311</v>
      </c>
      <c r="D283" s="54"/>
      <c r="E283" s="35"/>
      <c r="F283" s="35"/>
      <c r="G283" s="35"/>
      <c r="H283" s="35"/>
      <c r="I283" s="35"/>
      <c r="J283" s="88">
        <f t="shared" ref="J283:S283" si="132">$E$127*J272</f>
        <v>595.9534177448686</v>
      </c>
      <c r="K283" s="88">
        <f t="shared" si="132"/>
        <v>694.87967481202941</v>
      </c>
      <c r="L283" s="88">
        <f t="shared" si="132"/>
        <v>794.68722225558668</v>
      </c>
      <c r="M283" s="88">
        <f t="shared" si="132"/>
        <v>884.51158572749762</v>
      </c>
      <c r="N283" s="88">
        <f t="shared" si="132"/>
        <v>972.67583936363212</v>
      </c>
      <c r="O283" s="88">
        <f t="shared" si="132"/>
        <v>1064.3880725757567</v>
      </c>
      <c r="P283" s="88">
        <f t="shared" si="132"/>
        <v>1159.2899927243334</v>
      </c>
      <c r="Q283" s="88">
        <f t="shared" si="132"/>
        <v>1254.9837927173392</v>
      </c>
      <c r="R283" s="88">
        <f t="shared" si="132"/>
        <v>1350.2970166858838</v>
      </c>
      <c r="S283" s="88">
        <f t="shared" si="132"/>
        <v>1443.9627870014042</v>
      </c>
    </row>
    <row r="284" spans="2:19" ht="22.5" customHeight="1">
      <c r="B284" s="35" t="s">
        <v>512</v>
      </c>
      <c r="C284" s="35" t="s">
        <v>311</v>
      </c>
      <c r="D284" s="54"/>
      <c r="E284" s="35"/>
      <c r="F284" s="35"/>
      <c r="G284" s="35"/>
      <c r="H284" s="35"/>
      <c r="I284" s="88">
        <v>6000</v>
      </c>
      <c r="J284" s="88">
        <f t="shared" ref="J284:S284" si="133">I284+J283</f>
        <v>6595.9534177448686</v>
      </c>
      <c r="K284" s="88">
        <f t="shared" si="133"/>
        <v>7290.833092556898</v>
      </c>
      <c r="L284" s="88">
        <f t="shared" si="133"/>
        <v>8085.5203148124847</v>
      </c>
      <c r="M284" s="88">
        <f t="shared" si="133"/>
        <v>8970.0319005399815</v>
      </c>
      <c r="N284" s="88">
        <f t="shared" si="133"/>
        <v>9942.7077399036134</v>
      </c>
      <c r="O284" s="88">
        <f t="shared" si="133"/>
        <v>11007.095812479371</v>
      </c>
      <c r="P284" s="88">
        <f t="shared" si="133"/>
        <v>12166.385805203703</v>
      </c>
      <c r="Q284" s="88">
        <f t="shared" si="133"/>
        <v>13421.369597921042</v>
      </c>
      <c r="R284" s="88">
        <f t="shared" si="133"/>
        <v>14771.666614606926</v>
      </c>
      <c r="S284" s="88">
        <f t="shared" si="133"/>
        <v>16215.62940160833</v>
      </c>
    </row>
    <row r="285" spans="2:19" ht="22.5" customHeight="1">
      <c r="B285" s="35" t="s">
        <v>513</v>
      </c>
      <c r="C285" s="35" t="s">
        <v>311</v>
      </c>
      <c r="D285" s="54"/>
      <c r="E285" s="35"/>
      <c r="F285" s="35"/>
      <c r="G285" s="35"/>
      <c r="H285" s="35"/>
      <c r="I285" s="35"/>
      <c r="J285" s="88">
        <f t="shared" ref="J285:S285" si="134">$E$128*(I287+0.5*J283)</f>
        <v>883.79534177448704</v>
      </c>
      <c r="K285" s="88">
        <f t="shared" si="134"/>
        <v>836.11958267527916</v>
      </c>
      <c r="L285" s="88">
        <f t="shared" si="134"/>
        <v>817.85235584698512</v>
      </c>
      <c r="M285" s="88">
        <f t="shared" si="134"/>
        <v>822.20176547589642</v>
      </c>
      <c r="N285" s="88">
        <f t="shared" si="134"/>
        <v>843.48015488982992</v>
      </c>
      <c r="O285" s="88">
        <f t="shared" si="134"/>
        <v>878.49051510580273</v>
      </c>
      <c r="P285" s="88">
        <f t="shared" si="134"/>
        <v>925.16021861465128</v>
      </c>
      <c r="Q285" s="88">
        <f t="shared" si="134"/>
        <v>981.5555534358881</v>
      </c>
      <c r="R285" s="88">
        <f t="shared" si="134"/>
        <v>1045.7725236890328</v>
      </c>
      <c r="S285" s="88">
        <f t="shared" si="134"/>
        <v>1116.043999319955</v>
      </c>
    </row>
    <row r="286" spans="2:19" ht="18" customHeight="1">
      <c r="B286" s="56" t="s">
        <v>514</v>
      </c>
      <c r="C286" s="56" t="s">
        <v>311</v>
      </c>
      <c r="D286" s="57"/>
      <c r="I286" s="98">
        <v>1879</v>
      </c>
      <c r="J286" s="94">
        <f t="shared" ref="J286:S286" si="135">I286+J285</f>
        <v>2762.795341774487</v>
      </c>
      <c r="K286" s="94">
        <f t="shared" si="135"/>
        <v>3598.9149244497662</v>
      </c>
      <c r="L286" s="94">
        <f t="shared" si="135"/>
        <v>4416.7672802967518</v>
      </c>
      <c r="M286" s="94">
        <f t="shared" si="135"/>
        <v>5238.9690457726483</v>
      </c>
      <c r="N286" s="94">
        <f t="shared" si="135"/>
        <v>6082.4492006624787</v>
      </c>
      <c r="O286" s="94">
        <f t="shared" si="135"/>
        <v>6960.9397157682815</v>
      </c>
      <c r="P286" s="94">
        <f t="shared" si="135"/>
        <v>7886.0999343829326</v>
      </c>
      <c r="Q286" s="94">
        <f t="shared" si="135"/>
        <v>8867.6554878188199</v>
      </c>
      <c r="R286" s="94">
        <f t="shared" si="135"/>
        <v>9913.4280115078527</v>
      </c>
      <c r="S286" s="94">
        <f t="shared" si="135"/>
        <v>11029.472010827807</v>
      </c>
    </row>
    <row r="287" spans="2:19" ht="18" customHeight="1">
      <c r="B287" s="73" t="s">
        <v>515</v>
      </c>
      <c r="C287" s="56" t="s">
        <v>311</v>
      </c>
      <c r="D287" s="57"/>
      <c r="I287" s="99">
        <f t="shared" ref="I287:S287" si="136">I284-I286</f>
        <v>4121</v>
      </c>
      <c r="J287" s="100">
        <f t="shared" si="136"/>
        <v>3833.1580759703816</v>
      </c>
      <c r="K287" s="100">
        <f t="shared" si="136"/>
        <v>3691.9181681071318</v>
      </c>
      <c r="L287" s="100">
        <f t="shared" si="136"/>
        <v>3668.7530345157329</v>
      </c>
      <c r="M287" s="100">
        <f t="shared" si="136"/>
        <v>3731.0628547673332</v>
      </c>
      <c r="N287" s="100">
        <f t="shared" si="136"/>
        <v>3860.2585392411347</v>
      </c>
      <c r="O287" s="100">
        <f t="shared" si="136"/>
        <v>4046.156096711089</v>
      </c>
      <c r="P287" s="100">
        <f t="shared" si="136"/>
        <v>4280.2858708207705</v>
      </c>
      <c r="Q287" s="100">
        <f t="shared" si="136"/>
        <v>4553.7141101022225</v>
      </c>
      <c r="R287" s="100">
        <f t="shared" si="136"/>
        <v>4858.2386030990729</v>
      </c>
      <c r="S287" s="100">
        <f t="shared" si="136"/>
        <v>5186.1573907805232</v>
      </c>
    </row>
    <row r="288" spans="2:19" ht="22.5" customHeight="1">
      <c r="B288" s="35" t="s">
        <v>516</v>
      </c>
      <c r="C288" s="35" t="s">
        <v>311</v>
      </c>
      <c r="D288" s="54"/>
      <c r="E288" s="35"/>
      <c r="F288" s="35"/>
      <c r="G288" s="35"/>
      <c r="H288" s="35"/>
      <c r="I288" s="35"/>
      <c r="J288" s="88">
        <f t="shared" ref="J288:S288" si="137">$E$129*J272</f>
        <v>595.9534177448686</v>
      </c>
      <c r="K288" s="88">
        <f t="shared" si="137"/>
        <v>694.87967481202941</v>
      </c>
      <c r="L288" s="88">
        <f t="shared" si="137"/>
        <v>794.68722225558668</v>
      </c>
      <c r="M288" s="88">
        <f t="shared" si="137"/>
        <v>884.51158572749762</v>
      </c>
      <c r="N288" s="88">
        <f t="shared" si="137"/>
        <v>972.67583936363212</v>
      </c>
      <c r="O288" s="88">
        <f t="shared" si="137"/>
        <v>1064.3880725757567</v>
      </c>
      <c r="P288" s="88">
        <f t="shared" si="137"/>
        <v>1159.2899927243334</v>
      </c>
      <c r="Q288" s="88">
        <f t="shared" si="137"/>
        <v>1254.9837927173392</v>
      </c>
      <c r="R288" s="88">
        <f t="shared" si="137"/>
        <v>1350.2970166858838</v>
      </c>
      <c r="S288" s="88">
        <f t="shared" si="137"/>
        <v>1443.9627870014042</v>
      </c>
    </row>
    <row r="289" spans="2:19" ht="22.5" customHeight="1">
      <c r="B289" s="35" t="s">
        <v>517</v>
      </c>
      <c r="C289" s="35" t="s">
        <v>311</v>
      </c>
      <c r="D289" s="54"/>
      <c r="E289" s="35"/>
      <c r="F289" s="35"/>
      <c r="G289" s="35"/>
      <c r="H289" s="35"/>
      <c r="I289" s="88">
        <v>4200</v>
      </c>
      <c r="J289" s="88">
        <f t="shared" ref="J289:S289" si="138">I289+J288</f>
        <v>4795.9534177448686</v>
      </c>
      <c r="K289" s="88">
        <f t="shared" si="138"/>
        <v>5490.833092556898</v>
      </c>
      <c r="L289" s="88">
        <f t="shared" si="138"/>
        <v>6285.5203148124847</v>
      </c>
      <c r="M289" s="88">
        <f t="shared" si="138"/>
        <v>7170.0319005399824</v>
      </c>
      <c r="N289" s="88">
        <f t="shared" si="138"/>
        <v>8142.7077399036143</v>
      </c>
      <c r="O289" s="88">
        <f t="shared" si="138"/>
        <v>9207.0958124793706</v>
      </c>
      <c r="P289" s="88">
        <f t="shared" si="138"/>
        <v>10366.385805203703</v>
      </c>
      <c r="Q289" s="88">
        <f t="shared" si="138"/>
        <v>11621.369597921042</v>
      </c>
      <c r="R289" s="88">
        <f t="shared" si="138"/>
        <v>12971.666614606926</v>
      </c>
      <c r="S289" s="88">
        <f t="shared" si="138"/>
        <v>14415.62940160833</v>
      </c>
    </row>
    <row r="290" spans="2:19" ht="18" customHeight="1">
      <c r="B290" s="56" t="s">
        <v>518</v>
      </c>
      <c r="C290" s="56" t="s">
        <v>311</v>
      </c>
      <c r="D290" s="57"/>
      <c r="J290" s="94">
        <f t="shared" ref="J290:S290" si="139">$E$130*(I292+0.5*J288)</f>
        <v>546.79534177448693</v>
      </c>
      <c r="K290" s="94">
        <f t="shared" si="139"/>
        <v>566.51958267527925</v>
      </c>
      <c r="L290" s="94">
        <f t="shared" si="139"/>
        <v>602.17235584698506</v>
      </c>
      <c r="M290" s="94">
        <f t="shared" si="139"/>
        <v>649.65776547589655</v>
      </c>
      <c r="N290" s="94">
        <f t="shared" si="139"/>
        <v>705.44495488983011</v>
      </c>
      <c r="O290" s="94">
        <f t="shared" si="139"/>
        <v>768.06235510580302</v>
      </c>
      <c r="P290" s="94">
        <f t="shared" si="139"/>
        <v>836.81769061465138</v>
      </c>
      <c r="Q290" s="94">
        <f t="shared" si="139"/>
        <v>910.8815310358882</v>
      </c>
      <c r="R290" s="94">
        <f t="shared" si="139"/>
        <v>989.23330576903288</v>
      </c>
      <c r="S290" s="94">
        <f t="shared" si="139"/>
        <v>1070.8126249839552</v>
      </c>
    </row>
    <row r="291" spans="2:19" ht="18" customHeight="1">
      <c r="B291" s="56" t="s">
        <v>519</v>
      </c>
      <c r="C291" s="56" t="s">
        <v>311</v>
      </c>
      <c r="D291" s="57"/>
      <c r="I291" s="98">
        <v>1764</v>
      </c>
      <c r="J291" s="94">
        <f t="shared" ref="J291:S291" si="140">I291+J290</f>
        <v>2310.795341774487</v>
      </c>
      <c r="K291" s="94">
        <f t="shared" si="140"/>
        <v>2877.3149244497663</v>
      </c>
      <c r="L291" s="94">
        <f t="shared" si="140"/>
        <v>3479.4872802967511</v>
      </c>
      <c r="M291" s="94">
        <f t="shared" si="140"/>
        <v>4129.1450457726478</v>
      </c>
      <c r="N291" s="94">
        <f t="shared" si="140"/>
        <v>4834.5900006624779</v>
      </c>
      <c r="O291" s="94">
        <f t="shared" si="140"/>
        <v>5602.6523557682813</v>
      </c>
      <c r="P291" s="94">
        <f t="shared" si="140"/>
        <v>6439.4700463829322</v>
      </c>
      <c r="Q291" s="94">
        <f t="shared" si="140"/>
        <v>7350.3515774188199</v>
      </c>
      <c r="R291" s="94">
        <f t="shared" si="140"/>
        <v>8339.584883187852</v>
      </c>
      <c r="S291" s="94">
        <f t="shared" si="140"/>
        <v>9410.3975081718072</v>
      </c>
    </row>
    <row r="292" spans="2:19" ht="18" customHeight="1">
      <c r="B292" s="73" t="s">
        <v>520</v>
      </c>
      <c r="C292" s="56" t="s">
        <v>311</v>
      </c>
      <c r="D292" s="57"/>
      <c r="I292" s="99">
        <f t="shared" ref="I292:S292" si="141">I289-I291</f>
        <v>2436</v>
      </c>
      <c r="J292" s="100">
        <f t="shared" si="141"/>
        <v>2485.1580759703816</v>
      </c>
      <c r="K292" s="100">
        <f t="shared" si="141"/>
        <v>2613.5181681071317</v>
      </c>
      <c r="L292" s="100">
        <f t="shared" si="141"/>
        <v>2806.0330345157336</v>
      </c>
      <c r="M292" s="100">
        <f t="shared" si="141"/>
        <v>3040.8868547673346</v>
      </c>
      <c r="N292" s="100">
        <f t="shared" si="141"/>
        <v>3308.1177392411364</v>
      </c>
      <c r="O292" s="100">
        <f t="shared" si="141"/>
        <v>3604.4434567110893</v>
      </c>
      <c r="P292" s="100">
        <f t="shared" si="141"/>
        <v>3926.9157588207709</v>
      </c>
      <c r="Q292" s="100">
        <f t="shared" si="141"/>
        <v>4271.0180205022225</v>
      </c>
      <c r="R292" s="100">
        <f t="shared" si="141"/>
        <v>4632.0817314190735</v>
      </c>
      <c r="S292" s="100">
        <f t="shared" si="141"/>
        <v>5005.231893436523</v>
      </c>
    </row>
    <row r="293" spans="2:19" ht="18" customHeight="1">
      <c r="B293" s="73" t="s">
        <v>521</v>
      </c>
      <c r="C293" s="56" t="s">
        <v>311</v>
      </c>
      <c r="D293" s="57"/>
      <c r="E293" s="110"/>
      <c r="F293" s="110"/>
      <c r="G293" s="110"/>
      <c r="H293" s="110"/>
      <c r="I293" s="95">
        <f t="shared" ref="I293:S293" si="142">I277+I282+I287+I292</f>
        <v>13857</v>
      </c>
      <c r="J293" s="96">
        <f t="shared" si="142"/>
        <v>13720.072769704078</v>
      </c>
      <c r="K293" s="96">
        <f t="shared" si="142"/>
        <v>13964.072784034382</v>
      </c>
      <c r="L293" s="96">
        <f t="shared" si="142"/>
        <v>14515.764295624289</v>
      </c>
      <c r="M293" s="96">
        <f t="shared" si="142"/>
        <v>15278.729946013165</v>
      </c>
      <c r="N293" s="96">
        <f t="shared" si="142"/>
        <v>16206.675398666364</v>
      </c>
      <c r="O293" s="96">
        <f t="shared" si="142"/>
        <v>17281.715239787321</v>
      </c>
      <c r="P293" s="96">
        <f t="shared" si="142"/>
        <v>18488.469612553508</v>
      </c>
      <c r="Q293" s="96">
        <f t="shared" si="142"/>
        <v>19806.190750788432</v>
      </c>
      <c r="R293" s="96">
        <f t="shared" si="142"/>
        <v>21214.217007189989</v>
      </c>
      <c r="S293" s="96">
        <f t="shared" si="142"/>
        <v>22691.56084003776</v>
      </c>
    </row>
    <row r="294" spans="2:19" ht="18" customHeight="1">
      <c r="B294" s="56" t="s">
        <v>522</v>
      </c>
      <c r="C294" s="56" t="s">
        <v>311</v>
      </c>
      <c r="D294" s="57"/>
      <c r="I294" s="101">
        <f t="shared" ref="I294:S294" si="143">I287</f>
        <v>4121</v>
      </c>
      <c r="J294" s="94">
        <f t="shared" si="143"/>
        <v>3833.1580759703816</v>
      </c>
      <c r="K294" s="94">
        <f t="shared" si="143"/>
        <v>3691.9181681071318</v>
      </c>
      <c r="L294" s="94">
        <f t="shared" si="143"/>
        <v>3668.7530345157329</v>
      </c>
      <c r="M294" s="94">
        <f t="shared" si="143"/>
        <v>3731.0628547673332</v>
      </c>
      <c r="N294" s="94">
        <f t="shared" si="143"/>
        <v>3860.2585392411347</v>
      </c>
      <c r="O294" s="94">
        <f t="shared" si="143"/>
        <v>4046.156096711089</v>
      </c>
      <c r="P294" s="94">
        <f t="shared" si="143"/>
        <v>4280.2858708207705</v>
      </c>
      <c r="Q294" s="94">
        <f t="shared" si="143"/>
        <v>4553.7141101022225</v>
      </c>
      <c r="R294" s="94">
        <f t="shared" si="143"/>
        <v>4858.2386030990729</v>
      </c>
      <c r="S294" s="94">
        <f t="shared" si="143"/>
        <v>5186.1573907805232</v>
      </c>
    </row>
    <row r="295" spans="2:19" ht="22.5" customHeight="1">
      <c r="B295" s="35" t="s">
        <v>523</v>
      </c>
      <c r="C295" s="35" t="s">
        <v>311</v>
      </c>
      <c r="D295" s="54"/>
      <c r="E295" s="35"/>
      <c r="F295" s="35"/>
      <c r="G295" s="35"/>
      <c r="H295" s="35"/>
      <c r="I295" s="111">
        <f>I293-I167</f>
        <v>0</v>
      </c>
      <c r="J295" s="35"/>
      <c r="K295" s="35"/>
      <c r="L295" s="35"/>
      <c r="M295" s="35"/>
      <c r="N295" s="35"/>
      <c r="O295" s="35"/>
      <c r="P295" s="35"/>
      <c r="Q295" s="35"/>
      <c r="R295" s="35"/>
      <c r="S295" s="35"/>
    </row>
    <row r="296" spans="2:19" ht="18" customHeight="1">
      <c r="B296" s="56"/>
      <c r="C296" s="56"/>
      <c r="D296" s="57"/>
      <c r="I296" s="106"/>
    </row>
    <row r="297" spans="2:19" ht="22.5" customHeight="1">
      <c r="B297" s="35" t="s">
        <v>524</v>
      </c>
      <c r="C297" s="35"/>
      <c r="D297" s="35"/>
      <c r="E297" s="108" t="s">
        <v>223</v>
      </c>
      <c r="F297" s="108" t="s">
        <v>224</v>
      </c>
      <c r="G297" s="108" t="s">
        <v>225</v>
      </c>
      <c r="H297" s="108" t="s">
        <v>226</v>
      </c>
      <c r="I297" s="108" t="s">
        <v>93</v>
      </c>
      <c r="J297" s="108" t="s">
        <v>94</v>
      </c>
      <c r="K297" s="108" t="s">
        <v>227</v>
      </c>
      <c r="L297" s="108" t="s">
        <v>95</v>
      </c>
      <c r="M297" s="108" t="s">
        <v>228</v>
      </c>
      <c r="N297" s="108" t="s">
        <v>96</v>
      </c>
      <c r="O297" s="108" t="s">
        <v>229</v>
      </c>
      <c r="P297" s="108" t="s">
        <v>230</v>
      </c>
      <c r="Q297" s="108" t="s">
        <v>231</v>
      </c>
      <c r="R297" s="108" t="s">
        <v>232</v>
      </c>
      <c r="S297" s="108" t="s">
        <v>97</v>
      </c>
    </row>
    <row r="298" spans="2:19" ht="18" customHeight="1">
      <c r="B298" s="73" t="s">
        <v>525</v>
      </c>
      <c r="C298" s="56" t="s">
        <v>311</v>
      </c>
      <c r="D298" s="57"/>
      <c r="E298" s="99">
        <f t="shared" ref="E298:S298" si="144">E104*E216</f>
        <v>7471.5267128099995</v>
      </c>
      <c r="F298" s="99">
        <f t="shared" si="144"/>
        <v>9204.4110681599996</v>
      </c>
      <c r="G298" s="99">
        <f t="shared" si="144"/>
        <v>9714.7262367999992</v>
      </c>
      <c r="H298" s="99">
        <f t="shared" si="144"/>
        <v>10318.2501639</v>
      </c>
      <c r="I298" s="99">
        <f t="shared" si="144"/>
        <v>11015.830632320001</v>
      </c>
      <c r="J298" s="100">
        <f t="shared" si="144"/>
        <v>12819.051745999999</v>
      </c>
      <c r="K298" s="100">
        <f t="shared" si="144"/>
        <v>14478.012777309998</v>
      </c>
      <c r="L298" s="100">
        <f t="shared" si="144"/>
        <v>15712.450162754401</v>
      </c>
      <c r="M298" s="100">
        <f t="shared" si="144"/>
        <v>17391.221042456953</v>
      </c>
      <c r="N298" s="100">
        <f t="shared" si="144"/>
        <v>19098.881579627545</v>
      </c>
      <c r="O298" s="100">
        <f t="shared" si="144"/>
        <v>20847.788900508061</v>
      </c>
      <c r="P298" s="100">
        <f t="shared" si="144"/>
        <v>22618.587085635136</v>
      </c>
      <c r="Q298" s="100">
        <f t="shared" si="144"/>
        <v>24389.585953731839</v>
      </c>
      <c r="R298" s="100">
        <f t="shared" si="144"/>
        <v>26137.124496264634</v>
      </c>
      <c r="S298" s="100">
        <f t="shared" si="144"/>
        <v>27836.037588521831</v>
      </c>
    </row>
    <row r="299" spans="2:19" ht="18" customHeight="1">
      <c r="B299" s="56" t="s">
        <v>526</v>
      </c>
      <c r="C299" s="56" t="s">
        <v>311</v>
      </c>
      <c r="D299" s="57"/>
      <c r="F299" s="101">
        <f t="shared" ref="F299:S299" si="145">F151</f>
        <v>3748.797</v>
      </c>
      <c r="G299" s="101">
        <f t="shared" si="145"/>
        <v>2622.4789999999998</v>
      </c>
      <c r="H299" s="101">
        <f t="shared" si="145"/>
        <v>1893.867</v>
      </c>
      <c r="I299" s="101">
        <f t="shared" si="145"/>
        <v>2356.951</v>
      </c>
      <c r="J299" s="94">
        <f t="shared" si="145"/>
        <v>2392.3887400000003</v>
      </c>
      <c r="K299" s="94">
        <f t="shared" si="145"/>
        <v>2912.2046077499999</v>
      </c>
      <c r="L299" s="94">
        <f t="shared" si="145"/>
        <v>3267.4523352449996</v>
      </c>
      <c r="M299" s="94">
        <f t="shared" si="145"/>
        <v>3629.7885093433506</v>
      </c>
      <c r="N299" s="94">
        <f t="shared" si="145"/>
        <v>4001.1077436496157</v>
      </c>
      <c r="O299" s="94">
        <f t="shared" si="145"/>
        <v>4380.1173772078519</v>
      </c>
      <c r="P299" s="94">
        <f t="shared" si="145"/>
        <v>4766.0499984806138</v>
      </c>
      <c r="Q299" s="94">
        <f t="shared" si="145"/>
        <v>5154.404938527081</v>
      </c>
      <c r="R299" s="94">
        <f t="shared" si="145"/>
        <v>5540.2094791662803</v>
      </c>
      <c r="S299" s="94">
        <f t="shared" si="145"/>
        <v>5918.1098777178149</v>
      </c>
    </row>
    <row r="300" spans="2:19" ht="22.5" customHeight="1">
      <c r="B300" s="35" t="s">
        <v>527</v>
      </c>
      <c r="C300" s="35" t="s">
        <v>311</v>
      </c>
      <c r="D300" s="54" t="s">
        <v>528</v>
      </c>
      <c r="E300" s="35"/>
      <c r="F300" s="88">
        <f t="shared" ref="F300:S300" si="146">E298+F151-F298</f>
        <v>2015.9126446499995</v>
      </c>
      <c r="G300" s="88">
        <f t="shared" si="146"/>
        <v>2112.1638313599997</v>
      </c>
      <c r="H300" s="88">
        <f t="shared" si="146"/>
        <v>1290.3430728999992</v>
      </c>
      <c r="I300" s="88">
        <f t="shared" si="146"/>
        <v>1659.3705315799998</v>
      </c>
      <c r="J300" s="88">
        <f t="shared" si="146"/>
        <v>589.16762632000246</v>
      </c>
      <c r="K300" s="88">
        <f t="shared" si="146"/>
        <v>1253.2435764400016</v>
      </c>
      <c r="L300" s="88">
        <f t="shared" si="146"/>
        <v>2033.0149498005958</v>
      </c>
      <c r="M300" s="88">
        <f t="shared" si="146"/>
        <v>1951.017629640799</v>
      </c>
      <c r="N300" s="88">
        <f t="shared" si="146"/>
        <v>2293.4472064790243</v>
      </c>
      <c r="O300" s="88">
        <f t="shared" si="146"/>
        <v>2631.2100563273343</v>
      </c>
      <c r="P300" s="88">
        <f t="shared" si="146"/>
        <v>2995.2518133535377</v>
      </c>
      <c r="Q300" s="88">
        <f t="shared" si="146"/>
        <v>3383.4060704303774</v>
      </c>
      <c r="R300" s="88">
        <f t="shared" si="146"/>
        <v>3792.6709366334871</v>
      </c>
      <c r="S300" s="88">
        <f t="shared" si="146"/>
        <v>4219.1967854606191</v>
      </c>
    </row>
    <row r="301" spans="2:19" ht="22.5" customHeight="1">
      <c r="B301" s="35" t="s">
        <v>529</v>
      </c>
      <c r="C301" s="35" t="s">
        <v>168</v>
      </c>
      <c r="D301" s="54"/>
      <c r="E301" s="35"/>
      <c r="F301" s="71">
        <f t="shared" ref="F301:S301" si="147">F300/F214</f>
        <v>1.0638201795010486E-2</v>
      </c>
      <c r="G301" s="71">
        <f t="shared" si="147"/>
        <v>9.4288818863443574E-3</v>
      </c>
      <c r="H301" s="71">
        <f t="shared" si="147"/>
        <v>4.9743659770584616E-3</v>
      </c>
      <c r="I301" s="71">
        <f t="shared" si="147"/>
        <v>5.556005630368727E-3</v>
      </c>
      <c r="J301" s="71">
        <f t="shared" si="147"/>
        <v>1.7238725944847982E-3</v>
      </c>
      <c r="K301" s="71">
        <f t="shared" si="147"/>
        <v>3.2275640242743898E-3</v>
      </c>
      <c r="L301" s="71">
        <f t="shared" si="147"/>
        <v>4.6665140173685728E-3</v>
      </c>
      <c r="M301" s="71">
        <f t="shared" si="147"/>
        <v>4.031263029413556E-3</v>
      </c>
      <c r="N301" s="71">
        <f t="shared" si="147"/>
        <v>4.2990229583027674E-3</v>
      </c>
      <c r="O301" s="71">
        <f t="shared" si="147"/>
        <v>4.5053759347049019E-3</v>
      </c>
      <c r="P301" s="71">
        <f t="shared" si="147"/>
        <v>4.7134185766647511E-3</v>
      </c>
      <c r="Q301" s="71">
        <f t="shared" si="147"/>
        <v>4.9230795466914026E-3</v>
      </c>
      <c r="R301" s="71">
        <f t="shared" si="147"/>
        <v>5.1342881765964752E-3</v>
      </c>
      <c r="S301" s="71">
        <f t="shared" si="147"/>
        <v>5.3469733656174396E-3</v>
      </c>
    </row>
    <row r="302" spans="2:19" ht="18" customHeight="1">
      <c r="B302" s="56" t="s">
        <v>530</v>
      </c>
      <c r="C302" s="56" t="s">
        <v>311</v>
      </c>
      <c r="D302" s="57"/>
      <c r="E302" s="101">
        <f t="shared" ref="E302:S302" si="148">E212-E298</f>
        <v>163819.47328718999</v>
      </c>
      <c r="F302" s="101">
        <f t="shared" si="148"/>
        <v>198499.58893184</v>
      </c>
      <c r="G302" s="101">
        <f t="shared" si="148"/>
        <v>230601.27376320001</v>
      </c>
      <c r="H302" s="101">
        <f t="shared" si="148"/>
        <v>268162.74983609997</v>
      </c>
      <c r="I302" s="101">
        <f t="shared" si="148"/>
        <v>307828.16936767998</v>
      </c>
      <c r="J302" s="94">
        <f t="shared" si="148"/>
        <v>351876.588254</v>
      </c>
      <c r="K302" s="94">
        <f t="shared" si="148"/>
        <v>397414.24262268998</v>
      </c>
      <c r="L302" s="94">
        <f t="shared" si="148"/>
        <v>443715.91716924566</v>
      </c>
      <c r="M302" s="94">
        <f t="shared" si="148"/>
        <v>491124.01411710313</v>
      </c>
      <c r="N302" s="94">
        <f t="shared" si="148"/>
        <v>539347.94823404343</v>
      </c>
      <c r="O302" s="94">
        <f t="shared" si="148"/>
        <v>588736.6818745815</v>
      </c>
      <c r="P302" s="94">
        <f t="shared" si="148"/>
        <v>638743.60840077233</v>
      </c>
      <c r="Q302" s="94">
        <f t="shared" si="148"/>
        <v>688756.20216708235</v>
      </c>
      <c r="R302" s="94">
        <f t="shared" si="148"/>
        <v>738106.28182726284</v>
      </c>
      <c r="S302" s="94">
        <f t="shared" si="148"/>
        <v>786083.19014603482</v>
      </c>
    </row>
    <row r="303" spans="2:19" ht="18" customHeight="1">
      <c r="B303" s="56" t="s">
        <v>531</v>
      </c>
      <c r="C303" s="56" t="s">
        <v>168</v>
      </c>
      <c r="D303" s="57"/>
      <c r="F303" s="60">
        <v>1.9699999999999999E-2</v>
      </c>
      <c r="G303" s="60">
        <v>1.14E-2</v>
      </c>
      <c r="H303" s="60">
        <v>8.3000000000000001E-3</v>
      </c>
      <c r="I303" s="60">
        <v>8.3999999999999995E-3</v>
      </c>
    </row>
    <row r="304" spans="2:19" ht="18" customHeight="1">
      <c r="B304" s="56" t="s">
        <v>532</v>
      </c>
      <c r="C304" s="56" t="s">
        <v>168</v>
      </c>
      <c r="D304" s="57"/>
      <c r="F304" s="60">
        <v>5.7000000000000002E-3</v>
      </c>
      <c r="G304" s="60">
        <v>5.4999999999999997E-3</v>
      </c>
      <c r="H304" s="60">
        <v>5.0000000000000001E-3</v>
      </c>
      <c r="I304" s="60">
        <v>4.7000000000000002E-3</v>
      </c>
    </row>
    <row r="305" spans="2:19" ht="18" customHeight="1">
      <c r="B305" s="56"/>
      <c r="C305" s="56"/>
      <c r="D305" s="57"/>
      <c r="F305" s="60"/>
      <c r="G305" s="60"/>
      <c r="H305" s="60"/>
      <c r="I305" s="60"/>
    </row>
    <row r="306" spans="2:19" ht="22.5" customHeight="1">
      <c r="B306" s="35" t="s">
        <v>533</v>
      </c>
      <c r="C306" s="35"/>
      <c r="D306" s="35"/>
      <c r="E306" s="108" t="s">
        <v>223</v>
      </c>
      <c r="F306" s="108" t="s">
        <v>224</v>
      </c>
      <c r="G306" s="108" t="s">
        <v>225</v>
      </c>
      <c r="H306" s="108" t="s">
        <v>226</v>
      </c>
      <c r="I306" s="108" t="s">
        <v>93</v>
      </c>
      <c r="J306" s="108" t="s">
        <v>94</v>
      </c>
      <c r="K306" s="108" t="s">
        <v>227</v>
      </c>
      <c r="L306" s="108" t="s">
        <v>95</v>
      </c>
      <c r="M306" s="108" t="s">
        <v>228</v>
      </c>
      <c r="N306" s="108" t="s">
        <v>96</v>
      </c>
      <c r="O306" s="108" t="s">
        <v>229</v>
      </c>
      <c r="P306" s="108" t="s">
        <v>230</v>
      </c>
      <c r="Q306" s="108" t="s">
        <v>231</v>
      </c>
      <c r="R306" s="108" t="s">
        <v>232</v>
      </c>
      <c r="S306" s="108" t="s">
        <v>97</v>
      </c>
    </row>
    <row r="307" spans="2:19" ht="18" customHeight="1">
      <c r="B307" s="56" t="s">
        <v>534</v>
      </c>
      <c r="C307" s="56" t="s">
        <v>311</v>
      </c>
      <c r="D307" s="57"/>
      <c r="E307" s="101">
        <f t="shared" ref="E307:S307" si="149">E168-E173</f>
        <v>-1530.0659999999916</v>
      </c>
      <c r="F307" s="101">
        <f t="shared" si="149"/>
        <v>-1415</v>
      </c>
      <c r="G307" s="101">
        <f t="shared" si="149"/>
        <v>-682.87900000001537</v>
      </c>
      <c r="H307" s="101">
        <f t="shared" si="149"/>
        <v>-2127.4280000000144</v>
      </c>
      <c r="I307" s="101">
        <f t="shared" si="149"/>
        <v>1526.8740000000107</v>
      </c>
      <c r="J307" s="94">
        <f t="shared" si="149"/>
        <v>1745.4862273808594</v>
      </c>
      <c r="K307" s="94">
        <f t="shared" si="149"/>
        <v>2035.2310532272859</v>
      </c>
      <c r="L307" s="94">
        <f t="shared" si="149"/>
        <v>2327.5570878872149</v>
      </c>
      <c r="M307" s="94">
        <f t="shared" si="149"/>
        <v>2590.6434041244265</v>
      </c>
      <c r="N307" s="94">
        <f t="shared" si="149"/>
        <v>2848.8674295046549</v>
      </c>
      <c r="O307" s="94">
        <f t="shared" si="149"/>
        <v>3117.4831219187854</v>
      </c>
      <c r="P307" s="94">
        <f t="shared" si="149"/>
        <v>3395.4410790996881</v>
      </c>
      <c r="Q307" s="94">
        <f t="shared" si="149"/>
        <v>3675.7183708477423</v>
      </c>
      <c r="R307" s="94">
        <f t="shared" si="149"/>
        <v>3954.880994587551</v>
      </c>
      <c r="S307" s="94">
        <f t="shared" si="149"/>
        <v>4229.218396127133</v>
      </c>
    </row>
    <row r="308" spans="2:19" ht="22.5" customHeight="1">
      <c r="B308" s="35" t="s">
        <v>535</v>
      </c>
      <c r="C308" s="35" t="s">
        <v>311</v>
      </c>
      <c r="D308" s="54"/>
      <c r="E308" s="35"/>
      <c r="F308" s="88">
        <f t="shared" ref="F308:S308" si="150">F307-E307</f>
        <v>115.06599999999162</v>
      </c>
      <c r="G308" s="88">
        <f t="shared" si="150"/>
        <v>732.12099999998463</v>
      </c>
      <c r="H308" s="88">
        <f t="shared" si="150"/>
        <v>-1444.5489999999991</v>
      </c>
      <c r="I308" s="88">
        <f t="shared" si="150"/>
        <v>3654.3020000000251</v>
      </c>
      <c r="J308" s="88">
        <f t="shared" si="150"/>
        <v>218.61222738084871</v>
      </c>
      <c r="K308" s="88">
        <f t="shared" si="150"/>
        <v>289.74482584642647</v>
      </c>
      <c r="L308" s="88">
        <f t="shared" si="150"/>
        <v>292.32603465992906</v>
      </c>
      <c r="M308" s="88">
        <f t="shared" si="150"/>
        <v>263.08631623721158</v>
      </c>
      <c r="N308" s="88">
        <f t="shared" si="150"/>
        <v>258.22402538022834</v>
      </c>
      <c r="O308" s="88">
        <f t="shared" si="150"/>
        <v>268.61569241413054</v>
      </c>
      <c r="P308" s="88">
        <f t="shared" si="150"/>
        <v>277.95795718090267</v>
      </c>
      <c r="Q308" s="88">
        <f t="shared" si="150"/>
        <v>280.27729174805427</v>
      </c>
      <c r="R308" s="88">
        <f t="shared" si="150"/>
        <v>279.16262373980862</v>
      </c>
      <c r="S308" s="88">
        <f t="shared" si="150"/>
        <v>274.33740153958206</v>
      </c>
    </row>
    <row r="309" spans="2:19" ht="18" customHeight="1">
      <c r="B309" s="56"/>
      <c r="C309" s="56"/>
      <c r="D309" s="57"/>
      <c r="F309" s="101"/>
      <c r="G309" s="101"/>
      <c r="H309" s="101"/>
      <c r="I309" s="101"/>
      <c r="J309" s="94"/>
      <c r="K309" s="94"/>
      <c r="L309" s="94"/>
      <c r="M309" s="94"/>
      <c r="N309" s="94"/>
      <c r="O309" s="94"/>
      <c r="P309" s="94"/>
      <c r="Q309" s="94"/>
      <c r="R309" s="94"/>
      <c r="S309" s="94"/>
    </row>
    <row r="310" spans="2:19" ht="22.5" customHeight="1">
      <c r="B310" s="35" t="s">
        <v>536</v>
      </c>
      <c r="C310" s="35"/>
      <c r="D310" s="35"/>
      <c r="E310" s="108" t="s">
        <v>223</v>
      </c>
      <c r="F310" s="108" t="s">
        <v>224</v>
      </c>
      <c r="G310" s="108" t="s">
        <v>225</v>
      </c>
      <c r="H310" s="108" t="s">
        <v>226</v>
      </c>
      <c r="I310" s="108" t="s">
        <v>93</v>
      </c>
      <c r="J310" s="108" t="s">
        <v>94</v>
      </c>
      <c r="K310" s="108" t="s">
        <v>227</v>
      </c>
      <c r="L310" s="108" t="s">
        <v>95</v>
      </c>
      <c r="M310" s="108" t="s">
        <v>228</v>
      </c>
      <c r="N310" s="108" t="s">
        <v>96</v>
      </c>
      <c r="O310" s="108" t="s">
        <v>229</v>
      </c>
      <c r="P310" s="108" t="s">
        <v>230</v>
      </c>
      <c r="Q310" s="108" t="s">
        <v>231</v>
      </c>
      <c r="R310" s="108" t="s">
        <v>232</v>
      </c>
      <c r="S310" s="108" t="s">
        <v>97</v>
      </c>
    </row>
    <row r="311" spans="2:19" ht="18" customHeight="1">
      <c r="B311" s="56" t="s">
        <v>537</v>
      </c>
      <c r="C311" s="56" t="s">
        <v>311</v>
      </c>
      <c r="D311" s="57"/>
      <c r="E311" s="101">
        <f t="shared" ref="E311:S311" si="151">E153</f>
        <v>1079.6440000000002</v>
      </c>
      <c r="F311" s="101">
        <f t="shared" si="151"/>
        <v>1387.6740000000009</v>
      </c>
      <c r="G311" s="101">
        <f t="shared" si="151"/>
        <v>1887.614999999998</v>
      </c>
      <c r="H311" s="101">
        <f t="shared" si="151"/>
        <v>2272.2559999999985</v>
      </c>
      <c r="I311" s="101">
        <f t="shared" si="151"/>
        <v>2440.4939999999997</v>
      </c>
      <c r="J311" s="94">
        <f t="shared" si="151"/>
        <v>2744.2646895637067</v>
      </c>
      <c r="K311" s="94">
        <f t="shared" si="151"/>
        <v>3383.1333635247929</v>
      </c>
      <c r="L311" s="94">
        <f t="shared" si="151"/>
        <v>3933.3859950677906</v>
      </c>
      <c r="M311" s="94">
        <f t="shared" si="151"/>
        <v>4434.047019704818</v>
      </c>
      <c r="N311" s="94">
        <f t="shared" si="151"/>
        <v>4933.4401665013856</v>
      </c>
      <c r="O311" s="94">
        <f t="shared" si="151"/>
        <v>5398.1769650896231</v>
      </c>
      <c r="P311" s="94">
        <f t="shared" si="151"/>
        <v>5880.6152434014903</v>
      </c>
      <c r="Q311" s="94">
        <f t="shared" si="151"/>
        <v>6367.2752058349961</v>
      </c>
      <c r="R311" s="94">
        <f t="shared" si="151"/>
        <v>6852.2469433524811</v>
      </c>
      <c r="S311" s="94">
        <f t="shared" si="151"/>
        <v>7329.1398231595222</v>
      </c>
    </row>
    <row r="312" spans="2:19" ht="18" customHeight="1">
      <c r="B312" s="56" t="s">
        <v>538</v>
      </c>
      <c r="C312" s="56" t="s">
        <v>311</v>
      </c>
      <c r="D312" s="57"/>
      <c r="J312" s="94">
        <f t="shared" ref="J312:S312" si="152">J153</f>
        <v>2744.2646895637067</v>
      </c>
      <c r="K312" s="94">
        <f t="shared" si="152"/>
        <v>3383.1333635247929</v>
      </c>
      <c r="L312" s="94">
        <f t="shared" si="152"/>
        <v>3933.3859950677906</v>
      </c>
      <c r="M312" s="94">
        <f t="shared" si="152"/>
        <v>4434.047019704818</v>
      </c>
      <c r="N312" s="94">
        <f t="shared" si="152"/>
        <v>4933.4401665013856</v>
      </c>
      <c r="O312" s="94">
        <f t="shared" si="152"/>
        <v>5398.1769650896231</v>
      </c>
      <c r="P312" s="94">
        <f t="shared" si="152"/>
        <v>5880.6152434014903</v>
      </c>
      <c r="Q312" s="94">
        <f t="shared" si="152"/>
        <v>6367.2752058349961</v>
      </c>
      <c r="R312" s="94">
        <f t="shared" si="152"/>
        <v>6852.2469433524811</v>
      </c>
      <c r="S312" s="94">
        <f t="shared" si="152"/>
        <v>7329.1398231595222</v>
      </c>
    </row>
    <row r="313" spans="2:19" ht="18" customHeight="1">
      <c r="B313" s="56"/>
      <c r="C313" s="56"/>
      <c r="D313" s="57"/>
      <c r="J313" s="94"/>
      <c r="K313" s="94"/>
      <c r="L313" s="94"/>
      <c r="M313" s="94"/>
      <c r="N313" s="94"/>
      <c r="O313" s="94"/>
      <c r="P313" s="94"/>
      <c r="Q313" s="94"/>
      <c r="R313" s="94"/>
      <c r="S313" s="94"/>
    </row>
    <row r="314" spans="2:19" ht="22.5" customHeight="1">
      <c r="B314" s="35" t="s">
        <v>539</v>
      </c>
      <c r="C314" s="35"/>
      <c r="D314" s="35"/>
      <c r="E314" s="108" t="s">
        <v>223</v>
      </c>
      <c r="F314" s="108" t="s">
        <v>224</v>
      </c>
      <c r="G314" s="108" t="s">
        <v>225</v>
      </c>
      <c r="H314" s="108" t="s">
        <v>226</v>
      </c>
      <c r="I314" s="108" t="s">
        <v>93</v>
      </c>
      <c r="J314" s="108" t="s">
        <v>94</v>
      </c>
      <c r="K314" s="108" t="s">
        <v>227</v>
      </c>
      <c r="L314" s="108" t="s">
        <v>95</v>
      </c>
      <c r="M314" s="108" t="s">
        <v>228</v>
      </c>
      <c r="N314" s="108" t="s">
        <v>96</v>
      </c>
      <c r="O314" s="108" t="s">
        <v>229</v>
      </c>
      <c r="P314" s="108" t="s">
        <v>230</v>
      </c>
      <c r="Q314" s="108" t="s">
        <v>231</v>
      </c>
      <c r="R314" s="108" t="s">
        <v>232</v>
      </c>
      <c r="S314" s="108" t="s">
        <v>97</v>
      </c>
    </row>
    <row r="315" spans="2:19" ht="22.5" customHeight="1">
      <c r="B315" s="35" t="s">
        <v>540</v>
      </c>
      <c r="C315" s="35" t="s">
        <v>168</v>
      </c>
      <c r="D315" s="54" t="s">
        <v>541</v>
      </c>
      <c r="E315" s="71">
        <v>0.22090000000000001</v>
      </c>
      <c r="F315" s="71">
        <v>0.2029</v>
      </c>
      <c r="G315" s="71">
        <v>0.2104</v>
      </c>
      <c r="H315" s="71">
        <v>0.214</v>
      </c>
      <c r="I315" s="71">
        <v>0.22</v>
      </c>
      <c r="J315" s="35"/>
      <c r="K315" s="35"/>
      <c r="L315" s="35"/>
      <c r="M315" s="35"/>
      <c r="N315" s="35"/>
      <c r="O315" s="35"/>
      <c r="P315" s="35"/>
      <c r="Q315" s="35"/>
      <c r="R315" s="35"/>
      <c r="S315" s="35"/>
    </row>
    <row r="316" spans="2:19" ht="18" customHeight="1">
      <c r="B316" s="56" t="s">
        <v>542</v>
      </c>
      <c r="C316" s="56" t="s">
        <v>311</v>
      </c>
      <c r="D316" s="57" t="s">
        <v>543</v>
      </c>
      <c r="E316" s="62">
        <v>25122.769</v>
      </c>
      <c r="F316" s="62">
        <v>33109.949000000001</v>
      </c>
      <c r="G316" s="62">
        <v>38115.228000000003</v>
      </c>
      <c r="H316" s="62">
        <v>43951.330999999998</v>
      </c>
      <c r="I316" s="62">
        <v>50573.14</v>
      </c>
      <c r="J316" s="94">
        <f t="shared" ref="J316:S316" si="153">$E$132*(I175+J154+J111-J339)+J262</f>
        <v>57497.469389564503</v>
      </c>
      <c r="K316" s="94">
        <f t="shared" si="153"/>
        <v>65800.049905734297</v>
      </c>
      <c r="L316" s="94">
        <f t="shared" si="153"/>
        <v>81245.549766519674</v>
      </c>
      <c r="M316" s="94">
        <f t="shared" si="153"/>
        <v>91318.45142531718</v>
      </c>
      <c r="N316" s="94">
        <f t="shared" si="153"/>
        <v>102081.9712082749</v>
      </c>
      <c r="O316" s="94">
        <f t="shared" si="153"/>
        <v>113786.21335057645</v>
      </c>
      <c r="P316" s="94">
        <f t="shared" si="153"/>
        <v>124902.57519202505</v>
      </c>
      <c r="Q316" s="94">
        <f t="shared" si="153"/>
        <v>135139.57746918569</v>
      </c>
      <c r="R316" s="94">
        <f t="shared" si="153"/>
        <v>145147.39656609084</v>
      </c>
      <c r="S316" s="94">
        <f t="shared" si="153"/>
        <v>154759.55066820636</v>
      </c>
    </row>
    <row r="317" spans="2:19" ht="22.5" customHeight="1">
      <c r="B317" s="35" t="s">
        <v>544</v>
      </c>
      <c r="C317" s="35" t="s">
        <v>311</v>
      </c>
      <c r="D317" s="54"/>
      <c r="E317" s="88">
        <f t="shared" ref="E317:S317" si="154">E302+E167+E168</f>
        <v>171029.47328718999</v>
      </c>
      <c r="F317" s="88">
        <f t="shared" si="154"/>
        <v>208197.58893184</v>
      </c>
      <c r="G317" s="88">
        <f t="shared" si="154"/>
        <v>242001.27376320001</v>
      </c>
      <c r="H317" s="88">
        <f t="shared" si="154"/>
        <v>284273.74983609997</v>
      </c>
      <c r="I317" s="88">
        <f t="shared" si="154"/>
        <v>330978.16936767998</v>
      </c>
      <c r="J317" s="88">
        <f t="shared" si="154"/>
        <v>376220.19872953329</v>
      </c>
      <c r="K317" s="88">
        <f t="shared" si="154"/>
        <v>423765.3245362537</v>
      </c>
      <c r="L317" s="88">
        <f t="shared" si="154"/>
        <v>472397.87200694199</v>
      </c>
      <c r="M317" s="88">
        <f t="shared" si="154"/>
        <v>522170.15457277733</v>
      </c>
      <c r="N317" s="88">
        <f t="shared" si="154"/>
        <v>572893.66079123539</v>
      </c>
      <c r="O317" s="88">
        <f t="shared" si="154"/>
        <v>624992.30763481196</v>
      </c>
      <c r="P317" s="88">
        <f t="shared" si="154"/>
        <v>677897.72164081119</v>
      </c>
      <c r="Q317" s="88">
        <f t="shared" si="154"/>
        <v>730933.88579828385</v>
      </c>
      <c r="R317" s="88">
        <f t="shared" si="154"/>
        <v>783391.05677355058</v>
      </c>
      <c r="S317" s="88">
        <f t="shared" si="154"/>
        <v>834515.00627577503</v>
      </c>
    </row>
    <row r="318" spans="2:19" ht="18" customHeight="1">
      <c r="B318" s="56" t="s">
        <v>545</v>
      </c>
      <c r="C318" s="56" t="s">
        <v>168</v>
      </c>
      <c r="D318" s="57"/>
      <c r="E318" s="70">
        <f>E319/E317</f>
        <v>0.66507284863701666</v>
      </c>
      <c r="F318" s="70">
        <f>F319/F317</f>
        <v>0.78366807145598039</v>
      </c>
      <c r="G318" s="70">
        <f>G319/G317</f>
        <v>0.74842352762666309</v>
      </c>
      <c r="H318" s="70">
        <f>H319/H317</f>
        <v>0.72234910581224276</v>
      </c>
      <c r="I318" s="70">
        <f>I319/I317</f>
        <v>0.69465073312612002</v>
      </c>
      <c r="J318" s="103">
        <f t="shared" ref="J318:S318" si="155">I318</f>
        <v>0.69465073312612002</v>
      </c>
      <c r="K318" s="103">
        <f t="shared" si="155"/>
        <v>0.69465073312612002</v>
      </c>
      <c r="L318" s="103">
        <f t="shared" si="155"/>
        <v>0.69465073312612002</v>
      </c>
      <c r="M318" s="103">
        <f t="shared" si="155"/>
        <v>0.69465073312612002</v>
      </c>
      <c r="N318" s="103">
        <f t="shared" si="155"/>
        <v>0.69465073312612002</v>
      </c>
      <c r="O318" s="103">
        <f t="shared" si="155"/>
        <v>0.69465073312612002</v>
      </c>
      <c r="P318" s="103">
        <f t="shared" si="155"/>
        <v>0.69465073312612002</v>
      </c>
      <c r="Q318" s="103">
        <f t="shared" si="155"/>
        <v>0.69465073312612002</v>
      </c>
      <c r="R318" s="103">
        <f t="shared" si="155"/>
        <v>0.69465073312612002</v>
      </c>
      <c r="S318" s="103">
        <f t="shared" si="155"/>
        <v>0.69465073312612002</v>
      </c>
    </row>
    <row r="319" spans="2:19" ht="22.5" customHeight="1">
      <c r="B319" s="35" t="s">
        <v>546</v>
      </c>
      <c r="C319" s="35" t="s">
        <v>311</v>
      </c>
      <c r="D319" s="54" t="s">
        <v>547</v>
      </c>
      <c r="E319" s="88">
        <v>113747.05899999999</v>
      </c>
      <c r="F319" s="88">
        <v>163157.80300000001</v>
      </c>
      <c r="G319" s="88">
        <v>181119.44699999999</v>
      </c>
      <c r="H319" s="88">
        <v>205344.889</v>
      </c>
      <c r="I319" s="88">
        <v>229914.228</v>
      </c>
      <c r="J319" s="88">
        <f t="shared" ref="J319:S319" si="156">J318*J317</f>
        <v>261341.63686432489</v>
      </c>
      <c r="K319" s="88">
        <f t="shared" si="156"/>
        <v>294368.89336253679</v>
      </c>
      <c r="L319" s="88">
        <f t="shared" si="156"/>
        <v>328151.52811684128</v>
      </c>
      <c r="M319" s="88">
        <f t="shared" si="156"/>
        <v>362725.88069055916</v>
      </c>
      <c r="N319" s="88">
        <f t="shared" si="156"/>
        <v>397961.00147193839</v>
      </c>
      <c r="O319" s="88">
        <f t="shared" si="156"/>
        <v>434151.36469670769</v>
      </c>
      <c r="P319" s="88">
        <f t="shared" si="156"/>
        <v>470902.14932231593</v>
      </c>
      <c r="Q319" s="88">
        <f t="shared" si="156"/>
        <v>507743.75963650155</v>
      </c>
      <c r="R319" s="88">
        <f t="shared" si="156"/>
        <v>544183.17191219283</v>
      </c>
      <c r="S319" s="88">
        <f t="shared" si="156"/>
        <v>579696.46091421577</v>
      </c>
    </row>
    <row r="320" spans="2:19" ht="18" customHeight="1">
      <c r="B320" s="56" t="s">
        <v>548</v>
      </c>
      <c r="C320" s="56" t="s">
        <v>311</v>
      </c>
      <c r="D320" s="57"/>
      <c r="J320" s="94">
        <f t="shared" ref="J320:S320" si="157">MAX(0,$E$35*J319-J316)</f>
        <v>0</v>
      </c>
      <c r="K320" s="94">
        <f t="shared" si="157"/>
        <v>0</v>
      </c>
      <c r="L320" s="94">
        <f t="shared" si="157"/>
        <v>0</v>
      </c>
      <c r="M320" s="94">
        <f t="shared" si="157"/>
        <v>0</v>
      </c>
      <c r="N320" s="94">
        <f t="shared" si="157"/>
        <v>0</v>
      </c>
      <c r="O320" s="94">
        <f t="shared" si="157"/>
        <v>0</v>
      </c>
      <c r="P320" s="94">
        <f t="shared" si="157"/>
        <v>0</v>
      </c>
      <c r="Q320" s="94">
        <f t="shared" si="157"/>
        <v>0</v>
      </c>
      <c r="R320" s="94">
        <f t="shared" si="157"/>
        <v>0</v>
      </c>
      <c r="S320" s="94">
        <f t="shared" si="157"/>
        <v>0</v>
      </c>
    </row>
    <row r="321" spans="2:19" ht="18" customHeight="1">
      <c r="B321" s="56" t="s">
        <v>549</v>
      </c>
      <c r="C321" s="56" t="s">
        <v>311</v>
      </c>
      <c r="D321" s="57"/>
      <c r="J321" s="94">
        <f t="shared" ref="J321:S321" si="158">$E$133*J134*$E$135/1000</f>
        <v>0</v>
      </c>
      <c r="K321" s="94">
        <f t="shared" si="158"/>
        <v>6392</v>
      </c>
      <c r="L321" s="94">
        <f t="shared" si="158"/>
        <v>0</v>
      </c>
      <c r="M321" s="94">
        <f t="shared" si="158"/>
        <v>0</v>
      </c>
      <c r="N321" s="94">
        <f t="shared" si="158"/>
        <v>0</v>
      </c>
      <c r="O321" s="94">
        <f t="shared" si="158"/>
        <v>0</v>
      </c>
      <c r="P321" s="94">
        <f t="shared" si="158"/>
        <v>0</v>
      </c>
      <c r="Q321" s="94">
        <f t="shared" si="158"/>
        <v>0</v>
      </c>
      <c r="R321" s="94">
        <f t="shared" si="158"/>
        <v>0</v>
      </c>
      <c r="S321" s="94">
        <f t="shared" si="158"/>
        <v>0</v>
      </c>
    </row>
    <row r="322" spans="2:19" ht="18" customHeight="1">
      <c r="B322" s="56" t="s">
        <v>550</v>
      </c>
      <c r="C322" s="56" t="s">
        <v>188</v>
      </c>
      <c r="D322" s="57"/>
      <c r="J322" s="94">
        <f t="shared" ref="J322:S322" si="159">$E$133*J134</f>
        <v>0</v>
      </c>
      <c r="K322" s="94">
        <f t="shared" si="159"/>
        <v>6800</v>
      </c>
      <c r="L322" s="94">
        <f t="shared" si="159"/>
        <v>0</v>
      </c>
      <c r="M322" s="94">
        <f t="shared" si="159"/>
        <v>0</v>
      </c>
      <c r="N322" s="94">
        <f t="shared" si="159"/>
        <v>0</v>
      </c>
      <c r="O322" s="94">
        <f t="shared" si="159"/>
        <v>0</v>
      </c>
      <c r="P322" s="94">
        <f t="shared" si="159"/>
        <v>0</v>
      </c>
      <c r="Q322" s="94">
        <f t="shared" si="159"/>
        <v>0</v>
      </c>
      <c r="R322" s="94">
        <f t="shared" si="159"/>
        <v>0</v>
      </c>
      <c r="S322" s="94">
        <f t="shared" si="159"/>
        <v>0</v>
      </c>
    </row>
    <row r="323" spans="2:19" ht="18" customHeight="1">
      <c r="B323" s="56" t="s">
        <v>551</v>
      </c>
      <c r="C323" s="56" t="s">
        <v>188</v>
      </c>
      <c r="D323" s="57"/>
      <c r="E323" s="62">
        <v>41129.307000000001</v>
      </c>
      <c r="F323" s="101">
        <f t="shared" ref="F323:I324" si="160">$E$21</f>
        <v>46129.26</v>
      </c>
      <c r="G323" s="101">
        <f t="shared" si="160"/>
        <v>46129.26</v>
      </c>
      <c r="H323" s="101">
        <f t="shared" si="160"/>
        <v>46129.26</v>
      </c>
      <c r="I323" s="101">
        <f t="shared" si="160"/>
        <v>46129.26</v>
      </c>
      <c r="J323" s="94">
        <f t="shared" ref="J323:S323" si="161">I323+J322</f>
        <v>46129.26</v>
      </c>
      <c r="K323" s="94">
        <f t="shared" si="161"/>
        <v>52929.26</v>
      </c>
      <c r="L323" s="94">
        <f t="shared" si="161"/>
        <v>52929.26</v>
      </c>
      <c r="M323" s="94">
        <f t="shared" si="161"/>
        <v>52929.26</v>
      </c>
      <c r="N323" s="94">
        <f t="shared" si="161"/>
        <v>52929.26</v>
      </c>
      <c r="O323" s="94">
        <f t="shared" si="161"/>
        <v>52929.26</v>
      </c>
      <c r="P323" s="94">
        <f t="shared" si="161"/>
        <v>52929.26</v>
      </c>
      <c r="Q323" s="94">
        <f t="shared" si="161"/>
        <v>52929.26</v>
      </c>
      <c r="R323" s="94">
        <f t="shared" si="161"/>
        <v>52929.26</v>
      </c>
      <c r="S323" s="94">
        <f t="shared" si="161"/>
        <v>52929.26</v>
      </c>
    </row>
    <row r="324" spans="2:19" ht="18" customHeight="1">
      <c r="B324" s="56" t="s">
        <v>552</v>
      </c>
      <c r="C324" s="56" t="s">
        <v>188</v>
      </c>
      <c r="D324" s="57"/>
      <c r="E324" s="62">
        <v>41129.307000000001</v>
      </c>
      <c r="F324" s="101">
        <f t="shared" si="160"/>
        <v>46129.26</v>
      </c>
      <c r="G324" s="101">
        <f t="shared" si="160"/>
        <v>46129.26</v>
      </c>
      <c r="H324" s="101">
        <f t="shared" si="160"/>
        <v>46129.26</v>
      </c>
      <c r="I324" s="101">
        <f t="shared" si="160"/>
        <v>46129.26</v>
      </c>
      <c r="J324" s="94">
        <f t="shared" ref="J324:S324" si="162">AVERAGE(J323,I323)</f>
        <v>46129.26</v>
      </c>
      <c r="K324" s="94">
        <f t="shared" si="162"/>
        <v>49529.26</v>
      </c>
      <c r="L324" s="94">
        <f t="shared" si="162"/>
        <v>52929.26</v>
      </c>
      <c r="M324" s="94">
        <f t="shared" si="162"/>
        <v>52929.26</v>
      </c>
      <c r="N324" s="94">
        <f t="shared" si="162"/>
        <v>52929.26</v>
      </c>
      <c r="O324" s="94">
        <f t="shared" si="162"/>
        <v>52929.26</v>
      </c>
      <c r="P324" s="94">
        <f t="shared" si="162"/>
        <v>52929.26</v>
      </c>
      <c r="Q324" s="94">
        <f t="shared" si="162"/>
        <v>52929.26</v>
      </c>
      <c r="R324" s="94">
        <f t="shared" si="162"/>
        <v>52929.26</v>
      </c>
      <c r="S324" s="94">
        <f t="shared" si="162"/>
        <v>52929.26</v>
      </c>
    </row>
    <row r="325" spans="2:19" ht="18" customHeight="1">
      <c r="B325" s="56" t="s">
        <v>553</v>
      </c>
      <c r="C325" s="56" t="s">
        <v>311</v>
      </c>
      <c r="D325" s="57"/>
      <c r="E325" s="62">
        <v>0</v>
      </c>
      <c r="F325" s="62">
        <v>0</v>
      </c>
      <c r="G325" s="62">
        <v>0</v>
      </c>
      <c r="H325" s="62">
        <v>0</v>
      </c>
      <c r="I325" s="62">
        <v>0</v>
      </c>
      <c r="J325" s="94">
        <f t="shared" ref="J325:S325" si="163">I325+J321</f>
        <v>0</v>
      </c>
      <c r="K325" s="94">
        <f t="shared" si="163"/>
        <v>6392</v>
      </c>
      <c r="L325" s="94">
        <f t="shared" si="163"/>
        <v>6392</v>
      </c>
      <c r="M325" s="94">
        <f t="shared" si="163"/>
        <v>6392</v>
      </c>
      <c r="N325" s="94">
        <f t="shared" si="163"/>
        <v>6392</v>
      </c>
      <c r="O325" s="94">
        <f t="shared" si="163"/>
        <v>6392</v>
      </c>
      <c r="P325" s="94">
        <f t="shared" si="163"/>
        <v>6392</v>
      </c>
      <c r="Q325" s="94">
        <f t="shared" si="163"/>
        <v>6392</v>
      </c>
      <c r="R325" s="94">
        <f t="shared" si="163"/>
        <v>6392</v>
      </c>
      <c r="S325" s="94">
        <f t="shared" si="163"/>
        <v>6392</v>
      </c>
    </row>
    <row r="326" spans="2:19" ht="18" customHeight="1">
      <c r="B326" s="56" t="s">
        <v>554</v>
      </c>
      <c r="C326" s="56" t="s">
        <v>311</v>
      </c>
      <c r="D326" s="57"/>
      <c r="J326" s="94">
        <f t="shared" ref="J326:S326" si="164">$E$136*AVERAGE(J325,I325)</f>
        <v>0</v>
      </c>
      <c r="K326" s="94">
        <f t="shared" si="164"/>
        <v>287.64</v>
      </c>
      <c r="L326" s="94">
        <f t="shared" si="164"/>
        <v>575.28</v>
      </c>
      <c r="M326" s="94">
        <f t="shared" si="164"/>
        <v>575.28</v>
      </c>
      <c r="N326" s="94">
        <f t="shared" si="164"/>
        <v>575.28</v>
      </c>
      <c r="O326" s="94">
        <f t="shared" si="164"/>
        <v>575.28</v>
      </c>
      <c r="P326" s="94">
        <f t="shared" si="164"/>
        <v>575.28</v>
      </c>
      <c r="Q326" s="94">
        <f t="shared" si="164"/>
        <v>575.28</v>
      </c>
      <c r="R326" s="94">
        <f t="shared" si="164"/>
        <v>575.28</v>
      </c>
      <c r="S326" s="94">
        <f t="shared" si="164"/>
        <v>575.28</v>
      </c>
    </row>
    <row r="327" spans="2:19" ht="18" customHeight="1">
      <c r="B327" s="73" t="s">
        <v>555</v>
      </c>
      <c r="C327" s="56" t="s">
        <v>311</v>
      </c>
      <c r="D327" s="57"/>
      <c r="E327" s="99">
        <f>E316</f>
        <v>25122.769</v>
      </c>
      <c r="F327" s="99">
        <f>F316</f>
        <v>33109.949000000001</v>
      </c>
      <c r="G327" s="99">
        <f>G316</f>
        <v>38115.228000000003</v>
      </c>
      <c r="H327" s="99">
        <f>H316</f>
        <v>43951.330999999998</v>
      </c>
      <c r="I327" s="99">
        <f>I316</f>
        <v>50573.14</v>
      </c>
      <c r="J327" s="100">
        <f t="shared" ref="J327:S327" si="165">J316+J321</f>
        <v>57497.469389564503</v>
      </c>
      <c r="K327" s="100">
        <f t="shared" si="165"/>
        <v>72192.049905734297</v>
      </c>
      <c r="L327" s="100">
        <f t="shared" si="165"/>
        <v>81245.549766519674</v>
      </c>
      <c r="M327" s="100">
        <f t="shared" si="165"/>
        <v>91318.45142531718</v>
      </c>
      <c r="N327" s="100">
        <f t="shared" si="165"/>
        <v>102081.9712082749</v>
      </c>
      <c r="O327" s="100">
        <f t="shared" si="165"/>
        <v>113786.21335057645</v>
      </c>
      <c r="P327" s="100">
        <f t="shared" si="165"/>
        <v>124902.57519202505</v>
      </c>
      <c r="Q327" s="100">
        <f t="shared" si="165"/>
        <v>135139.57746918569</v>
      </c>
      <c r="R327" s="100">
        <f t="shared" si="165"/>
        <v>145147.39656609084</v>
      </c>
      <c r="S327" s="100">
        <f t="shared" si="165"/>
        <v>154759.55066820636</v>
      </c>
    </row>
    <row r="328" spans="2:19" ht="22.5" customHeight="1">
      <c r="B328" s="35" t="s">
        <v>556</v>
      </c>
      <c r="C328" s="35" t="s">
        <v>168</v>
      </c>
      <c r="D328" s="54"/>
      <c r="E328" s="59">
        <f t="shared" ref="E328:S328" si="166">E327/E319</f>
        <v>0.22086521815038754</v>
      </c>
      <c r="F328" s="59">
        <f t="shared" si="166"/>
        <v>0.20293205958405799</v>
      </c>
      <c r="G328" s="59">
        <f t="shared" si="166"/>
        <v>0.21044249323486508</v>
      </c>
      <c r="H328" s="59">
        <f t="shared" si="166"/>
        <v>0.21403664446695822</v>
      </c>
      <c r="I328" s="59">
        <f t="shared" si="166"/>
        <v>0.21996524721384358</v>
      </c>
      <c r="J328" s="59">
        <f t="shared" si="166"/>
        <v>0.22000883624760575</v>
      </c>
      <c r="K328" s="59">
        <f t="shared" si="166"/>
        <v>0.24524347352430514</v>
      </c>
      <c r="L328" s="59">
        <f t="shared" si="166"/>
        <v>0.24758546831325884</v>
      </c>
      <c r="M328" s="59">
        <f t="shared" si="166"/>
        <v>0.25175609540588806</v>
      </c>
      <c r="N328" s="59">
        <f t="shared" si="166"/>
        <v>0.25651249954318212</v>
      </c>
      <c r="O328" s="59">
        <f t="shared" si="166"/>
        <v>0.26208880727592776</v>
      </c>
      <c r="P328" s="59">
        <f t="shared" si="166"/>
        <v>0.26524103865691562</v>
      </c>
      <c r="Q328" s="59">
        <f t="shared" si="166"/>
        <v>0.26615704261128365</v>
      </c>
      <c r="R328" s="59">
        <f t="shared" si="166"/>
        <v>0.26672525733579877</v>
      </c>
      <c r="S328" s="59">
        <f t="shared" si="166"/>
        <v>0.26696652662695464</v>
      </c>
    </row>
    <row r="329" spans="2:19" ht="18" customHeight="1">
      <c r="B329" s="56" t="s">
        <v>557</v>
      </c>
      <c r="C329" s="56" t="s">
        <v>311</v>
      </c>
      <c r="D329" s="57"/>
      <c r="E329" s="101">
        <f t="shared" ref="E329:S329" si="167">E327-$E$35*E319</f>
        <v>2373.3571999999986</v>
      </c>
      <c r="F329" s="101">
        <f t="shared" si="167"/>
        <v>478.38839999999618</v>
      </c>
      <c r="G329" s="101">
        <f t="shared" si="167"/>
        <v>1891.3386000000028</v>
      </c>
      <c r="H329" s="101">
        <f t="shared" si="167"/>
        <v>2882.3531999999977</v>
      </c>
      <c r="I329" s="101">
        <f t="shared" si="167"/>
        <v>4590.2943999999989</v>
      </c>
      <c r="J329" s="94">
        <f t="shared" si="167"/>
        <v>5229.1420166995231</v>
      </c>
      <c r="K329" s="94">
        <f t="shared" si="167"/>
        <v>13318.271233226937</v>
      </c>
      <c r="L329" s="94">
        <f t="shared" si="167"/>
        <v>15615.244143151416</v>
      </c>
      <c r="M329" s="94">
        <f t="shared" si="167"/>
        <v>18773.275287205339</v>
      </c>
      <c r="N329" s="94">
        <f t="shared" si="167"/>
        <v>22489.770913887216</v>
      </c>
      <c r="O329" s="94">
        <f t="shared" si="167"/>
        <v>26955.9404112349</v>
      </c>
      <c r="P329" s="94">
        <f t="shared" si="167"/>
        <v>30722.145327561855</v>
      </c>
      <c r="Q329" s="94">
        <f t="shared" si="167"/>
        <v>33590.825541885381</v>
      </c>
      <c r="R329" s="94">
        <f t="shared" si="167"/>
        <v>36310.762183652274</v>
      </c>
      <c r="S329" s="94">
        <f t="shared" si="167"/>
        <v>38820.2584853632</v>
      </c>
    </row>
    <row r="330" spans="2:19" ht="18" customHeight="1">
      <c r="B330" s="56"/>
      <c r="C330" s="56"/>
      <c r="D330" s="57"/>
      <c r="E330" s="101"/>
      <c r="F330" s="101"/>
      <c r="G330" s="101"/>
      <c r="H330" s="101"/>
      <c r="I330" s="101"/>
      <c r="J330" s="94"/>
      <c r="K330" s="94"/>
      <c r="L330" s="94"/>
      <c r="M330" s="94"/>
      <c r="N330" s="94"/>
      <c r="O330" s="94"/>
      <c r="P330" s="94"/>
      <c r="Q330" s="94"/>
      <c r="R330" s="94"/>
      <c r="S330" s="94"/>
    </row>
    <row r="331" spans="2:19" ht="22.5" customHeight="1">
      <c r="B331" s="35" t="s">
        <v>558</v>
      </c>
      <c r="C331" s="35"/>
      <c r="D331" s="35"/>
      <c r="E331" s="108" t="s">
        <v>223</v>
      </c>
      <c r="F331" s="108" t="s">
        <v>224</v>
      </c>
      <c r="G331" s="108" t="s">
        <v>225</v>
      </c>
      <c r="H331" s="108" t="s">
        <v>226</v>
      </c>
      <c r="I331" s="108" t="s">
        <v>93</v>
      </c>
      <c r="J331" s="108" t="s">
        <v>94</v>
      </c>
      <c r="K331" s="108" t="s">
        <v>227</v>
      </c>
      <c r="L331" s="108" t="s">
        <v>95</v>
      </c>
      <c r="M331" s="108" t="s">
        <v>228</v>
      </c>
      <c r="N331" s="108" t="s">
        <v>96</v>
      </c>
      <c r="O331" s="108" t="s">
        <v>229</v>
      </c>
      <c r="P331" s="108" t="s">
        <v>230</v>
      </c>
      <c r="Q331" s="108" t="s">
        <v>231</v>
      </c>
      <c r="R331" s="108" t="s">
        <v>232</v>
      </c>
      <c r="S331" s="108" t="s">
        <v>97</v>
      </c>
    </row>
    <row r="332" spans="2:19" ht="18" customHeight="1">
      <c r="B332" s="56" t="s">
        <v>559</v>
      </c>
      <c r="C332" s="56" t="s">
        <v>311</v>
      </c>
      <c r="D332" s="57"/>
      <c r="F332" s="101">
        <f t="shared" ref="F332:S332" si="168">E175</f>
        <v>25013.934000000001</v>
      </c>
      <c r="G332" s="101">
        <f t="shared" si="168"/>
        <v>33506</v>
      </c>
      <c r="H332" s="101">
        <f t="shared" si="168"/>
        <v>38739.120999999999</v>
      </c>
      <c r="I332" s="101">
        <f t="shared" si="168"/>
        <v>45041.572</v>
      </c>
      <c r="J332" s="94">
        <f t="shared" si="168"/>
        <v>51952.874000000003</v>
      </c>
      <c r="K332" s="94">
        <f t="shared" si="168"/>
        <v>58860.656224132057</v>
      </c>
      <c r="L332" s="94">
        <f t="shared" si="168"/>
        <v>73781.747347036915</v>
      </c>
      <c r="M332" s="94">
        <f t="shared" si="168"/>
        <v>83256.630600368619</v>
      </c>
      <c r="N332" s="94">
        <f t="shared" si="168"/>
        <v>93604.340683110131</v>
      </c>
      <c r="O332" s="94">
        <f t="shared" si="168"/>
        <v>104661.51030082637</v>
      </c>
      <c r="P332" s="94">
        <f t="shared" si="168"/>
        <v>116685.06702054919</v>
      </c>
      <c r="Q332" s="94">
        <f t="shared" si="168"/>
        <v>128104.70491701334</v>
      </c>
      <c r="R332" s="94">
        <f t="shared" si="168"/>
        <v>138620.99260338282</v>
      </c>
      <c r="S332" s="94">
        <f t="shared" si="168"/>
        <v>148901.84454487404</v>
      </c>
    </row>
    <row r="333" spans="2:19" ht="18" customHeight="1">
      <c r="B333" s="56" t="s">
        <v>560</v>
      </c>
      <c r="C333" s="56" t="s">
        <v>311</v>
      </c>
      <c r="D333" s="57"/>
      <c r="E333" s="101">
        <f t="shared" ref="E333:S333" si="169">E154</f>
        <v>3028.2049999999999</v>
      </c>
      <c r="F333" s="101">
        <f t="shared" si="169"/>
        <v>4260</v>
      </c>
      <c r="G333" s="101">
        <f t="shared" si="169"/>
        <v>5703.7430000000004</v>
      </c>
      <c r="H333" s="101">
        <f t="shared" si="169"/>
        <v>7005.8879999999999</v>
      </c>
      <c r="I333" s="101">
        <f t="shared" si="169"/>
        <v>7567.5230000000001</v>
      </c>
      <c r="J333" s="94">
        <f t="shared" si="169"/>
        <v>8421.2868241320521</v>
      </c>
      <c r="K333" s="94">
        <f t="shared" si="169"/>
        <v>10381.774224213914</v>
      </c>
      <c r="L333" s="94">
        <f t="shared" si="169"/>
        <v>12070.326809385186</v>
      </c>
      <c r="M333" s="94">
        <f t="shared" si="169"/>
        <v>13606.69832127552</v>
      </c>
      <c r="N333" s="94">
        <f t="shared" si="169"/>
        <v>15139.179114098893</v>
      </c>
      <c r="O333" s="94">
        <f t="shared" si="169"/>
        <v>16565.310453952501</v>
      </c>
      <c r="P333" s="94">
        <f t="shared" si="169"/>
        <v>18045.762078045143</v>
      </c>
      <c r="Q333" s="94">
        <f t="shared" si="169"/>
        <v>19539.168725392068</v>
      </c>
      <c r="R333" s="94">
        <f t="shared" si="169"/>
        <v>21027.394740456861</v>
      </c>
      <c r="S333" s="94">
        <f t="shared" si="169"/>
        <v>22490.829277407418</v>
      </c>
    </row>
    <row r="334" spans="2:19" ht="18" customHeight="1">
      <c r="B334" s="56" t="s">
        <v>561</v>
      </c>
      <c r="C334" s="56" t="s">
        <v>311</v>
      </c>
      <c r="D334" s="57"/>
      <c r="H334" s="101">
        <f t="shared" ref="H334:S334" si="170">H111</f>
        <v>152.124</v>
      </c>
      <c r="I334" s="101">
        <f t="shared" si="170"/>
        <v>394.66199999999998</v>
      </c>
      <c r="J334" s="94">
        <f t="shared" si="170"/>
        <v>0</v>
      </c>
      <c r="K334" s="94">
        <f t="shared" si="170"/>
        <v>0</v>
      </c>
      <c r="L334" s="94">
        <f t="shared" si="170"/>
        <v>0</v>
      </c>
      <c r="M334" s="94">
        <f t="shared" si="170"/>
        <v>0</v>
      </c>
      <c r="N334" s="94">
        <f t="shared" si="170"/>
        <v>0</v>
      </c>
      <c r="O334" s="94">
        <f t="shared" si="170"/>
        <v>0</v>
      </c>
      <c r="P334" s="94">
        <f t="shared" si="170"/>
        <v>0</v>
      </c>
      <c r="Q334" s="94">
        <f t="shared" si="170"/>
        <v>0</v>
      </c>
      <c r="R334" s="94">
        <f t="shared" si="170"/>
        <v>0</v>
      </c>
      <c r="S334" s="94">
        <f t="shared" si="170"/>
        <v>0</v>
      </c>
    </row>
    <row r="335" spans="2:19" ht="18" customHeight="1">
      <c r="B335" s="56" t="s">
        <v>426</v>
      </c>
      <c r="C335" s="56" t="s">
        <v>311</v>
      </c>
      <c r="D335" s="57"/>
      <c r="H335" s="101">
        <f t="shared" ref="H335:S335" si="171">-H339</f>
        <v>-855.56145000000004</v>
      </c>
      <c r="I335" s="101">
        <f t="shared" si="171"/>
        <v>-1050.8832</v>
      </c>
      <c r="J335" s="94">
        <f t="shared" si="171"/>
        <v>-1513.5046000000002</v>
      </c>
      <c r="K335" s="94">
        <f t="shared" si="171"/>
        <v>-1852.6831013090514</v>
      </c>
      <c r="L335" s="94">
        <f t="shared" si="171"/>
        <v>-2595.4435560534785</v>
      </c>
      <c r="M335" s="94">
        <f t="shared" si="171"/>
        <v>-3258.9882385340002</v>
      </c>
      <c r="N335" s="94">
        <f t="shared" si="171"/>
        <v>-4082.0094963826559</v>
      </c>
      <c r="O335" s="94">
        <f t="shared" si="171"/>
        <v>-4541.7537342296682</v>
      </c>
      <c r="P335" s="94">
        <f t="shared" si="171"/>
        <v>-6626.1241815810008</v>
      </c>
      <c r="Q335" s="94">
        <f t="shared" si="171"/>
        <v>-9022.8810390225717</v>
      </c>
      <c r="R335" s="94">
        <f t="shared" si="171"/>
        <v>-10746.542798965638</v>
      </c>
      <c r="S335" s="94">
        <f t="shared" si="171"/>
        <v>-12616.436844274116</v>
      </c>
    </row>
    <row r="336" spans="2:19" ht="18" customHeight="1">
      <c r="B336" s="56" t="s">
        <v>428</v>
      </c>
      <c r="C336" s="56" t="s">
        <v>311</v>
      </c>
      <c r="D336" s="57"/>
      <c r="J336" s="94">
        <f t="shared" ref="J336:S336" si="172">J321</f>
        <v>0</v>
      </c>
      <c r="K336" s="94">
        <f t="shared" si="172"/>
        <v>6392</v>
      </c>
      <c r="L336" s="94">
        <f t="shared" si="172"/>
        <v>0</v>
      </c>
      <c r="M336" s="94">
        <f t="shared" si="172"/>
        <v>0</v>
      </c>
      <c r="N336" s="94">
        <f t="shared" si="172"/>
        <v>0</v>
      </c>
      <c r="O336" s="94">
        <f t="shared" si="172"/>
        <v>0</v>
      </c>
      <c r="P336" s="94">
        <f t="shared" si="172"/>
        <v>0</v>
      </c>
      <c r="Q336" s="94">
        <f t="shared" si="172"/>
        <v>0</v>
      </c>
      <c r="R336" s="94">
        <f t="shared" si="172"/>
        <v>0</v>
      </c>
      <c r="S336" s="94">
        <f t="shared" si="172"/>
        <v>0</v>
      </c>
    </row>
    <row r="337" spans="2:19" ht="18" customHeight="1">
      <c r="B337" s="73" t="s">
        <v>562</v>
      </c>
      <c r="C337" s="56" t="s">
        <v>311</v>
      </c>
      <c r="D337" s="57"/>
      <c r="E337" s="110"/>
      <c r="F337" s="110"/>
      <c r="G337" s="110"/>
      <c r="H337" s="95">
        <f>H332+H333+H334+H335</f>
        <v>45041.571550000001</v>
      </c>
      <c r="I337" s="95">
        <f>I332+I333+I334+I335</f>
        <v>51952.873800000001</v>
      </c>
      <c r="J337" s="96">
        <f t="shared" ref="J337:S337" si="173">J332+J333+J334+J335+J336</f>
        <v>58860.656224132057</v>
      </c>
      <c r="K337" s="96">
        <f t="shared" si="173"/>
        <v>73781.747347036915</v>
      </c>
      <c r="L337" s="96">
        <f t="shared" si="173"/>
        <v>83256.630600368619</v>
      </c>
      <c r="M337" s="96">
        <f t="shared" si="173"/>
        <v>93604.340683110131</v>
      </c>
      <c r="N337" s="96">
        <f t="shared" si="173"/>
        <v>104661.51030082637</v>
      </c>
      <c r="O337" s="96">
        <f t="shared" si="173"/>
        <v>116685.06702054919</v>
      </c>
      <c r="P337" s="96">
        <f t="shared" si="173"/>
        <v>128104.70491701334</v>
      </c>
      <c r="Q337" s="96">
        <f t="shared" si="173"/>
        <v>138620.99260338282</v>
      </c>
      <c r="R337" s="96">
        <f t="shared" si="173"/>
        <v>148901.84454487404</v>
      </c>
      <c r="S337" s="96">
        <f t="shared" si="173"/>
        <v>158776.23697800733</v>
      </c>
    </row>
    <row r="338" spans="2:19" ht="22.5" customHeight="1">
      <c r="B338" s="35" t="s">
        <v>563</v>
      </c>
      <c r="C338" s="35" t="s">
        <v>311</v>
      </c>
      <c r="D338" s="54" t="s">
        <v>564</v>
      </c>
      <c r="E338" s="88">
        <f t="shared" ref="E338:S338" si="174">E108*E154</f>
        <v>757.05124999999998</v>
      </c>
      <c r="F338" s="88">
        <f t="shared" si="174"/>
        <v>426</v>
      </c>
      <c r="G338" s="88">
        <f t="shared" si="174"/>
        <v>855.56145000000004</v>
      </c>
      <c r="H338" s="88">
        <f t="shared" si="174"/>
        <v>1050.8832</v>
      </c>
      <c r="I338" s="88">
        <f t="shared" si="174"/>
        <v>1513.5046000000002</v>
      </c>
      <c r="J338" s="88">
        <f t="shared" si="174"/>
        <v>1852.6831013090514</v>
      </c>
      <c r="K338" s="88">
        <f t="shared" si="174"/>
        <v>2595.4435560534785</v>
      </c>
      <c r="L338" s="88">
        <f t="shared" si="174"/>
        <v>3258.9882385340002</v>
      </c>
      <c r="M338" s="88">
        <f t="shared" si="174"/>
        <v>4082.0094963826559</v>
      </c>
      <c r="N338" s="88">
        <f t="shared" si="174"/>
        <v>4541.7537342296682</v>
      </c>
      <c r="O338" s="88">
        <f t="shared" si="174"/>
        <v>6626.1241815810008</v>
      </c>
      <c r="P338" s="88">
        <f t="shared" si="174"/>
        <v>9022.8810390225717</v>
      </c>
      <c r="Q338" s="88">
        <f t="shared" si="174"/>
        <v>10746.542798965638</v>
      </c>
      <c r="R338" s="88">
        <f t="shared" si="174"/>
        <v>12616.436844274116</v>
      </c>
      <c r="S338" s="88">
        <f t="shared" si="174"/>
        <v>14619.039030314822</v>
      </c>
    </row>
    <row r="339" spans="2:19" ht="18" customHeight="1">
      <c r="B339" s="56" t="s">
        <v>565</v>
      </c>
      <c r="C339" s="56" t="s">
        <v>311</v>
      </c>
      <c r="D339" s="57"/>
      <c r="F339" s="101">
        <f t="shared" ref="F339:S339" si="175">E338</f>
        <v>757.05124999999998</v>
      </c>
      <c r="G339" s="101">
        <f t="shared" si="175"/>
        <v>426</v>
      </c>
      <c r="H339" s="101">
        <f t="shared" si="175"/>
        <v>855.56145000000004</v>
      </c>
      <c r="I339" s="101">
        <f t="shared" si="175"/>
        <v>1050.8832</v>
      </c>
      <c r="J339" s="94">
        <f t="shared" si="175"/>
        <v>1513.5046000000002</v>
      </c>
      <c r="K339" s="94">
        <f t="shared" si="175"/>
        <v>1852.6831013090514</v>
      </c>
      <c r="L339" s="94">
        <f t="shared" si="175"/>
        <v>2595.4435560534785</v>
      </c>
      <c r="M339" s="94">
        <f t="shared" si="175"/>
        <v>3258.9882385340002</v>
      </c>
      <c r="N339" s="94">
        <f t="shared" si="175"/>
        <v>4082.0094963826559</v>
      </c>
      <c r="O339" s="94">
        <f t="shared" si="175"/>
        <v>4541.7537342296682</v>
      </c>
      <c r="P339" s="94">
        <f t="shared" si="175"/>
        <v>6626.1241815810008</v>
      </c>
      <c r="Q339" s="94">
        <f t="shared" si="175"/>
        <v>9022.8810390225717</v>
      </c>
      <c r="R339" s="94">
        <f t="shared" si="175"/>
        <v>10746.542798965638</v>
      </c>
      <c r="S339" s="94">
        <f t="shared" si="175"/>
        <v>12616.436844274116</v>
      </c>
    </row>
    <row r="340" spans="2:19" ht="18" customHeight="1">
      <c r="B340" s="56" t="s">
        <v>566</v>
      </c>
      <c r="C340" s="56" t="s">
        <v>185</v>
      </c>
      <c r="D340" s="57"/>
      <c r="E340" s="112">
        <f t="shared" ref="E340:S340" si="176">E338/E323*1000</f>
        <v>18.406613318332838</v>
      </c>
      <c r="F340" s="112">
        <f t="shared" si="176"/>
        <v>9.2349194415865323</v>
      </c>
      <c r="G340" s="112">
        <f t="shared" si="176"/>
        <v>18.547044760744051</v>
      </c>
      <c r="H340" s="112">
        <f t="shared" si="176"/>
        <v>22.781271583372462</v>
      </c>
      <c r="I340" s="112">
        <f t="shared" si="176"/>
        <v>32.81007759500153</v>
      </c>
      <c r="J340" s="113">
        <f t="shared" si="176"/>
        <v>40.162861951591054</v>
      </c>
      <c r="K340" s="113">
        <f t="shared" si="176"/>
        <v>49.036082424985317</v>
      </c>
      <c r="L340" s="113">
        <f t="shared" si="176"/>
        <v>61.572526019332216</v>
      </c>
      <c r="M340" s="113">
        <f t="shared" si="176"/>
        <v>77.12198312205112</v>
      </c>
      <c r="N340" s="113">
        <f t="shared" si="176"/>
        <v>85.807996073054269</v>
      </c>
      <c r="O340" s="113">
        <f t="shared" si="176"/>
        <v>125.18830192564567</v>
      </c>
      <c r="P340" s="113">
        <f t="shared" si="176"/>
        <v>170.47056843459688</v>
      </c>
      <c r="Q340" s="113">
        <f t="shared" si="176"/>
        <v>203.03595400664278</v>
      </c>
      <c r="R340" s="113">
        <f t="shared" si="176"/>
        <v>238.36412684163949</v>
      </c>
      <c r="S340" s="113">
        <f t="shared" si="176"/>
        <v>276.19957336102601</v>
      </c>
    </row>
    <row r="341" spans="2:19" ht="18" customHeight="1">
      <c r="B341" s="56" t="s">
        <v>567</v>
      </c>
      <c r="C341" s="56" t="s">
        <v>185</v>
      </c>
      <c r="D341" s="57"/>
      <c r="F341" s="112">
        <f t="shared" ref="F341:S341" si="177">F339/F323*1000</f>
        <v>16.411519499770858</v>
      </c>
      <c r="G341" s="112">
        <f t="shared" si="177"/>
        <v>9.2349194415865323</v>
      </c>
      <c r="H341" s="112">
        <f t="shared" si="177"/>
        <v>18.547044760744051</v>
      </c>
      <c r="I341" s="112">
        <f t="shared" si="177"/>
        <v>22.781271583372462</v>
      </c>
      <c r="J341" s="113">
        <f t="shared" si="177"/>
        <v>32.81007759500153</v>
      </c>
      <c r="K341" s="113">
        <f t="shared" si="177"/>
        <v>35.003004034234586</v>
      </c>
      <c r="L341" s="113">
        <f t="shared" si="177"/>
        <v>49.036082424985317</v>
      </c>
      <c r="M341" s="113">
        <f t="shared" si="177"/>
        <v>61.572526019332216</v>
      </c>
      <c r="N341" s="113">
        <f t="shared" si="177"/>
        <v>77.12198312205112</v>
      </c>
      <c r="O341" s="113">
        <f t="shared" si="177"/>
        <v>85.807996073054269</v>
      </c>
      <c r="P341" s="113">
        <f t="shared" si="177"/>
        <v>125.18830192564567</v>
      </c>
      <c r="Q341" s="113">
        <f t="shared" si="177"/>
        <v>170.47056843459688</v>
      </c>
      <c r="R341" s="113">
        <f t="shared" si="177"/>
        <v>203.03595400664278</v>
      </c>
      <c r="S341" s="113">
        <f t="shared" si="177"/>
        <v>238.36412684163949</v>
      </c>
    </row>
    <row r="342" spans="2:19" ht="18" customHeight="1">
      <c r="B342" s="56" t="s">
        <v>568</v>
      </c>
      <c r="C342" s="56" t="s">
        <v>168</v>
      </c>
      <c r="D342" s="57"/>
      <c r="J342" s="103">
        <f t="shared" ref="J342:S342" si="178">J340/$E$20</f>
        <v>3.6678412741179042E-2</v>
      </c>
      <c r="K342" s="103">
        <f t="shared" si="178"/>
        <v>4.4781810433776548E-2</v>
      </c>
      <c r="L342" s="103">
        <f t="shared" si="178"/>
        <v>5.6230617369253166E-2</v>
      </c>
      <c r="M342" s="103">
        <f t="shared" si="178"/>
        <v>7.0431034814658552E-2</v>
      </c>
      <c r="N342" s="103">
        <f t="shared" si="178"/>
        <v>7.8363466733382889E-2</v>
      </c>
      <c r="O342" s="103">
        <f t="shared" si="178"/>
        <v>0.11432721637045268</v>
      </c>
      <c r="P342" s="103">
        <f t="shared" si="178"/>
        <v>0.15568088441515698</v>
      </c>
      <c r="Q342" s="103">
        <f t="shared" si="178"/>
        <v>0.18542096256314408</v>
      </c>
      <c r="R342" s="103">
        <f t="shared" si="178"/>
        <v>0.21768413410195386</v>
      </c>
      <c r="S342" s="103">
        <f t="shared" si="178"/>
        <v>0.25223705329774065</v>
      </c>
    </row>
    <row r="343" spans="2:19" ht="18" customHeight="1">
      <c r="B343" s="56" t="s">
        <v>569</v>
      </c>
      <c r="C343" s="56" t="s">
        <v>311</v>
      </c>
      <c r="D343" s="57"/>
      <c r="G343" s="86">
        <v>1140.749</v>
      </c>
      <c r="H343" s="86">
        <v>1401.1769999999999</v>
      </c>
    </row>
    <row r="344" spans="2:19" ht="18" customHeight="1">
      <c r="B344" s="56"/>
      <c r="C344" s="56"/>
      <c r="D344" s="57"/>
      <c r="G344" s="86"/>
      <c r="H344" s="86"/>
    </row>
    <row r="345" spans="2:19" ht="22.5" customHeight="1">
      <c r="B345" s="35" t="s">
        <v>570</v>
      </c>
      <c r="C345" s="35"/>
      <c r="D345" s="35"/>
      <c r="E345" s="108" t="s">
        <v>223</v>
      </c>
      <c r="F345" s="108" t="s">
        <v>224</v>
      </c>
      <c r="G345" s="108" t="s">
        <v>225</v>
      </c>
      <c r="H345" s="108" t="s">
        <v>226</v>
      </c>
      <c r="I345" s="108" t="s">
        <v>93</v>
      </c>
      <c r="J345" s="108" t="s">
        <v>94</v>
      </c>
      <c r="K345" s="108" t="s">
        <v>227</v>
      </c>
      <c r="L345" s="108" t="s">
        <v>95</v>
      </c>
      <c r="M345" s="108" t="s">
        <v>228</v>
      </c>
      <c r="N345" s="108" t="s">
        <v>96</v>
      </c>
      <c r="O345" s="108" t="s">
        <v>229</v>
      </c>
      <c r="P345" s="108" t="s">
        <v>230</v>
      </c>
      <c r="Q345" s="108" t="s">
        <v>231</v>
      </c>
      <c r="R345" s="108" t="s">
        <v>232</v>
      </c>
      <c r="S345" s="108" t="s">
        <v>97</v>
      </c>
    </row>
    <row r="346" spans="2:19" ht="22.5" customHeight="1">
      <c r="B346" s="35" t="s">
        <v>571</v>
      </c>
      <c r="C346" s="35" t="s">
        <v>168</v>
      </c>
      <c r="D346" s="54"/>
      <c r="E346" s="35"/>
      <c r="F346" s="71">
        <f t="shared" ref="F346:S346" si="179">F154/AVERAGE(F169,E169)</f>
        <v>1.4920772797960127E-2</v>
      </c>
      <c r="G346" s="71">
        <f t="shared" si="179"/>
        <v>1.7301082428023921E-2</v>
      </c>
      <c r="H346" s="71">
        <f t="shared" si="179"/>
        <v>1.8382440107210751E-2</v>
      </c>
      <c r="I346" s="71">
        <f t="shared" si="179"/>
        <v>1.7501088105309169E-2</v>
      </c>
      <c r="J346" s="71">
        <f t="shared" si="179"/>
        <v>1.7387965264060133E-2</v>
      </c>
      <c r="K346" s="71">
        <f t="shared" si="179"/>
        <v>1.9000818107806978E-2</v>
      </c>
      <c r="L346" s="71">
        <f t="shared" si="179"/>
        <v>1.9754270631330478E-2</v>
      </c>
      <c r="M346" s="71">
        <f t="shared" si="179"/>
        <v>2.0104402643396472E-2</v>
      </c>
      <c r="N346" s="71">
        <f t="shared" si="179"/>
        <v>2.0244062818856372E-2</v>
      </c>
      <c r="O346" s="71">
        <f t="shared" si="179"/>
        <v>2.0202668580006942E-2</v>
      </c>
      <c r="P346" s="71">
        <f t="shared" si="179"/>
        <v>2.0221041859946279E-2</v>
      </c>
      <c r="Q346" s="71">
        <f t="shared" si="179"/>
        <v>2.0256568166780273E-2</v>
      </c>
      <c r="R346" s="71">
        <f t="shared" si="179"/>
        <v>2.0300205443246094E-2</v>
      </c>
      <c r="S346" s="71">
        <f t="shared" si="179"/>
        <v>2.0343768032736884E-2</v>
      </c>
    </row>
    <row r="347" spans="2:19" ht="18" customHeight="1">
      <c r="B347" s="73" t="s">
        <v>572</v>
      </c>
      <c r="C347" s="56" t="s">
        <v>168</v>
      </c>
      <c r="D347" s="57"/>
      <c r="F347" s="77">
        <f t="shared" ref="F347:S347" si="180">F154/AVERAGE(F175,E175)</f>
        <v>0.1455914150552528</v>
      </c>
      <c r="G347" s="77">
        <f t="shared" si="180"/>
        <v>0.15789974246150132</v>
      </c>
      <c r="H347" s="77">
        <f t="shared" si="180"/>
        <v>0.16724349606418271</v>
      </c>
      <c r="I347" s="77">
        <f t="shared" si="180"/>
        <v>0.1560403365776222</v>
      </c>
      <c r="J347" s="78">
        <f t="shared" si="180"/>
        <v>0.15199022731428394</v>
      </c>
      <c r="K347" s="78">
        <f t="shared" si="180"/>
        <v>0.15653778798789025</v>
      </c>
      <c r="L347" s="78">
        <f t="shared" si="180"/>
        <v>0.15372454768257623</v>
      </c>
      <c r="M347" s="78">
        <f t="shared" si="180"/>
        <v>0.15386886346413017</v>
      </c>
      <c r="N347" s="78">
        <f t="shared" si="180"/>
        <v>0.15271595223249482</v>
      </c>
      <c r="O347" s="78">
        <f t="shared" si="180"/>
        <v>0.14967758394475775</v>
      </c>
      <c r="P347" s="78">
        <f t="shared" si="180"/>
        <v>0.14743885690328595</v>
      </c>
      <c r="Q347" s="78">
        <f t="shared" si="180"/>
        <v>0.14651133285646717</v>
      </c>
      <c r="R347" s="78">
        <f t="shared" si="180"/>
        <v>0.1462659102074344</v>
      </c>
      <c r="S347" s="78">
        <f t="shared" si="180"/>
        <v>0.146197149735769</v>
      </c>
    </row>
    <row r="348" spans="2:19" ht="18" customHeight="1">
      <c r="B348" s="56" t="s">
        <v>573</v>
      </c>
      <c r="C348" s="56" t="s">
        <v>168</v>
      </c>
      <c r="D348" s="57"/>
      <c r="E348" s="82">
        <v>0.1371</v>
      </c>
      <c r="F348" s="82">
        <v>0.16839999999999999</v>
      </c>
      <c r="G348" s="82">
        <v>0.16880000000000001</v>
      </c>
      <c r="H348" s="82">
        <v>0.1777</v>
      </c>
      <c r="I348" s="82">
        <v>0.16850000000000001</v>
      </c>
    </row>
    <row r="349" spans="2:19" ht="18" customHeight="1">
      <c r="B349" s="56" t="s">
        <v>574</v>
      </c>
      <c r="C349" s="56" t="s">
        <v>200</v>
      </c>
      <c r="D349" s="57"/>
      <c r="F349" s="114">
        <f t="shared" ref="F349:S349" si="181">AVERAGE(F169,E169)/AVERAGE(F175,E175)</f>
        <v>9.7576323308908712</v>
      </c>
      <c r="G349" s="114">
        <f t="shared" si="181"/>
        <v>9.1265817106182165</v>
      </c>
      <c r="H349" s="114">
        <f t="shared" si="181"/>
        <v>9.0980030446871574</v>
      </c>
      <c r="I349" s="114">
        <f t="shared" si="181"/>
        <v>8.9160362852116304</v>
      </c>
      <c r="J349" s="115">
        <f t="shared" si="181"/>
        <v>8.741116341452468</v>
      </c>
      <c r="K349" s="115">
        <f t="shared" si="181"/>
        <v>8.2384762119044055</v>
      </c>
      <c r="L349" s="115">
        <f t="shared" si="181"/>
        <v>7.7818386996666691</v>
      </c>
      <c r="M349" s="115">
        <f t="shared" si="181"/>
        <v>7.6534909389446701</v>
      </c>
      <c r="N349" s="115">
        <f t="shared" si="181"/>
        <v>7.5437402856825386</v>
      </c>
      <c r="O349" s="115">
        <f t="shared" si="181"/>
        <v>7.4088026218913665</v>
      </c>
      <c r="P349" s="115">
        <f t="shared" si="181"/>
        <v>7.2913580776137934</v>
      </c>
      <c r="Q349" s="115">
        <f t="shared" si="181"/>
        <v>7.2327815674492282</v>
      </c>
      <c r="R349" s="115">
        <f t="shared" si="181"/>
        <v>7.2051443329652258</v>
      </c>
      <c r="S349" s="115">
        <f t="shared" si="181"/>
        <v>7.1863358597340845</v>
      </c>
    </row>
    <row r="350" spans="2:19" ht="18" customHeight="1">
      <c r="B350" s="56" t="s">
        <v>575</v>
      </c>
      <c r="C350" s="56" t="s">
        <v>185</v>
      </c>
      <c r="D350" s="57"/>
      <c r="E350" s="116">
        <f t="shared" ref="E350:S350" si="182">E154/E324*1000</f>
        <v>73.62645327333135</v>
      </c>
      <c r="F350" s="116">
        <f t="shared" si="182"/>
        <v>92.349194415865327</v>
      </c>
      <c r="G350" s="116">
        <f t="shared" si="182"/>
        <v>123.64696507162699</v>
      </c>
      <c r="H350" s="116">
        <f t="shared" si="182"/>
        <v>151.87514388914974</v>
      </c>
      <c r="I350" s="116">
        <f t="shared" si="182"/>
        <v>164.05038797500762</v>
      </c>
      <c r="J350" s="117">
        <f t="shared" si="182"/>
        <v>182.55846341632301</v>
      </c>
      <c r="K350" s="117">
        <f t="shared" si="182"/>
        <v>209.6089104544246</v>
      </c>
      <c r="L350" s="117">
        <f t="shared" si="182"/>
        <v>228.04639266419341</v>
      </c>
      <c r="M350" s="117">
        <f t="shared" si="182"/>
        <v>257.07327707350373</v>
      </c>
      <c r="N350" s="117">
        <f t="shared" si="182"/>
        <v>286.02665357684754</v>
      </c>
      <c r="O350" s="117">
        <f t="shared" si="182"/>
        <v>312.97075481411417</v>
      </c>
      <c r="P350" s="117">
        <f t="shared" si="182"/>
        <v>340.94113686919377</v>
      </c>
      <c r="Q350" s="117">
        <f t="shared" si="182"/>
        <v>369.15628001207779</v>
      </c>
      <c r="R350" s="117">
        <f t="shared" si="182"/>
        <v>397.27354473606584</v>
      </c>
      <c r="S350" s="117">
        <f t="shared" si="182"/>
        <v>424.92242055542465</v>
      </c>
    </row>
    <row r="351" spans="2:19" ht="22.5" customHeight="1">
      <c r="B351" s="35" t="s">
        <v>576</v>
      </c>
      <c r="C351" s="35" t="s">
        <v>185</v>
      </c>
      <c r="D351" s="54"/>
      <c r="E351" s="88">
        <f t="shared" ref="E351:S351" si="183">E175/E323*1000</f>
        <v>608.17786207776373</v>
      </c>
      <c r="F351" s="88">
        <f t="shared" si="183"/>
        <v>726.35026011689763</v>
      </c>
      <c r="G351" s="88">
        <f t="shared" si="183"/>
        <v>839.79498045275375</v>
      </c>
      <c r="H351" s="88">
        <f t="shared" si="183"/>
        <v>976.42086606201781</v>
      </c>
      <c r="I351" s="88">
        <f t="shared" si="183"/>
        <v>1126.2455543401304</v>
      </c>
      <c r="J351" s="88">
        <f t="shared" si="183"/>
        <v>1275.993940161452</v>
      </c>
      <c r="K351" s="88">
        <f t="shared" si="183"/>
        <v>1393.9689945983923</v>
      </c>
      <c r="L351" s="88">
        <f t="shared" si="183"/>
        <v>1572.9793048376007</v>
      </c>
      <c r="M351" s="88">
        <f t="shared" si="183"/>
        <v>1768.4800558917718</v>
      </c>
      <c r="N351" s="88">
        <f t="shared" si="183"/>
        <v>1977.3847263465682</v>
      </c>
      <c r="O351" s="88">
        <f t="shared" si="183"/>
        <v>2204.547485087628</v>
      </c>
      <c r="P351" s="88">
        <f t="shared" si="183"/>
        <v>2420.3003200311764</v>
      </c>
      <c r="Q351" s="88">
        <f t="shared" si="183"/>
        <v>2618.986031608657</v>
      </c>
      <c r="R351" s="88">
        <f t="shared" si="183"/>
        <v>2813.2236223380801</v>
      </c>
      <c r="S351" s="88">
        <f t="shared" si="183"/>
        <v>2999.7819160518652</v>
      </c>
    </row>
    <row r="352" spans="2:19" ht="22.5" customHeight="1">
      <c r="B352" s="35" t="s">
        <v>577</v>
      </c>
      <c r="C352" s="35" t="s">
        <v>200</v>
      </c>
      <c r="D352" s="54"/>
      <c r="E352" s="118">
        <f t="shared" ref="E352:S352" si="184">$E$20/E350</f>
        <v>14.872371971184249</v>
      </c>
      <c r="F352" s="118">
        <f t="shared" si="184"/>
        <v>11.857168943661973</v>
      </c>
      <c r="G352" s="118">
        <f t="shared" si="184"/>
        <v>8.8558582846387015</v>
      </c>
      <c r="H352" s="118">
        <f t="shared" si="184"/>
        <v>7.2098697124475875</v>
      </c>
      <c r="I352" s="118">
        <f t="shared" si="184"/>
        <v>6.6747784843204307</v>
      </c>
      <c r="J352" s="118">
        <f t="shared" si="184"/>
        <v>5.9980785306176791</v>
      </c>
      <c r="K352" s="118">
        <f t="shared" si="184"/>
        <v>5.2240145594291736</v>
      </c>
      <c r="L352" s="118">
        <f t="shared" si="184"/>
        <v>4.8016545546169951</v>
      </c>
      <c r="M352" s="118">
        <f t="shared" si="184"/>
        <v>4.2594859040401616</v>
      </c>
      <c r="N352" s="118">
        <f t="shared" si="184"/>
        <v>3.8283145514821872</v>
      </c>
      <c r="O352" s="118">
        <f t="shared" si="184"/>
        <v>3.4987294600428855</v>
      </c>
      <c r="P352" s="118">
        <f t="shared" si="184"/>
        <v>3.2116980956161654</v>
      </c>
      <c r="Q352" s="118">
        <f t="shared" si="184"/>
        <v>2.9662234107575647</v>
      </c>
      <c r="R352" s="118">
        <f t="shared" si="184"/>
        <v>2.7562872345992191</v>
      </c>
      <c r="S352" s="118">
        <f t="shared" si="184"/>
        <v>2.576940982706216</v>
      </c>
    </row>
    <row r="353" spans="2:19" ht="18" customHeight="1">
      <c r="B353" s="56" t="s">
        <v>578</v>
      </c>
      <c r="C353" s="56" t="s">
        <v>200</v>
      </c>
      <c r="D353" s="57"/>
      <c r="E353" s="119">
        <f t="shared" ref="E353:S353" si="185">$E$20/E351</f>
        <v>1.8004601421351794</v>
      </c>
      <c r="F353" s="119">
        <f t="shared" si="185"/>
        <v>1.5075371485704052</v>
      </c>
      <c r="G353" s="119">
        <f t="shared" si="185"/>
        <v>1.3038896700831184</v>
      </c>
      <c r="H353" s="119">
        <f t="shared" si="185"/>
        <v>1.1214426463623428</v>
      </c>
      <c r="I353" s="119">
        <f t="shared" si="185"/>
        <v>0.97225688996531734</v>
      </c>
      <c r="J353" s="120">
        <f t="shared" si="185"/>
        <v>0.85815454567241067</v>
      </c>
      <c r="K353" s="120">
        <f t="shared" si="185"/>
        <v>0.7855267973987281</v>
      </c>
      <c r="L353" s="120">
        <f t="shared" si="185"/>
        <v>0.69613121840344316</v>
      </c>
      <c r="M353" s="120">
        <f t="shared" si="185"/>
        <v>0.61917576980976274</v>
      </c>
      <c r="N353" s="120">
        <f t="shared" si="185"/>
        <v>0.55376173660607297</v>
      </c>
      <c r="O353" s="120">
        <f t="shared" si="185"/>
        <v>0.49670057343150181</v>
      </c>
      <c r="P353" s="120">
        <f t="shared" si="185"/>
        <v>0.45242319349273774</v>
      </c>
      <c r="Q353" s="120">
        <f t="shared" si="185"/>
        <v>0.41810074081510823</v>
      </c>
      <c r="R353" s="120">
        <f t="shared" si="185"/>
        <v>0.38923318832718373</v>
      </c>
      <c r="S353" s="120">
        <f t="shared" si="185"/>
        <v>0.36502653547601022</v>
      </c>
    </row>
    <row r="354" spans="2:19" ht="22.5" customHeight="1">
      <c r="B354" s="35" t="s">
        <v>579</v>
      </c>
      <c r="C354" s="35" t="s">
        <v>168</v>
      </c>
      <c r="D354" s="54"/>
      <c r="E354" s="35"/>
      <c r="F354" s="59">
        <f t="shared" ref="F354:S354" si="186">F143/AVERAGE(F175,E175)</f>
        <v>0.53283368364701167</v>
      </c>
      <c r="G354" s="59">
        <f t="shared" si="186"/>
        <v>0.45009475449560116</v>
      </c>
      <c r="H354" s="59">
        <f t="shared" si="186"/>
        <v>0.41558916205193003</v>
      </c>
      <c r="I354" s="59">
        <f t="shared" si="186"/>
        <v>0.39443672888239401</v>
      </c>
      <c r="J354" s="59">
        <f t="shared" si="186"/>
        <v>0.38130589007519194</v>
      </c>
      <c r="K354" s="59">
        <f t="shared" si="186"/>
        <v>0.37352500141193196</v>
      </c>
      <c r="L354" s="59">
        <f t="shared" si="186"/>
        <v>0.3638147811530078</v>
      </c>
      <c r="M354" s="59">
        <f t="shared" si="186"/>
        <v>0.36119747096920529</v>
      </c>
      <c r="N354" s="59">
        <f t="shared" si="186"/>
        <v>0.35427794676983559</v>
      </c>
      <c r="O354" s="59">
        <f t="shared" si="186"/>
        <v>0.34729230743539174</v>
      </c>
      <c r="P354" s="59">
        <f t="shared" si="186"/>
        <v>0.34217227578257853</v>
      </c>
      <c r="Q354" s="59">
        <f t="shared" si="186"/>
        <v>0.34001904829240681</v>
      </c>
      <c r="R354" s="59">
        <f t="shared" si="186"/>
        <v>0.33937423030741259</v>
      </c>
      <c r="S354" s="59">
        <f t="shared" si="186"/>
        <v>0.33906473889884575</v>
      </c>
    </row>
    <row r="355" spans="2:19" ht="18" customHeight="1">
      <c r="B355" s="56" t="s">
        <v>580</v>
      </c>
      <c r="C355" s="56" t="s">
        <v>168</v>
      </c>
      <c r="D355" s="57"/>
      <c r="F355" s="70">
        <f t="shared" ref="F355:S355" si="187">F144/AVERAGE(F175,E175)</f>
        <v>0.12649060745693938</v>
      </c>
      <c r="G355" s="70">
        <f t="shared" si="187"/>
        <v>0.11639446212568459</v>
      </c>
      <c r="H355" s="70">
        <f t="shared" si="187"/>
        <v>0.13264342418366007</v>
      </c>
      <c r="I355" s="70">
        <f t="shared" si="187"/>
        <v>0.14303078755664009</v>
      </c>
      <c r="J355" s="103">
        <f t="shared" si="187"/>
        <v>0.15649253268012492</v>
      </c>
      <c r="K355" s="103">
        <f t="shared" si="187"/>
        <v>0.15034945811502712</v>
      </c>
      <c r="L355" s="103">
        <f t="shared" si="187"/>
        <v>0.14223172330193451</v>
      </c>
      <c r="M355" s="103">
        <f t="shared" si="187"/>
        <v>0.13891941706358321</v>
      </c>
      <c r="N355" s="103">
        <f t="shared" si="187"/>
        <v>0.13631376861459452</v>
      </c>
      <c r="O355" s="103">
        <f t="shared" si="187"/>
        <v>0.13357714419853159</v>
      </c>
      <c r="P355" s="103">
        <f t="shared" si="187"/>
        <v>0.1314136847533986</v>
      </c>
      <c r="Q355" s="103">
        <f t="shared" si="187"/>
        <v>0.13049571814526353</v>
      </c>
      <c r="R355" s="103">
        <f t="shared" si="187"/>
        <v>0.13025699275596569</v>
      </c>
      <c r="S355" s="103">
        <f t="shared" si="187"/>
        <v>0.13024486542993044</v>
      </c>
    </row>
    <row r="356" spans="2:19" ht="18" customHeight="1">
      <c r="B356" s="56" t="s">
        <v>581</v>
      </c>
      <c r="C356" s="56" t="s">
        <v>168</v>
      </c>
      <c r="D356" s="57"/>
      <c r="F356" s="70">
        <f t="shared" ref="F356:S356" si="188">-F149/AVERAGE(F175,E175)</f>
        <v>-0.33818684757915135</v>
      </c>
      <c r="G356" s="70">
        <f t="shared" si="188"/>
        <v>-0.28373415001962554</v>
      </c>
      <c r="H356" s="70">
        <f t="shared" si="188"/>
        <v>-0.28153603360621521</v>
      </c>
      <c r="I356" s="70">
        <f t="shared" si="188"/>
        <v>-0.28250512405627842</v>
      </c>
      <c r="J356" s="103">
        <f t="shared" si="188"/>
        <v>-0.29310014040164772</v>
      </c>
      <c r="K356" s="103">
        <f t="shared" si="188"/>
        <v>-0.27241471895401875</v>
      </c>
      <c r="L356" s="103">
        <f t="shared" si="188"/>
        <v>-0.26061394979429531</v>
      </c>
      <c r="M356" s="103">
        <f t="shared" si="188"/>
        <v>-0.25505961289672213</v>
      </c>
      <c r="N356" s="103">
        <f t="shared" si="188"/>
        <v>-0.2477488162691372</v>
      </c>
      <c r="O356" s="103">
        <f t="shared" si="188"/>
        <v>-0.24283907307513128</v>
      </c>
      <c r="P356" s="103">
        <f t="shared" si="188"/>
        <v>-0.23916091007066848</v>
      </c>
      <c r="Q356" s="103">
        <f t="shared" si="188"/>
        <v>-0.23760995705102353</v>
      </c>
      <c r="R356" s="103">
        <f t="shared" si="188"/>
        <v>-0.23716376764700603</v>
      </c>
      <c r="S356" s="103">
        <f t="shared" si="188"/>
        <v>-0.23700135018603197</v>
      </c>
    </row>
    <row r="357" spans="2:19" ht="22.5" customHeight="1">
      <c r="B357" s="35" t="s">
        <v>582</v>
      </c>
      <c r="C357" s="35" t="s">
        <v>168</v>
      </c>
      <c r="D357" s="54"/>
      <c r="E357" s="35"/>
      <c r="F357" s="59">
        <f t="shared" ref="F357:S357" si="189">-F151/AVERAGE(F175,E175)</f>
        <v>-0.12812034271945694</v>
      </c>
      <c r="G357" s="59">
        <f t="shared" si="189"/>
        <v>-7.2599476994439527E-2</v>
      </c>
      <c r="H357" s="59">
        <f t="shared" si="189"/>
        <v>-4.5210105865321502E-2</v>
      </c>
      <c r="I357" s="59">
        <f t="shared" si="189"/>
        <v>-4.8599710544251162E-2</v>
      </c>
      <c r="J357" s="59">
        <f t="shared" si="189"/>
        <v>-4.3178639560731286E-2</v>
      </c>
      <c r="K357" s="59">
        <f t="shared" si="189"/>
        <v>-4.3910612735352961E-2</v>
      </c>
      <c r="L357" s="59">
        <f t="shared" si="189"/>
        <v>-4.1613424411952565E-2</v>
      </c>
      <c r="M357" s="59">
        <f t="shared" si="189"/>
        <v>-4.1046800580161948E-2</v>
      </c>
      <c r="N357" s="59">
        <f t="shared" si="189"/>
        <v>-4.0361037705618656E-2</v>
      </c>
      <c r="O357" s="59">
        <f t="shared" si="189"/>
        <v>-3.9577005709451843E-2</v>
      </c>
      <c r="P357" s="59">
        <f t="shared" si="189"/>
        <v>-3.8939943942562026E-2</v>
      </c>
      <c r="Q357" s="59">
        <f t="shared" si="189"/>
        <v>-3.864948136939772E-2</v>
      </c>
      <c r="R357" s="59">
        <f t="shared" si="189"/>
        <v>-3.8537526508265182E-2</v>
      </c>
      <c r="S357" s="59">
        <f t="shared" si="189"/>
        <v>-3.8469492844115362E-2</v>
      </c>
    </row>
    <row r="358" spans="2:19" ht="18" customHeight="1">
      <c r="B358" s="56" t="s">
        <v>583</v>
      </c>
      <c r="C358" s="56" t="s">
        <v>168</v>
      </c>
      <c r="D358" s="57"/>
      <c r="F358" s="70">
        <f t="shared" ref="F358:S358" si="190">-F153/AVERAGE(F175,E175)</f>
        <v>-4.7425685750089902E-2</v>
      </c>
      <c r="G358" s="70">
        <f t="shared" si="190"/>
        <v>-5.2255847145719306E-2</v>
      </c>
      <c r="H358" s="70">
        <f t="shared" si="190"/>
        <v>-5.4242950699870639E-2</v>
      </c>
      <c r="I358" s="70">
        <f t="shared" si="190"/>
        <v>-5.0322345260882251E-2</v>
      </c>
      <c r="J358" s="103">
        <f t="shared" si="190"/>
        <v>-4.952941547865395E-2</v>
      </c>
      <c r="K358" s="103">
        <f t="shared" si="190"/>
        <v>-5.1011339849697163E-2</v>
      </c>
      <c r="L358" s="103">
        <f t="shared" si="190"/>
        <v>-5.0094582566118193E-2</v>
      </c>
      <c r="M358" s="103">
        <f t="shared" si="190"/>
        <v>-5.0141611091774195E-2</v>
      </c>
      <c r="N358" s="103">
        <f t="shared" si="190"/>
        <v>-4.9765909177179407E-2</v>
      </c>
      <c r="O358" s="103">
        <f t="shared" si="190"/>
        <v>-4.877578890458243E-2</v>
      </c>
      <c r="P358" s="103">
        <f t="shared" si="190"/>
        <v>-4.8046249619460683E-2</v>
      </c>
      <c r="Q358" s="103">
        <f t="shared" si="190"/>
        <v>-4.7743995160781982E-2</v>
      </c>
      <c r="R358" s="103">
        <f t="shared" si="190"/>
        <v>-4.766401870067262E-2</v>
      </c>
      <c r="S358" s="103">
        <f t="shared" si="190"/>
        <v>-4.7641611562859856E-2</v>
      </c>
    </row>
    <row r="359" spans="2:19" ht="18" customHeight="1">
      <c r="B359" s="56" t="s">
        <v>584</v>
      </c>
      <c r="C359" s="56" t="s">
        <v>168</v>
      </c>
      <c r="D359" s="57"/>
      <c r="E359" s="70">
        <f t="shared" ref="E359:S359" si="191">E354+E355+E356+E357+E358</f>
        <v>0</v>
      </c>
      <c r="F359" s="70">
        <f t="shared" si="191"/>
        <v>0.14559141505525289</v>
      </c>
      <c r="G359" s="70">
        <f t="shared" si="191"/>
        <v>0.15789974246150135</v>
      </c>
      <c r="H359" s="70">
        <f t="shared" si="191"/>
        <v>0.16724349606418276</v>
      </c>
      <c r="I359" s="70">
        <f t="shared" si="191"/>
        <v>0.15604033657762229</v>
      </c>
      <c r="J359" s="103">
        <f t="shared" si="191"/>
        <v>0.15199022731428391</v>
      </c>
      <c r="K359" s="103">
        <f t="shared" si="191"/>
        <v>0.15653778798789023</v>
      </c>
      <c r="L359" s="103">
        <f t="shared" si="191"/>
        <v>0.15372454768257621</v>
      </c>
      <c r="M359" s="103">
        <f t="shared" si="191"/>
        <v>0.15386886346413026</v>
      </c>
      <c r="N359" s="103">
        <f t="shared" si="191"/>
        <v>0.15271595223249487</v>
      </c>
      <c r="O359" s="103">
        <f t="shared" si="191"/>
        <v>0.1496775839447578</v>
      </c>
      <c r="P359" s="103">
        <f t="shared" si="191"/>
        <v>0.14743885690328593</v>
      </c>
      <c r="Q359" s="103">
        <f t="shared" si="191"/>
        <v>0.14651133285646709</v>
      </c>
      <c r="R359" s="103">
        <f t="shared" si="191"/>
        <v>0.14626591020743446</v>
      </c>
      <c r="S359" s="103">
        <f t="shared" si="191"/>
        <v>0.14619714973576903</v>
      </c>
    </row>
    <row r="360" spans="2:19" ht="18" customHeight="1">
      <c r="B360" s="56"/>
      <c r="C360" s="56"/>
      <c r="D360" s="57"/>
      <c r="E360" s="70"/>
      <c r="F360" s="70"/>
      <c r="G360" s="70"/>
      <c r="H360" s="70"/>
      <c r="I360" s="70"/>
      <c r="J360" s="103"/>
      <c r="K360" s="103"/>
      <c r="L360" s="103"/>
      <c r="M360" s="103"/>
      <c r="N360" s="103"/>
      <c r="O360" s="103"/>
      <c r="P360" s="103"/>
      <c r="Q360" s="103"/>
      <c r="R360" s="103"/>
      <c r="S360" s="103"/>
    </row>
    <row r="361" spans="2:19" ht="22.5" customHeight="1">
      <c r="B361" s="35" t="s">
        <v>585</v>
      </c>
      <c r="C361" s="35"/>
      <c r="D361" s="35"/>
      <c r="E361" s="108" t="s">
        <v>223</v>
      </c>
      <c r="F361" s="108" t="s">
        <v>224</v>
      </c>
      <c r="G361" s="108" t="s">
        <v>225</v>
      </c>
      <c r="H361" s="108" t="s">
        <v>226</v>
      </c>
      <c r="I361" s="108" t="s">
        <v>93</v>
      </c>
      <c r="J361" s="108" t="s">
        <v>94</v>
      </c>
      <c r="K361" s="108" t="s">
        <v>227</v>
      </c>
      <c r="L361" s="108" t="s">
        <v>95</v>
      </c>
      <c r="M361" s="108" t="s">
        <v>228</v>
      </c>
      <c r="N361" s="108" t="s">
        <v>96</v>
      </c>
      <c r="O361" s="108" t="s">
        <v>229</v>
      </c>
      <c r="P361" s="108" t="s">
        <v>230</v>
      </c>
      <c r="Q361" s="108" t="s">
        <v>231</v>
      </c>
      <c r="R361" s="108" t="s">
        <v>232</v>
      </c>
      <c r="S361" s="108" t="s">
        <v>97</v>
      </c>
    </row>
    <row r="362" spans="2:19" ht="18" customHeight="1">
      <c r="B362" s="56" t="s">
        <v>586</v>
      </c>
      <c r="C362" s="56"/>
      <c r="D362" s="57"/>
      <c r="E362" s="121">
        <f t="shared" ref="E362:S362" si="192">IF(ABS(E177)&gt;0.5,1,0)</f>
        <v>0</v>
      </c>
      <c r="F362" s="121">
        <f t="shared" si="192"/>
        <v>0</v>
      </c>
      <c r="G362" s="121">
        <f t="shared" si="192"/>
        <v>0</v>
      </c>
      <c r="H362" s="121">
        <f t="shared" si="192"/>
        <v>0</v>
      </c>
      <c r="I362" s="121">
        <f t="shared" si="192"/>
        <v>0</v>
      </c>
      <c r="J362" s="122">
        <f t="shared" si="192"/>
        <v>0</v>
      </c>
      <c r="K362" s="122">
        <f t="shared" si="192"/>
        <v>0</v>
      </c>
      <c r="L362" s="122">
        <f t="shared" si="192"/>
        <v>0</v>
      </c>
      <c r="M362" s="122">
        <f t="shared" si="192"/>
        <v>0</v>
      </c>
      <c r="N362" s="122">
        <f t="shared" si="192"/>
        <v>0</v>
      </c>
      <c r="O362" s="122">
        <f t="shared" si="192"/>
        <v>0</v>
      </c>
      <c r="P362" s="122">
        <f t="shared" si="192"/>
        <v>0</v>
      </c>
      <c r="Q362" s="122">
        <f t="shared" si="192"/>
        <v>0</v>
      </c>
      <c r="R362" s="122">
        <f t="shared" si="192"/>
        <v>0</v>
      </c>
      <c r="S362" s="122">
        <f t="shared" si="192"/>
        <v>0</v>
      </c>
    </row>
    <row r="363" spans="2:19" ht="18" customHeight="1">
      <c r="B363" s="56" t="s">
        <v>587</v>
      </c>
      <c r="C363" s="56"/>
      <c r="D363" s="57"/>
      <c r="E363" s="121">
        <f>IF(ABS(E212-E213)&gt;1.5,1,0)</f>
        <v>0</v>
      </c>
      <c r="F363" s="121">
        <f>IF(ABS(F212-F213)&gt;1.5,1,0)</f>
        <v>0</v>
      </c>
      <c r="G363" s="121">
        <f>IF(ABS(G212-G213)&gt;1.5,1,0)</f>
        <v>0</v>
      </c>
      <c r="H363" s="121">
        <f>IF(ABS(H212-H213)&gt;1.5,1,0)</f>
        <v>0</v>
      </c>
      <c r="I363" s="121">
        <f>IF(ABS(I212-I213)&gt;1.5,1,0)</f>
        <v>0</v>
      </c>
    </row>
    <row r="364" spans="2:19" ht="18" customHeight="1">
      <c r="B364" s="56" t="s">
        <v>588</v>
      </c>
      <c r="C364" s="56"/>
      <c r="D364" s="57"/>
      <c r="H364" s="121">
        <f>IF(ABS(H337-H175)&gt;2,1,0)</f>
        <v>0</v>
      </c>
      <c r="I364" s="121">
        <f>IF(ABS(I337-I175)&gt;2,1,0)</f>
        <v>0</v>
      </c>
    </row>
    <row r="365" spans="2:19" ht="18" customHeight="1">
      <c r="B365" s="56" t="s">
        <v>589</v>
      </c>
      <c r="C365" s="56"/>
      <c r="D365" s="57"/>
      <c r="J365" s="122">
        <f t="shared" ref="J365:S365" si="193">IF(J164&lt;0,1,0)</f>
        <v>0</v>
      </c>
      <c r="K365" s="122">
        <f t="shared" si="193"/>
        <v>0</v>
      </c>
      <c r="L365" s="122">
        <f t="shared" si="193"/>
        <v>0</v>
      </c>
      <c r="M365" s="122">
        <f t="shared" si="193"/>
        <v>0</v>
      </c>
      <c r="N365" s="122">
        <f t="shared" si="193"/>
        <v>0</v>
      </c>
      <c r="O365" s="122">
        <f t="shared" si="193"/>
        <v>0</v>
      </c>
      <c r="P365" s="122">
        <f t="shared" si="193"/>
        <v>0</v>
      </c>
      <c r="Q365" s="122">
        <f t="shared" si="193"/>
        <v>0</v>
      </c>
      <c r="R365" s="122">
        <f t="shared" si="193"/>
        <v>0</v>
      </c>
      <c r="S365" s="122">
        <f t="shared" si="193"/>
        <v>0</v>
      </c>
    </row>
    <row r="366" spans="2:19" ht="18" customHeight="1">
      <c r="B366" s="56" t="s">
        <v>590</v>
      </c>
      <c r="C366" s="56"/>
      <c r="D366" s="57"/>
      <c r="J366" s="122">
        <f t="shared" ref="J366:S366" si="194">IF(J74&gt;$E$37,1,0)</f>
        <v>0</v>
      </c>
      <c r="K366" s="122">
        <f t="shared" si="194"/>
        <v>0</v>
      </c>
      <c r="L366" s="122">
        <f t="shared" si="194"/>
        <v>0</v>
      </c>
      <c r="M366" s="122">
        <f t="shared" si="194"/>
        <v>0</v>
      </c>
      <c r="N366" s="122">
        <f t="shared" si="194"/>
        <v>0</v>
      </c>
      <c r="O366" s="122">
        <f t="shared" si="194"/>
        <v>0</v>
      </c>
      <c r="P366" s="122">
        <f t="shared" si="194"/>
        <v>0</v>
      </c>
      <c r="Q366" s="122">
        <f t="shared" si="194"/>
        <v>0</v>
      </c>
      <c r="R366" s="122">
        <f t="shared" si="194"/>
        <v>0</v>
      </c>
      <c r="S366" s="122">
        <f t="shared" si="194"/>
        <v>0</v>
      </c>
    </row>
    <row r="367" spans="2:19" ht="18" customHeight="1">
      <c r="B367" s="56" t="s">
        <v>591</v>
      </c>
      <c r="C367" s="56"/>
      <c r="D367" s="57"/>
      <c r="J367" s="122">
        <f t="shared" ref="J367:S367" si="195">IF(J328&lt;$E$35,1,0)</f>
        <v>0</v>
      </c>
      <c r="K367" s="122">
        <f t="shared" si="195"/>
        <v>0</v>
      </c>
      <c r="L367" s="122">
        <f t="shared" si="195"/>
        <v>0</v>
      </c>
      <c r="M367" s="122">
        <f t="shared" si="195"/>
        <v>0</v>
      </c>
      <c r="N367" s="122">
        <f t="shared" si="195"/>
        <v>0</v>
      </c>
      <c r="O367" s="122">
        <f t="shared" si="195"/>
        <v>0</v>
      </c>
      <c r="P367" s="122">
        <f t="shared" si="195"/>
        <v>0</v>
      </c>
      <c r="Q367" s="122">
        <f t="shared" si="195"/>
        <v>0</v>
      </c>
      <c r="R367" s="122">
        <f t="shared" si="195"/>
        <v>0</v>
      </c>
      <c r="S367" s="122">
        <f t="shared" si="195"/>
        <v>0</v>
      </c>
    </row>
    <row r="368" spans="2:19" ht="18" customHeight="1">
      <c r="B368" s="56" t="s">
        <v>592</v>
      </c>
      <c r="C368" s="56"/>
      <c r="D368" s="57"/>
      <c r="J368" s="122">
        <f t="shared" ref="J368:S368" si="196">IF(J300&lt;0,1,0)</f>
        <v>0</v>
      </c>
      <c r="K368" s="122">
        <f t="shared" si="196"/>
        <v>0</v>
      </c>
      <c r="L368" s="122">
        <f t="shared" si="196"/>
        <v>0</v>
      </c>
      <c r="M368" s="122">
        <f t="shared" si="196"/>
        <v>0</v>
      </c>
      <c r="N368" s="122">
        <f t="shared" si="196"/>
        <v>0</v>
      </c>
      <c r="O368" s="122">
        <f t="shared" si="196"/>
        <v>0</v>
      </c>
      <c r="P368" s="122">
        <f t="shared" si="196"/>
        <v>0</v>
      </c>
      <c r="Q368" s="122">
        <f t="shared" si="196"/>
        <v>0</v>
      </c>
      <c r="R368" s="122">
        <f t="shared" si="196"/>
        <v>0</v>
      </c>
      <c r="S368" s="122">
        <f t="shared" si="196"/>
        <v>0</v>
      </c>
    </row>
    <row r="369" spans="2:19" ht="18" customHeight="1">
      <c r="B369" s="56" t="s">
        <v>593</v>
      </c>
      <c r="C369" s="56"/>
      <c r="D369" s="57"/>
      <c r="J369" s="122">
        <f t="shared" ref="J369:S369" si="197">IF(J293&lt;0,1,0)</f>
        <v>0</v>
      </c>
      <c r="K369" s="122">
        <f t="shared" si="197"/>
        <v>0</v>
      </c>
      <c r="L369" s="122">
        <f t="shared" si="197"/>
        <v>0</v>
      </c>
      <c r="M369" s="122">
        <f t="shared" si="197"/>
        <v>0</v>
      </c>
      <c r="N369" s="122">
        <f t="shared" si="197"/>
        <v>0</v>
      </c>
      <c r="O369" s="122">
        <f t="shared" si="197"/>
        <v>0</v>
      </c>
      <c r="P369" s="122">
        <f t="shared" si="197"/>
        <v>0</v>
      </c>
      <c r="Q369" s="122">
        <f t="shared" si="197"/>
        <v>0</v>
      </c>
      <c r="R369" s="122">
        <f t="shared" si="197"/>
        <v>0</v>
      </c>
      <c r="S369" s="122">
        <f t="shared" si="197"/>
        <v>0</v>
      </c>
    </row>
    <row r="370" spans="2:19" ht="18" customHeight="1">
      <c r="B370" s="56" t="s">
        <v>594</v>
      </c>
      <c r="C370" s="56"/>
      <c r="D370" s="57"/>
      <c r="E370" s="121">
        <f t="shared" ref="E370:S370" si="198">IF(ABS(E359-E347)&gt;0.0001,1,0)</f>
        <v>0</v>
      </c>
      <c r="F370" s="121">
        <f t="shared" si="198"/>
        <v>0</v>
      </c>
      <c r="G370" s="121">
        <f t="shared" si="198"/>
        <v>0</v>
      </c>
      <c r="H370" s="121">
        <f t="shared" si="198"/>
        <v>0</v>
      </c>
      <c r="I370" s="121">
        <f t="shared" si="198"/>
        <v>0</v>
      </c>
      <c r="J370" s="122">
        <f t="shared" si="198"/>
        <v>0</v>
      </c>
      <c r="K370" s="122">
        <f t="shared" si="198"/>
        <v>0</v>
      </c>
      <c r="L370" s="122">
        <f t="shared" si="198"/>
        <v>0</v>
      </c>
      <c r="M370" s="122">
        <f t="shared" si="198"/>
        <v>0</v>
      </c>
      <c r="N370" s="122">
        <f t="shared" si="198"/>
        <v>0</v>
      </c>
      <c r="O370" s="122">
        <f t="shared" si="198"/>
        <v>0</v>
      </c>
      <c r="P370" s="122">
        <f t="shared" si="198"/>
        <v>0</v>
      </c>
      <c r="Q370" s="122">
        <f t="shared" si="198"/>
        <v>0</v>
      </c>
      <c r="R370" s="122">
        <f t="shared" si="198"/>
        <v>0</v>
      </c>
      <c r="S370" s="122">
        <f t="shared" si="198"/>
        <v>0</v>
      </c>
    </row>
    <row r="371" spans="2:19" ht="18" customHeight="1">
      <c r="B371" s="56" t="s">
        <v>595</v>
      </c>
      <c r="C371" s="56"/>
      <c r="D371" s="57"/>
      <c r="I371" s="121">
        <f>IF(ABS(I295)&gt;1,1,0)</f>
        <v>0</v>
      </c>
    </row>
    <row r="372" spans="2:19" ht="18" customHeight="1">
      <c r="B372" s="56" t="s">
        <v>596</v>
      </c>
      <c r="C372" s="56"/>
      <c r="J372" s="122">
        <f t="shared" ref="J372:S372" si="199">IF(J181&lt;$E$38-0.0001,1,0)</f>
        <v>0</v>
      </c>
      <c r="K372" s="122">
        <f t="shared" si="199"/>
        <v>0</v>
      </c>
      <c r="L372" s="122">
        <f t="shared" si="199"/>
        <v>0</v>
      </c>
      <c r="M372" s="122">
        <f t="shared" si="199"/>
        <v>0</v>
      </c>
      <c r="N372" s="122">
        <f t="shared" si="199"/>
        <v>0</v>
      </c>
      <c r="O372" s="122">
        <f t="shared" si="199"/>
        <v>0</v>
      </c>
      <c r="P372" s="122">
        <f t="shared" si="199"/>
        <v>0</v>
      </c>
      <c r="Q372" s="122">
        <f t="shared" si="199"/>
        <v>0</v>
      </c>
      <c r="R372" s="122">
        <f t="shared" si="199"/>
        <v>0</v>
      </c>
      <c r="S372" s="122">
        <f t="shared" si="199"/>
        <v>0</v>
      </c>
    </row>
    <row r="373" spans="2:19" ht="18" customHeight="1">
      <c r="B373" s="56" t="s">
        <v>597</v>
      </c>
      <c r="C373" s="56"/>
      <c r="E373" s="11">
        <f>IF(ABS(CF_Direct!E53)&gt;1.5,1,0)</f>
        <v>0</v>
      </c>
      <c r="F373" s="11">
        <f>IF(ABS(CF_Direct!F53)&gt;1.5,1,0)</f>
        <v>0</v>
      </c>
      <c r="G373" s="11">
        <f>IF(ABS(CF_Direct!G53)&gt;1.5,1,0)</f>
        <v>0</v>
      </c>
      <c r="H373" s="11">
        <f>IF(ABS(CF_Direct!H53)&gt;1.5,1,0)</f>
        <v>0</v>
      </c>
      <c r="I373" s="11">
        <f>IF(ABS(CF_Direct!I53)&gt;1.5,1,0)</f>
        <v>0</v>
      </c>
      <c r="J373" s="122">
        <f>IF(ABS(CF_Direct!J53)&gt;0.5,1,0)</f>
        <v>0</v>
      </c>
      <c r="K373" s="122">
        <f>IF(ABS(CF_Direct!K53)&gt;0.5,1,0)</f>
        <v>0</v>
      </c>
      <c r="L373" s="122">
        <f>IF(ABS(CF_Direct!L53)&gt;0.5,1,0)</f>
        <v>0</v>
      </c>
      <c r="M373" s="122">
        <f>IF(ABS(CF_Direct!M53)&gt;0.5,1,0)</f>
        <v>0</v>
      </c>
      <c r="N373" s="122">
        <f>IF(ABS(CF_Direct!N53)&gt;0.5,1,0)</f>
        <v>0</v>
      </c>
      <c r="O373" s="122">
        <f>IF(ABS(CF_Direct!O53)&gt;0.5,1,0)</f>
        <v>0</v>
      </c>
      <c r="P373" s="122">
        <f>IF(ABS(CF_Direct!P53)&gt;0.5,1,0)</f>
        <v>0</v>
      </c>
      <c r="Q373" s="122">
        <f>IF(ABS(CF_Direct!Q53)&gt;0.5,1,0)</f>
        <v>0</v>
      </c>
      <c r="R373" s="122">
        <f>IF(ABS(CF_Direct!R53)&gt;0.5,1,0)</f>
        <v>0</v>
      </c>
      <c r="S373" s="122">
        <f>IF(ABS(CF_Direct!S53)&gt;0.5,1,0)</f>
        <v>0</v>
      </c>
    </row>
    <row r="374" spans="2:19" ht="23.1" customHeight="1">
      <c r="B374" s="233" t="s">
        <v>598</v>
      </c>
      <c r="C374" s="233"/>
      <c r="D374" s="233"/>
      <c r="E374" s="233"/>
      <c r="F374" s="233"/>
      <c r="G374" s="233"/>
      <c r="H374" s="233"/>
      <c r="I374" s="233"/>
      <c r="J374" s="233"/>
      <c r="K374" s="233"/>
      <c r="L374" s="233"/>
      <c r="M374" s="233"/>
      <c r="N374" s="233"/>
      <c r="O374" s="233"/>
      <c r="P374" s="233"/>
      <c r="Q374" s="233"/>
      <c r="R374" s="233"/>
      <c r="S374" s="233"/>
    </row>
    <row r="375" spans="2:19" ht="27" customHeight="1">
      <c r="B375" s="24" t="s">
        <v>599</v>
      </c>
      <c r="C375" s="24"/>
      <c r="D375" s="24"/>
      <c r="E375" s="44" t="s">
        <v>223</v>
      </c>
      <c r="F375" s="44" t="s">
        <v>224</v>
      </c>
      <c r="G375" s="44" t="s">
        <v>225</v>
      </c>
      <c r="H375" s="44" t="s">
        <v>226</v>
      </c>
      <c r="I375" s="44" t="s">
        <v>93</v>
      </c>
      <c r="J375" s="44" t="s">
        <v>94</v>
      </c>
      <c r="K375" s="44" t="s">
        <v>227</v>
      </c>
      <c r="L375" s="44" t="s">
        <v>95</v>
      </c>
      <c r="M375" s="44" t="s">
        <v>228</v>
      </c>
      <c r="N375" s="44" t="s">
        <v>96</v>
      </c>
      <c r="O375" s="44" t="s">
        <v>229</v>
      </c>
      <c r="P375" s="44" t="s">
        <v>230</v>
      </c>
      <c r="Q375" s="44" t="s">
        <v>231</v>
      </c>
      <c r="R375" s="44" t="s">
        <v>232</v>
      </c>
      <c r="S375" s="44" t="s">
        <v>97</v>
      </c>
    </row>
    <row r="376" spans="2:19" ht="18" customHeight="1">
      <c r="B376" s="56" t="s">
        <v>600</v>
      </c>
      <c r="C376" s="56" t="s">
        <v>164</v>
      </c>
      <c r="D376" s="57"/>
      <c r="J376" s="123">
        <v>1</v>
      </c>
      <c r="K376" s="123">
        <v>2</v>
      </c>
      <c r="L376" s="123">
        <v>3</v>
      </c>
      <c r="M376" s="123">
        <v>4</v>
      </c>
      <c r="N376" s="123">
        <v>5</v>
      </c>
      <c r="O376" s="123">
        <v>6</v>
      </c>
      <c r="P376" s="123">
        <v>7</v>
      </c>
      <c r="Q376" s="123">
        <v>8</v>
      </c>
      <c r="R376" s="123">
        <v>9</v>
      </c>
      <c r="S376" s="123">
        <v>10</v>
      </c>
    </row>
    <row r="377" spans="2:19" ht="18" customHeight="1">
      <c r="B377" s="56" t="s">
        <v>601</v>
      </c>
      <c r="C377" s="56" t="s">
        <v>200</v>
      </c>
      <c r="D377" s="57"/>
      <c r="J377" s="124">
        <f>1/(1+J378)</f>
        <v>0.89904026013765892</v>
      </c>
      <c r="K377" s="124">
        <f t="shared" ref="K377:S377" si="200">J377/(1+K378)</f>
        <v>0.80745044554329126</v>
      </c>
      <c r="L377" s="124">
        <f t="shared" si="200"/>
        <v>0.72445374947274588</v>
      </c>
      <c r="M377" s="124">
        <f t="shared" si="200"/>
        <v>0.64932772630255653</v>
      </c>
      <c r="N377" s="124">
        <f t="shared" si="200"/>
        <v>0.58140153808528428</v>
      </c>
      <c r="O377" s="124">
        <f t="shared" si="200"/>
        <v>0.52005322998650494</v>
      </c>
      <c r="P377" s="124">
        <f t="shared" si="200"/>
        <v>0.46470704808952656</v>
      </c>
      <c r="Q377" s="124">
        <f t="shared" si="200"/>
        <v>0.41483081130635657</v>
      </c>
      <c r="R377" s="124">
        <f t="shared" si="200"/>
        <v>0.36993334748008361</v>
      </c>
      <c r="S377" s="124">
        <f t="shared" si="200"/>
        <v>0.32956200220942861</v>
      </c>
    </row>
    <row r="378" spans="2:19" ht="18" customHeight="1">
      <c r="B378" s="56" t="s">
        <v>602</v>
      </c>
      <c r="C378" s="56" t="s">
        <v>168</v>
      </c>
      <c r="D378" s="57"/>
      <c r="J378" s="125">
        <f>$E$24+IF(Beta_Evidence!$B$41=2,($E$26+(1-$E$26)*Beta_Evidence!$B$42*(J$376-1)/9)*($E$25-Beta_Evidence!$B$17)+Beta_Evidence!$B$17,($E$26+(1-$E$26)*Beta_Evidence!$B$42*(J$376-1)/9)*$E$25)+$E$27+$E$33</f>
        <v>0.11229724000000002</v>
      </c>
      <c r="K378" s="125">
        <f>$E$24+IF(Beta_Evidence!$B$41=2,($E$26+(1-$E$26)*Beta_Evidence!$B$42*(K$376-1)/9)*($E$25-Beta_Evidence!$B$17)+Beta_Evidence!$B$17,($E$26+(1-$E$26)*Beta_Evidence!$B$42*(K$376-1)/9)*$E$25)+$E$27+$E$33</f>
        <v>0.11343088000000001</v>
      </c>
      <c r="L378" s="125">
        <f>$E$24+IF(Beta_Evidence!$B$41=2,($E$26+(1-$E$26)*Beta_Evidence!$B$42*(L$376-1)/9)*($E$25-Beta_Evidence!$B$17)+Beta_Evidence!$B$17,($E$26+(1-$E$26)*Beta_Evidence!$B$42*(L$376-1)/9)*$E$25)+$E$27+$E$33</f>
        <v>0.11456452</v>
      </c>
      <c r="M378" s="125">
        <f>$E$24+IF(Beta_Evidence!$B$41=2,($E$26+(1-$E$26)*Beta_Evidence!$B$42*(M$376-1)/9)*($E$25-Beta_Evidence!$B$17)+Beta_Evidence!$B$17,($E$26+(1-$E$26)*Beta_Evidence!$B$42*(M$376-1)/9)*$E$25)+$E$27+$E$33</f>
        <v>0.11569816000000002</v>
      </c>
      <c r="N378" s="125">
        <f>$E$24+IF(Beta_Evidence!$B$41=2,($E$26+(1-$E$26)*Beta_Evidence!$B$42*(N$376-1)/9)*($E$25-Beta_Evidence!$B$17)+Beta_Evidence!$B$17,($E$26+(1-$E$26)*Beta_Evidence!$B$42*(N$376-1)/9)*$E$25)+$E$27+$E$33</f>
        <v>0.11683180000000001</v>
      </c>
      <c r="O378" s="125">
        <f>$E$24+IF(Beta_Evidence!$B$41=2,($E$26+(1-$E$26)*Beta_Evidence!$B$42*(O$376-1)/9)*($E$25-Beta_Evidence!$B$17)+Beta_Evidence!$B$17,($E$26+(1-$E$26)*Beta_Evidence!$B$42*(O$376-1)/9)*$E$25)+$E$27+$E$33</f>
        <v>0.11796544</v>
      </c>
      <c r="P378" s="125">
        <f>$E$24+IF(Beta_Evidence!$B$41=2,($E$26+(1-$E$26)*Beta_Evidence!$B$42*(P$376-1)/9)*($E$25-Beta_Evidence!$B$17)+Beta_Evidence!$B$17,($E$26+(1-$E$26)*Beta_Evidence!$B$42*(P$376-1)/9)*$E$25)+$E$27+$E$33</f>
        <v>0.11909908</v>
      </c>
      <c r="Q378" s="125">
        <f>$E$24+IF(Beta_Evidence!$B$41=2,($E$26+(1-$E$26)*Beta_Evidence!$B$42*(Q$376-1)/9)*($E$25-Beta_Evidence!$B$17)+Beta_Evidence!$B$17,($E$26+(1-$E$26)*Beta_Evidence!$B$42*(Q$376-1)/9)*$E$25)+$E$27+$E$33</f>
        <v>0.12023272000000002</v>
      </c>
      <c r="R378" s="125">
        <f>$E$24+IF(Beta_Evidence!$B$41=2,($E$26+(1-$E$26)*Beta_Evidence!$B$42*(R$376-1)/9)*($E$25-Beta_Evidence!$B$17)+Beta_Evidence!$B$17,($E$26+(1-$E$26)*Beta_Evidence!$B$42*(R$376-1)/9)*$E$25)+$E$27+$E$33</f>
        <v>0.12136636000000001</v>
      </c>
      <c r="S378" s="125">
        <f>$E$24+IF(Beta_Evidence!$B$41=2,($E$26+(1-$E$26)*Beta_Evidence!$B$42*(S$376-1)/9)*($E$25-Beta_Evidence!$B$17)+Beta_Evidence!$B$17,($E$26+(1-$E$26)*Beta_Evidence!$B$42*(S$376-1)/9)*$E$25)+$E$27+$E$33</f>
        <v>0.1225</v>
      </c>
    </row>
    <row r="379" spans="2:19" ht="27" customHeight="1">
      <c r="B379" s="24" t="s">
        <v>603</v>
      </c>
      <c r="C379" s="24"/>
      <c r="D379" s="24"/>
      <c r="E379" s="44" t="s">
        <v>223</v>
      </c>
      <c r="F379" s="44" t="s">
        <v>224</v>
      </c>
      <c r="G379" s="44" t="s">
        <v>225</v>
      </c>
      <c r="H379" s="44" t="s">
        <v>226</v>
      </c>
      <c r="I379" s="44" t="s">
        <v>93</v>
      </c>
      <c r="J379" s="44" t="s">
        <v>94</v>
      </c>
      <c r="K379" s="44" t="s">
        <v>227</v>
      </c>
      <c r="L379" s="44" t="s">
        <v>95</v>
      </c>
      <c r="M379" s="44" t="s">
        <v>228</v>
      </c>
      <c r="N379" s="44" t="s">
        <v>96</v>
      </c>
      <c r="O379" s="44" t="s">
        <v>229</v>
      </c>
      <c r="P379" s="44" t="s">
        <v>230</v>
      </c>
      <c r="Q379" s="44" t="s">
        <v>231</v>
      </c>
      <c r="R379" s="44" t="s">
        <v>232</v>
      </c>
      <c r="S379" s="44" t="s">
        <v>97</v>
      </c>
    </row>
    <row r="380" spans="2:19" ht="22.5" customHeight="1">
      <c r="B380" s="35" t="s">
        <v>604</v>
      </c>
      <c r="C380" s="35" t="s">
        <v>185</v>
      </c>
      <c r="D380" s="54"/>
      <c r="E380" s="35"/>
      <c r="F380" s="35"/>
      <c r="G380" s="35"/>
      <c r="H380" s="35"/>
      <c r="I380" s="35"/>
      <c r="J380" s="126">
        <f t="shared" ref="J380:S380" si="201">(J339-J321)/$E$21*1000</f>
        <v>32.81007759500153</v>
      </c>
      <c r="K380" s="126">
        <f t="shared" si="201"/>
        <v>-98.404286101510152</v>
      </c>
      <c r="L380" s="126">
        <f t="shared" si="201"/>
        <v>56.264582524269379</v>
      </c>
      <c r="M380" s="126">
        <f t="shared" si="201"/>
        <v>70.649046582017576</v>
      </c>
      <c r="N380" s="126">
        <f t="shared" si="201"/>
        <v>88.490678072500089</v>
      </c>
      <c r="O380" s="126">
        <f t="shared" si="201"/>
        <v>98.457112345389206</v>
      </c>
      <c r="P380" s="126">
        <f t="shared" si="201"/>
        <v>143.64254231654704</v>
      </c>
      <c r="Q380" s="126">
        <f t="shared" si="201"/>
        <v>195.5999519398874</v>
      </c>
      <c r="R380" s="126">
        <f t="shared" si="201"/>
        <v>232.96586155870779</v>
      </c>
      <c r="S380" s="126">
        <f t="shared" si="201"/>
        <v>273.5018260486753</v>
      </c>
    </row>
    <row r="381" spans="2:19" ht="18" customHeight="1">
      <c r="B381" s="56" t="s">
        <v>605</v>
      </c>
      <c r="C381" s="56" t="s">
        <v>185</v>
      </c>
      <c r="D381" s="57"/>
      <c r="J381" s="117">
        <f t="shared" ref="J381:S381" si="202">J380*J377</f>
        <v>29.497580696146951</v>
      </c>
      <c r="K381" s="117">
        <f t="shared" si="202"/>
        <v>-79.456584656033883</v>
      </c>
      <c r="L381" s="117">
        <f t="shared" si="202"/>
        <v>40.761087772225686</v>
      </c>
      <c r="M381" s="117">
        <f t="shared" si="202"/>
        <v>45.874384782544873</v>
      </c>
      <c r="N381" s="117">
        <f t="shared" si="202"/>
        <v>51.44861633756129</v>
      </c>
      <c r="O381" s="117">
        <f t="shared" si="202"/>
        <v>51.202939290363844</v>
      </c>
      <c r="P381" s="117">
        <f t="shared" si="202"/>
        <v>66.751701819997479</v>
      </c>
      <c r="Q381" s="117">
        <f t="shared" si="202"/>
        <v>81.14088675470785</v>
      </c>
      <c r="R381" s="117">
        <f t="shared" si="202"/>
        <v>86.181841014994504</v>
      </c>
      <c r="S381" s="117">
        <f t="shared" si="202"/>
        <v>90.135809400536289</v>
      </c>
    </row>
    <row r="382" spans="2:19" ht="22.5" customHeight="1">
      <c r="B382" s="35" t="s">
        <v>606</v>
      </c>
      <c r="C382" s="35" t="s">
        <v>168</v>
      </c>
      <c r="D382" s="54"/>
      <c r="E382" s="59">
        <f>$S$378+CHOOSE($E$3,$E$39,$F$39,$G$39)</f>
        <v>0.14249999999999999</v>
      </c>
      <c r="F382" s="35"/>
      <c r="G382" s="35"/>
      <c r="H382" s="35"/>
      <c r="I382" s="35"/>
      <c r="J382" s="35"/>
      <c r="K382" s="35"/>
      <c r="L382" s="35"/>
      <c r="M382" s="35"/>
      <c r="N382" s="35"/>
      <c r="O382" s="35"/>
      <c r="P382" s="35"/>
      <c r="Q382" s="35"/>
      <c r="R382" s="35"/>
      <c r="S382" s="35"/>
    </row>
    <row r="383" spans="2:19" ht="18" customHeight="1">
      <c r="B383" s="56" t="s">
        <v>607</v>
      </c>
      <c r="C383" s="56" t="s">
        <v>168</v>
      </c>
      <c r="D383" s="57" t="s">
        <v>608</v>
      </c>
      <c r="E383" s="70">
        <f>MAX(0,MIN(1,1-$E$31/$E$382))</f>
        <v>0.68421052631578938</v>
      </c>
    </row>
    <row r="384" spans="2:19" ht="22.5" customHeight="1">
      <c r="B384" s="35" t="s">
        <v>609</v>
      </c>
      <c r="C384" s="35" t="s">
        <v>185</v>
      </c>
      <c r="D384" s="54"/>
      <c r="E384" s="126">
        <f>$E$383*$E$382*$S$175/$E$21*1000</f>
        <v>335.593571311478</v>
      </c>
      <c r="F384" s="35"/>
      <c r="G384" s="35"/>
      <c r="H384" s="35"/>
      <c r="I384" s="35"/>
      <c r="J384" s="35"/>
      <c r="K384" s="35"/>
      <c r="L384" s="35"/>
      <c r="M384" s="35"/>
      <c r="N384" s="35"/>
      <c r="O384" s="35"/>
      <c r="P384" s="35"/>
      <c r="Q384" s="35"/>
      <c r="R384" s="35"/>
      <c r="S384" s="35"/>
    </row>
    <row r="385" spans="2:19" ht="22.5" customHeight="1">
      <c r="B385" s="35" t="s">
        <v>610</v>
      </c>
      <c r="C385" s="35" t="s">
        <v>185</v>
      </c>
      <c r="D385" s="54"/>
      <c r="E385" s="88">
        <f>$E$384/($S$378-$E$31)</f>
        <v>4330.2396298255226</v>
      </c>
      <c r="F385" s="35"/>
      <c r="G385" s="35"/>
      <c r="H385" s="35"/>
      <c r="I385" s="35"/>
      <c r="J385" s="35"/>
      <c r="K385" s="35"/>
      <c r="L385" s="35"/>
      <c r="M385" s="35"/>
      <c r="N385" s="35"/>
      <c r="O385" s="35"/>
      <c r="P385" s="35"/>
      <c r="Q385" s="35"/>
      <c r="R385" s="35"/>
      <c r="S385" s="35"/>
    </row>
    <row r="386" spans="2:19" ht="18" customHeight="1">
      <c r="B386" s="56" t="s">
        <v>611</v>
      </c>
      <c r="C386" s="56" t="s">
        <v>185</v>
      </c>
      <c r="D386" s="57"/>
      <c r="E386" s="101">
        <f>$E$385*$S$377</f>
        <v>1427.0824424519142</v>
      </c>
    </row>
    <row r="387" spans="2:19" ht="22.5" customHeight="1">
      <c r="B387" s="35" t="s">
        <v>612</v>
      </c>
      <c r="C387" s="35" t="s">
        <v>185</v>
      </c>
      <c r="D387" s="54"/>
      <c r="E387" s="88">
        <f>SUM($J$381:$S$381)+$E$386</f>
        <v>1890.6207056649591</v>
      </c>
      <c r="F387" s="35"/>
      <c r="G387" s="35"/>
      <c r="H387" s="35"/>
      <c r="I387" s="35"/>
      <c r="J387" s="35"/>
      <c r="K387" s="35"/>
      <c r="L387" s="35"/>
      <c r="M387" s="35"/>
      <c r="N387" s="35"/>
      <c r="O387" s="35"/>
      <c r="P387" s="35"/>
      <c r="Q387" s="35"/>
      <c r="R387" s="35"/>
      <c r="S387" s="35"/>
    </row>
    <row r="388" spans="2:19" ht="22.5" customHeight="1">
      <c r="B388" s="35" t="s">
        <v>613</v>
      </c>
      <c r="C388" s="35" t="s">
        <v>168</v>
      </c>
      <c r="D388" s="54"/>
      <c r="E388" s="83">
        <f>$E$386/$E$387</f>
        <v>0.75482217992000056</v>
      </c>
      <c r="F388" s="35"/>
      <c r="G388" s="35"/>
      <c r="H388" s="35"/>
      <c r="I388" s="35"/>
      <c r="J388" s="35"/>
      <c r="K388" s="35"/>
      <c r="L388" s="35"/>
      <c r="M388" s="35"/>
      <c r="N388" s="35"/>
      <c r="O388" s="35"/>
      <c r="P388" s="35"/>
      <c r="Q388" s="35"/>
      <c r="R388" s="35"/>
      <c r="S388" s="35"/>
    </row>
    <row r="389" spans="2:19" ht="18" customHeight="1">
      <c r="B389" s="56"/>
      <c r="C389" s="56"/>
      <c r="D389" s="57"/>
      <c r="E389" s="127"/>
    </row>
    <row r="390" spans="2:19" ht="27" customHeight="1">
      <c r="B390" s="24" t="s">
        <v>614</v>
      </c>
      <c r="C390" s="24"/>
      <c r="D390" s="24"/>
      <c r="E390" s="44" t="s">
        <v>223</v>
      </c>
      <c r="F390" s="44" t="s">
        <v>224</v>
      </c>
      <c r="G390" s="44" t="s">
        <v>225</v>
      </c>
      <c r="H390" s="44" t="s">
        <v>226</v>
      </c>
      <c r="I390" s="44" t="s">
        <v>93</v>
      </c>
      <c r="J390" s="44" t="s">
        <v>94</v>
      </c>
      <c r="K390" s="44" t="s">
        <v>227</v>
      </c>
      <c r="L390" s="44" t="s">
        <v>95</v>
      </c>
      <c r="M390" s="44" t="s">
        <v>228</v>
      </c>
      <c r="N390" s="44" t="s">
        <v>96</v>
      </c>
      <c r="O390" s="44" t="s">
        <v>229</v>
      </c>
      <c r="P390" s="44" t="s">
        <v>230</v>
      </c>
      <c r="Q390" s="44" t="s">
        <v>231</v>
      </c>
      <c r="R390" s="44" t="s">
        <v>232</v>
      </c>
      <c r="S390" s="44" t="s">
        <v>97</v>
      </c>
    </row>
    <row r="391" spans="2:19" ht="18" customHeight="1">
      <c r="B391" s="56" t="s">
        <v>615</v>
      </c>
      <c r="C391" s="56" t="s">
        <v>311</v>
      </c>
      <c r="D391" s="57"/>
      <c r="J391" s="94">
        <f t="shared" ref="J391:S391" si="203">J154-J378*I175</f>
        <v>2587.1224638642907</v>
      </c>
      <c r="K391" s="94">
        <f t="shared" si="203"/>
        <v>3705.1581913331365</v>
      </c>
      <c r="L391" s="94">
        <f t="shared" si="203"/>
        <v>3617.5563398106278</v>
      </c>
      <c r="M391" s="94">
        <f t="shared" si="203"/>
        <v>3974.0593530131737</v>
      </c>
      <c r="N391" s="94">
        <f t="shared" si="203"/>
        <v>4203.2155042779068</v>
      </c>
      <c r="O391" s="94">
        <f t="shared" si="203"/>
        <v>4218.8693402509853</v>
      </c>
      <c r="P391" s="94">
        <f t="shared" si="203"/>
        <v>4148.6779461593942</v>
      </c>
      <c r="Q391" s="94">
        <f t="shared" si="203"/>
        <v>4136.7916084221779</v>
      </c>
      <c r="R391" s="94">
        <f t="shared" si="203"/>
        <v>4203.4694485973632</v>
      </c>
      <c r="S391" s="94">
        <f t="shared" si="203"/>
        <v>4250.3533206603497</v>
      </c>
    </row>
    <row r="392" spans="2:19" ht="22.5" customHeight="1">
      <c r="B392" s="35" t="s">
        <v>616</v>
      </c>
      <c r="C392" s="35" t="s">
        <v>311</v>
      </c>
      <c r="D392" s="54"/>
      <c r="E392" s="35"/>
      <c r="F392" s="35"/>
      <c r="G392" s="35"/>
      <c r="H392" s="35"/>
      <c r="I392" s="35"/>
      <c r="J392" s="88">
        <f t="shared" ref="J392:S392" si="204">J391*J377</f>
        <v>2325.9272529205332</v>
      </c>
      <c r="K392" s="88">
        <f t="shared" si="204"/>
        <v>2991.7316324003164</v>
      </c>
      <c r="L392" s="88">
        <f t="shared" si="204"/>
        <v>2620.7522543047121</v>
      </c>
      <c r="M392" s="88">
        <f t="shared" si="204"/>
        <v>2580.4669238834531</v>
      </c>
      <c r="N392" s="88">
        <f t="shared" si="204"/>
        <v>2443.7559590910887</v>
      </c>
      <c r="O392" s="88">
        <f t="shared" si="204"/>
        <v>2194.0366272885599</v>
      </c>
      <c r="P392" s="88">
        <f t="shared" si="204"/>
        <v>1927.9198818338518</v>
      </c>
      <c r="Q392" s="88">
        <f t="shared" si="204"/>
        <v>1716.0686191270997</v>
      </c>
      <c r="R392" s="88">
        <f t="shared" si="204"/>
        <v>1555.0035241498838</v>
      </c>
      <c r="S392" s="88">
        <f t="shared" si="204"/>
        <v>1400.7549504543183</v>
      </c>
    </row>
    <row r="393" spans="2:19" ht="22.5" customHeight="1">
      <c r="B393" s="35" t="s">
        <v>617</v>
      </c>
      <c r="C393" s="35" t="s">
        <v>311</v>
      </c>
      <c r="D393" s="54"/>
      <c r="E393" s="88">
        <f>$S$175*($E$382-$S$378)/($S$378-$E$31)</f>
        <v>40974.512768517998</v>
      </c>
      <c r="F393" s="35"/>
      <c r="G393" s="35"/>
      <c r="H393" s="35"/>
      <c r="I393" s="35"/>
      <c r="J393" s="35"/>
      <c r="K393" s="35"/>
      <c r="L393" s="35"/>
      <c r="M393" s="35"/>
      <c r="N393" s="35"/>
      <c r="O393" s="35"/>
      <c r="P393" s="35"/>
      <c r="Q393" s="35"/>
      <c r="R393" s="35"/>
      <c r="S393" s="35"/>
    </row>
    <row r="394" spans="2:19" ht="18" customHeight="1">
      <c r="B394" s="56" t="s">
        <v>618</v>
      </c>
      <c r="C394" s="56" t="s">
        <v>311</v>
      </c>
      <c r="D394" s="57"/>
      <c r="E394" s="101">
        <f>$E$393*$S$377</f>
        <v>13503.642467548589</v>
      </c>
    </row>
    <row r="395" spans="2:19" ht="18" customHeight="1">
      <c r="B395" s="56" t="s">
        <v>619</v>
      </c>
      <c r="C395" s="56" t="s">
        <v>311</v>
      </c>
      <c r="D395" s="57"/>
      <c r="E395" s="101">
        <f>$I$175+SUM($J$392:$S$392)+$E$394</f>
        <v>87212.934093002419</v>
      </c>
    </row>
    <row r="396" spans="2:19" ht="22.5" customHeight="1">
      <c r="B396" s="35" t="s">
        <v>620</v>
      </c>
      <c r="C396" s="35" t="s">
        <v>185</v>
      </c>
      <c r="D396" s="54"/>
      <c r="E396" s="88">
        <f>$E$395/$E$21*1000</f>
        <v>1890.62070566496</v>
      </c>
      <c r="F396" s="35"/>
      <c r="G396" s="35"/>
      <c r="H396" s="35"/>
      <c r="I396" s="35"/>
      <c r="J396" s="35"/>
      <c r="K396" s="35"/>
      <c r="L396" s="35"/>
      <c r="M396" s="35"/>
      <c r="N396" s="35"/>
      <c r="O396" s="35"/>
      <c r="P396" s="35"/>
      <c r="Q396" s="35"/>
      <c r="R396" s="35"/>
      <c r="S396" s="35"/>
    </row>
    <row r="397" spans="2:19" ht="18" customHeight="1">
      <c r="B397" s="56"/>
      <c r="C397" s="56"/>
      <c r="D397" s="57"/>
      <c r="E397" s="101"/>
    </row>
    <row r="398" spans="2:19" ht="27" customHeight="1">
      <c r="B398" s="24" t="s">
        <v>621</v>
      </c>
      <c r="C398" s="24"/>
      <c r="D398" s="24"/>
      <c r="E398" s="44" t="s">
        <v>223</v>
      </c>
      <c r="F398" s="44" t="s">
        <v>224</v>
      </c>
      <c r="G398" s="44" t="s">
        <v>225</v>
      </c>
      <c r="H398" s="44" t="s">
        <v>226</v>
      </c>
      <c r="I398" s="44" t="s">
        <v>93</v>
      </c>
      <c r="J398" s="44" t="s">
        <v>94</v>
      </c>
      <c r="K398" s="44" t="s">
        <v>227</v>
      </c>
      <c r="L398" s="44" t="s">
        <v>95</v>
      </c>
      <c r="M398" s="44" t="s">
        <v>228</v>
      </c>
      <c r="N398" s="44" t="s">
        <v>96</v>
      </c>
      <c r="O398" s="44" t="s">
        <v>229</v>
      </c>
      <c r="P398" s="44" t="s">
        <v>230</v>
      </c>
      <c r="Q398" s="44" t="s">
        <v>231</v>
      </c>
      <c r="R398" s="44" t="s">
        <v>232</v>
      </c>
      <c r="S398" s="44" t="s">
        <v>97</v>
      </c>
    </row>
    <row r="399" spans="2:19" ht="18" customHeight="1">
      <c r="B399" s="56" t="s">
        <v>622</v>
      </c>
      <c r="C399" s="56" t="s">
        <v>623</v>
      </c>
      <c r="D399" s="57"/>
      <c r="E399" s="114">
        <f>($E$22-DATE(2025,12,31))/365</f>
        <v>0.77260273972602744</v>
      </c>
    </row>
    <row r="400" spans="2:19" ht="22.5" customHeight="1">
      <c r="B400" s="35" t="s">
        <v>624</v>
      </c>
      <c r="C400" s="35" t="s">
        <v>185</v>
      </c>
      <c r="D400" s="54"/>
      <c r="E400" s="126">
        <f>IF($E$22&gt;=$E$23,$J$339/$E$21*1000,0)</f>
        <v>32.81007759500153</v>
      </c>
      <c r="F400" s="35"/>
      <c r="G400" s="35"/>
      <c r="H400" s="35"/>
      <c r="I400" s="35"/>
      <c r="J400" s="35"/>
      <c r="K400" s="35"/>
      <c r="L400" s="35"/>
      <c r="M400" s="35"/>
      <c r="N400" s="35"/>
      <c r="O400" s="35"/>
      <c r="P400" s="35"/>
      <c r="Q400" s="35"/>
      <c r="R400" s="35"/>
      <c r="S400" s="35"/>
    </row>
    <row r="401" spans="2:19" ht="22.5" customHeight="1">
      <c r="B401" s="35" t="s">
        <v>625</v>
      </c>
      <c r="C401" s="35" t="s">
        <v>185</v>
      </c>
      <c r="D401" s="54"/>
      <c r="E401" s="126">
        <f>$K$339/$E$21*1000</f>
        <v>40.162861951591054</v>
      </c>
      <c r="F401" s="35"/>
      <c r="G401" s="35"/>
      <c r="H401" s="35"/>
      <c r="I401" s="35"/>
      <c r="J401" s="35"/>
      <c r="K401" s="35"/>
      <c r="L401" s="35"/>
      <c r="M401" s="35"/>
      <c r="N401" s="35"/>
      <c r="O401" s="35"/>
      <c r="P401" s="35"/>
      <c r="Q401" s="35"/>
      <c r="R401" s="35"/>
      <c r="S401" s="35"/>
    </row>
    <row r="402" spans="2:19" ht="22.5" customHeight="1">
      <c r="B402" s="35" t="s">
        <v>626</v>
      </c>
      <c r="C402" s="35" t="s">
        <v>185</v>
      </c>
      <c r="D402" s="54"/>
      <c r="E402" s="88">
        <f>$E$387*(1+$E$34)^$E$399-$E$400</f>
        <v>2019.8393035289646</v>
      </c>
      <c r="F402" s="35"/>
      <c r="G402" s="35"/>
      <c r="H402" s="35"/>
      <c r="I402" s="35"/>
      <c r="J402" s="35"/>
      <c r="K402" s="35"/>
      <c r="L402" s="35"/>
      <c r="M402" s="35"/>
      <c r="N402" s="35"/>
      <c r="O402" s="35"/>
      <c r="P402" s="35"/>
      <c r="Q402" s="35"/>
      <c r="R402" s="35"/>
      <c r="S402" s="35"/>
    </row>
    <row r="403" spans="2:19" ht="22.5" customHeight="1">
      <c r="B403" s="35" t="s">
        <v>627</v>
      </c>
      <c r="C403" s="35" t="s">
        <v>185</v>
      </c>
      <c r="D403" s="54"/>
      <c r="E403" s="88">
        <f>$E$396*(1+$E$34)^$E$399-$E$400</f>
        <v>2019.8393035289655</v>
      </c>
      <c r="F403" s="35"/>
      <c r="G403" s="35"/>
      <c r="H403" s="35"/>
      <c r="I403" s="35"/>
      <c r="J403" s="35"/>
      <c r="K403" s="35"/>
      <c r="L403" s="35"/>
      <c r="M403" s="35"/>
      <c r="N403" s="35"/>
      <c r="O403" s="35"/>
      <c r="P403" s="35"/>
      <c r="Q403" s="35"/>
      <c r="R403" s="35"/>
      <c r="S403" s="35"/>
    </row>
    <row r="404" spans="2:19" ht="22.5" customHeight="1">
      <c r="B404" s="35" t="s">
        <v>628</v>
      </c>
      <c r="C404" s="35" t="s">
        <v>185</v>
      </c>
      <c r="D404" s="54"/>
      <c r="E404" s="88">
        <f>$E$402*(1+$E$34)-$E$401</f>
        <v>2206.4988206071985</v>
      </c>
      <c r="F404" s="35"/>
      <c r="G404" s="35"/>
      <c r="H404" s="35"/>
      <c r="I404" s="35"/>
      <c r="J404" s="35"/>
      <c r="K404" s="35"/>
      <c r="L404" s="35"/>
      <c r="M404" s="35"/>
      <c r="N404" s="35"/>
      <c r="O404" s="35"/>
      <c r="P404" s="35"/>
      <c r="Q404" s="35"/>
      <c r="R404" s="35"/>
      <c r="S404" s="35"/>
    </row>
    <row r="405" spans="2:19" ht="22.5" customHeight="1">
      <c r="B405" s="35" t="s">
        <v>629</v>
      </c>
      <c r="C405" s="35" t="s">
        <v>185</v>
      </c>
      <c r="D405" s="54"/>
      <c r="E405" s="88">
        <f>$E$403*(1+$E$34)-$E$401</f>
        <v>2206.4988206071994</v>
      </c>
      <c r="F405" s="35"/>
      <c r="G405" s="35"/>
      <c r="H405" s="35"/>
      <c r="I405" s="35"/>
      <c r="J405" s="35"/>
      <c r="K405" s="35"/>
      <c r="L405" s="35"/>
      <c r="M405" s="35"/>
      <c r="N405" s="35"/>
      <c r="O405" s="35"/>
      <c r="P405" s="35"/>
      <c r="Q405" s="35"/>
      <c r="R405" s="35"/>
      <c r="S405" s="35"/>
    </row>
    <row r="406" spans="2:19" ht="22.5" customHeight="1">
      <c r="B406" s="35" t="s">
        <v>630</v>
      </c>
      <c r="C406" s="35" t="s">
        <v>185</v>
      </c>
      <c r="D406" s="54"/>
      <c r="E406" s="88">
        <f>(1-$E$29)*AVERAGE($E$404,$E$405)+$E$29*($E$411*(1+$E$34)-$E$401)</f>
        <v>1881.1248033402114</v>
      </c>
      <c r="F406" s="35"/>
      <c r="G406" s="35"/>
      <c r="H406" s="35"/>
      <c r="I406" s="35"/>
      <c r="J406" s="35"/>
      <c r="K406" s="35"/>
      <c r="L406" s="35"/>
      <c r="M406" s="35"/>
      <c r="N406" s="35"/>
      <c r="O406" s="35"/>
      <c r="P406" s="35"/>
      <c r="Q406" s="35"/>
      <c r="R406" s="35"/>
      <c r="S406" s="35"/>
    </row>
    <row r="407" spans="2:19" ht="18" customHeight="1">
      <c r="B407" s="56" t="s">
        <v>631</v>
      </c>
      <c r="C407" s="56" t="s">
        <v>168</v>
      </c>
      <c r="D407" s="57"/>
      <c r="E407" s="70">
        <f>$E$406/$E$20-1</f>
        <v>0.71792219483124331</v>
      </c>
    </row>
    <row r="408" spans="2:19" ht="18" customHeight="1">
      <c r="B408" s="128" t="s">
        <v>632</v>
      </c>
      <c r="C408" s="128"/>
      <c r="D408" s="129"/>
      <c r="E408" s="130" t="str">
        <f>IF($E$407&gt;0.15,"BUY",IF($E$407&lt;-0.1,"SELL","HOLD"))</f>
        <v>BUY</v>
      </c>
      <c r="F408" s="28"/>
      <c r="G408" s="28"/>
      <c r="H408" s="28"/>
      <c r="I408" s="28"/>
      <c r="J408" s="28"/>
      <c r="K408" s="28"/>
      <c r="L408" s="28"/>
      <c r="M408" s="28"/>
      <c r="N408" s="28"/>
      <c r="O408" s="28"/>
      <c r="P408" s="28"/>
      <c r="Q408" s="28"/>
      <c r="R408" s="28"/>
      <c r="S408" s="28"/>
    </row>
    <row r="409" spans="2:19" ht="22.5" customHeight="1">
      <c r="B409" s="35" t="s">
        <v>633</v>
      </c>
      <c r="C409" s="35" t="s">
        <v>200</v>
      </c>
      <c r="D409" s="54"/>
      <c r="E409" s="131">
        <f>$E$406/$J$351</f>
        <v>1.4742427406059562</v>
      </c>
      <c r="F409" s="35"/>
      <c r="G409" s="35"/>
      <c r="H409" s="35"/>
      <c r="I409" s="35"/>
      <c r="J409" s="35"/>
      <c r="K409" s="35"/>
      <c r="L409" s="35"/>
      <c r="M409" s="35"/>
      <c r="N409" s="35"/>
      <c r="O409" s="35"/>
      <c r="P409" s="35"/>
      <c r="Q409" s="35"/>
      <c r="R409" s="35"/>
      <c r="S409" s="35"/>
    </row>
    <row r="410" spans="2:19" ht="22.5" customHeight="1">
      <c r="B410" s="35" t="s">
        <v>634</v>
      </c>
      <c r="C410" s="35" t="s">
        <v>200</v>
      </c>
      <c r="D410" s="54"/>
      <c r="E410" s="118">
        <f>$E$406/$K$350</f>
        <v>8.9744505577649356</v>
      </c>
      <c r="F410" s="35"/>
      <c r="G410" s="35"/>
      <c r="H410" s="35"/>
      <c r="I410" s="35"/>
      <c r="J410" s="35"/>
      <c r="K410" s="35"/>
      <c r="L410" s="35"/>
      <c r="M410" s="35"/>
      <c r="N410" s="35"/>
      <c r="O410" s="35"/>
      <c r="P410" s="35"/>
      <c r="Q410" s="35"/>
      <c r="R410" s="35"/>
      <c r="S410" s="35"/>
    </row>
    <row r="411" spans="2:19" ht="18" customHeight="1">
      <c r="B411" s="132" t="s">
        <v>635</v>
      </c>
      <c r="C411" s="132" t="s">
        <v>185</v>
      </c>
      <c r="D411" s="12" t="s">
        <v>636</v>
      </c>
      <c r="E411" s="101">
        <f>$F$411*$E$474+(1-$F$411)*$E$480</f>
        <v>1142.266280151722</v>
      </c>
      <c r="F411" s="133">
        <v>0.7</v>
      </c>
    </row>
    <row r="412" spans="2:19" ht="27" customHeight="1">
      <c r="B412" s="24" t="s">
        <v>637</v>
      </c>
      <c r="C412" s="24"/>
      <c r="D412" s="24"/>
      <c r="E412" s="44" t="s">
        <v>223</v>
      </c>
      <c r="F412" s="44" t="s">
        <v>224</v>
      </c>
      <c r="G412" s="44" t="s">
        <v>225</v>
      </c>
      <c r="H412" s="44" t="s">
        <v>226</v>
      </c>
      <c r="I412" s="44" t="s">
        <v>93</v>
      </c>
      <c r="J412" s="44" t="s">
        <v>94</v>
      </c>
      <c r="K412" s="44" t="s">
        <v>227</v>
      </c>
      <c r="L412" s="44" t="s">
        <v>95</v>
      </c>
      <c r="M412" s="44" t="s">
        <v>228</v>
      </c>
      <c r="N412" s="44" t="s">
        <v>96</v>
      </c>
      <c r="O412" s="44" t="s">
        <v>229</v>
      </c>
      <c r="P412" s="44" t="s">
        <v>230</v>
      </c>
      <c r="Q412" s="44" t="s">
        <v>231</v>
      </c>
      <c r="R412" s="44" t="s">
        <v>232</v>
      </c>
      <c r="S412" s="44" t="s">
        <v>97</v>
      </c>
    </row>
    <row r="413" spans="2:19" ht="22.5" customHeight="1">
      <c r="B413" s="35" t="s">
        <v>638</v>
      </c>
      <c r="C413" s="35" t="s">
        <v>200</v>
      </c>
      <c r="D413" s="54"/>
      <c r="E413" s="131">
        <f>$E$20/$I$351</f>
        <v>0.97225688996531734</v>
      </c>
      <c r="F413" s="35"/>
      <c r="G413" s="35"/>
      <c r="H413" s="35"/>
      <c r="I413" s="35"/>
      <c r="J413" s="35"/>
      <c r="K413" s="35"/>
      <c r="L413" s="35"/>
      <c r="M413" s="35"/>
      <c r="N413" s="35"/>
      <c r="O413" s="35"/>
      <c r="P413" s="35"/>
      <c r="Q413" s="35"/>
      <c r="R413" s="35"/>
      <c r="S413" s="35"/>
    </row>
    <row r="414" spans="2:19" ht="22.5" customHeight="1">
      <c r="B414" s="35" t="s">
        <v>639</v>
      </c>
      <c r="C414" s="35" t="s">
        <v>168</v>
      </c>
      <c r="D414" s="54"/>
      <c r="E414" s="59">
        <f>$E$413*($S$378-$E$31)+$E$31</f>
        <v>0.1203499089723121</v>
      </c>
      <c r="F414" s="35"/>
      <c r="G414" s="35"/>
      <c r="H414" s="35"/>
      <c r="I414" s="35"/>
      <c r="J414" s="35"/>
      <c r="K414" s="35"/>
      <c r="L414" s="35"/>
      <c r="M414" s="35"/>
      <c r="N414" s="35"/>
      <c r="O414" s="35"/>
      <c r="P414" s="35"/>
      <c r="Q414" s="35"/>
      <c r="R414" s="35"/>
      <c r="S414" s="35"/>
    </row>
    <row r="415" spans="2:19" ht="18" customHeight="1">
      <c r="B415" s="56" t="s">
        <v>640</v>
      </c>
      <c r="C415" s="56" t="s">
        <v>200</v>
      </c>
      <c r="D415" s="57"/>
      <c r="E415" s="119">
        <f>($E$382-$E$31)/($S$378-$E$31)</f>
        <v>1.258064516129032</v>
      </c>
    </row>
    <row r="416" spans="2:19" ht="18" customHeight="1">
      <c r="B416" s="56" t="s">
        <v>641</v>
      </c>
      <c r="C416" s="56" t="s">
        <v>311</v>
      </c>
      <c r="D416" s="57"/>
      <c r="J416" s="94">
        <f t="shared" ref="J416:S416" si="205">J154+J111-$E$35*(J319-I319)</f>
        <v>2135.8050512670752</v>
      </c>
      <c r="K416" s="94">
        <f t="shared" si="205"/>
        <v>3776.322924571532</v>
      </c>
      <c r="L416" s="94">
        <f t="shared" si="205"/>
        <v>5313.7998585242885</v>
      </c>
      <c r="M416" s="94">
        <f t="shared" si="205"/>
        <v>6691.8278065319428</v>
      </c>
      <c r="N416" s="94">
        <f t="shared" si="205"/>
        <v>8092.1549578230479</v>
      </c>
      <c r="O416" s="94">
        <f t="shared" si="205"/>
        <v>9327.2378089986414</v>
      </c>
      <c r="P416" s="94">
        <f t="shared" si="205"/>
        <v>10695.605152923494</v>
      </c>
      <c r="Q416" s="94">
        <f t="shared" si="205"/>
        <v>12170.846662554944</v>
      </c>
      <c r="R416" s="94">
        <f t="shared" si="205"/>
        <v>13739.512285318604</v>
      </c>
      <c r="S416" s="94">
        <f t="shared" si="205"/>
        <v>15388.17147700283</v>
      </c>
    </row>
    <row r="417" spans="2:19" ht="22.5" customHeight="1">
      <c r="B417" s="35" t="s">
        <v>642</v>
      </c>
      <c r="C417" s="35" t="s">
        <v>200</v>
      </c>
      <c r="D417" s="54" t="s">
        <v>643</v>
      </c>
      <c r="E417" s="118">
        <f>SUM($J$416:$S$416)/SUM($J$339:$S$339)</f>
        <v>1.5359983003967956</v>
      </c>
      <c r="F417" s="35"/>
      <c r="G417" s="35"/>
      <c r="H417" s="35"/>
      <c r="I417" s="35"/>
      <c r="J417" s="35"/>
      <c r="K417" s="35"/>
      <c r="L417" s="35"/>
      <c r="M417" s="35"/>
      <c r="N417" s="35"/>
      <c r="O417" s="35"/>
      <c r="P417" s="35"/>
      <c r="Q417" s="35"/>
      <c r="R417" s="35"/>
      <c r="S417" s="35"/>
    </row>
    <row r="418" spans="2:19" ht="18" customHeight="1">
      <c r="B418" s="56" t="s">
        <v>644</v>
      </c>
      <c r="C418" s="56" t="s">
        <v>168</v>
      </c>
      <c r="D418" s="57"/>
      <c r="E418" s="127">
        <f>$E$387/$E$396-1</f>
        <v>0</v>
      </c>
    </row>
    <row r="419" spans="2:19" ht="18" customHeight="1">
      <c r="B419" s="56" t="s">
        <v>645</v>
      </c>
      <c r="C419" s="56"/>
      <c r="D419" s="57"/>
      <c r="E419" s="121">
        <f>IF(ABS($E$418)&gt;0.25,1,0)</f>
        <v>0</v>
      </c>
    </row>
    <row r="420" spans="2:19" ht="18" customHeight="1">
      <c r="B420" s="56" t="s">
        <v>646</v>
      </c>
      <c r="C420" s="56"/>
      <c r="D420" s="57"/>
      <c r="E420" s="58" t="str">
        <f>IF(SUM($E$362:$S$362,$E$363:$S$363,$E$364:$S$364,$E$365:$S$365,$E$366:$S$366,$E$367:$S$367,$E$368:$S$368,$E$369:$S$369,$E$370:$S$370,$E$371:$S$371,$E$372:$S$372,$E$373:$S$373)+$E$419=0,"OK","CHECK")</f>
        <v>OK</v>
      </c>
    </row>
    <row r="421" spans="2:19" ht="18" customHeight="1">
      <c r="D421" s="70"/>
      <c r="E421" s="101"/>
      <c r="F421" s="101"/>
      <c r="G421" s="101"/>
      <c r="H421" s="101"/>
      <c r="I421" s="101"/>
    </row>
    <row r="422" spans="2:19" ht="27" customHeight="1">
      <c r="B422" s="24" t="s">
        <v>647</v>
      </c>
      <c r="C422" s="24"/>
      <c r="D422" s="24"/>
      <c r="E422" s="24"/>
      <c r="F422" s="24"/>
      <c r="G422" s="24"/>
      <c r="H422" s="24"/>
      <c r="I422" s="24"/>
      <c r="J422" s="24"/>
      <c r="K422" s="24"/>
      <c r="L422" s="24"/>
      <c r="M422" s="24"/>
      <c r="N422" s="24"/>
      <c r="O422" s="24"/>
      <c r="P422" s="24"/>
      <c r="Q422" s="24"/>
      <c r="R422" s="24"/>
      <c r="S422" s="24"/>
    </row>
    <row r="423" spans="2:19" ht="22.5" customHeight="1">
      <c r="B423" s="35"/>
      <c r="C423" s="35"/>
      <c r="D423" s="35"/>
      <c r="E423" s="35" t="s">
        <v>123</v>
      </c>
      <c r="F423" s="35" t="s">
        <v>124</v>
      </c>
      <c r="G423" s="35" t="s">
        <v>125</v>
      </c>
      <c r="H423" s="35" t="s">
        <v>126</v>
      </c>
      <c r="I423" s="35"/>
      <c r="J423" s="35"/>
      <c r="K423" s="35"/>
      <c r="L423" s="35"/>
      <c r="M423" s="35"/>
      <c r="N423" s="35"/>
      <c r="O423" s="35"/>
      <c r="P423" s="35"/>
      <c r="Q423" s="35"/>
      <c r="R423" s="35"/>
      <c r="S423" s="35"/>
    </row>
    <row r="424" spans="2:19" ht="22.5" customHeight="1">
      <c r="B424" s="35" t="s">
        <v>648</v>
      </c>
      <c r="C424" s="35"/>
      <c r="D424" s="35"/>
      <c r="E424" s="88">
        <v>7187.5912142575198</v>
      </c>
      <c r="F424" s="88">
        <v>8421.2868241320502</v>
      </c>
      <c r="G424" s="88">
        <v>9439.5669964264398</v>
      </c>
      <c r="H424" s="88">
        <f t="shared" ref="H424:H442" si="206">$E$5*E424+$F$5*F424+$G$5*G424</f>
        <v>8273.6006404799773</v>
      </c>
      <c r="I424" s="35"/>
      <c r="J424" s="35"/>
      <c r="K424" s="35"/>
      <c r="L424" s="35"/>
      <c r="M424" s="35"/>
      <c r="N424" s="35"/>
      <c r="O424" s="35"/>
      <c r="P424" s="35"/>
      <c r="Q424" s="35"/>
      <c r="R424" s="35"/>
      <c r="S424" s="35"/>
    </row>
    <row r="425" spans="2:19" ht="22.5" customHeight="1">
      <c r="B425" s="35" t="s">
        <v>649</v>
      </c>
      <c r="C425" s="35"/>
      <c r="D425" s="35"/>
      <c r="E425" s="88">
        <v>8099.6976793952799</v>
      </c>
      <c r="F425" s="88">
        <v>10381.774224213899</v>
      </c>
      <c r="G425" s="88">
        <v>12291.979920919701</v>
      </c>
      <c r="H425" s="88">
        <f t="shared" si="206"/>
        <v>10114.128085455512</v>
      </c>
      <c r="I425" s="35"/>
      <c r="J425" s="35"/>
      <c r="K425" s="35"/>
      <c r="L425" s="35"/>
      <c r="M425" s="35"/>
      <c r="N425" s="35"/>
      <c r="O425" s="35"/>
      <c r="P425" s="35"/>
      <c r="Q425" s="35"/>
      <c r="R425" s="35"/>
      <c r="S425" s="35"/>
    </row>
    <row r="426" spans="2:19" ht="22.5" customHeight="1">
      <c r="B426" s="35" t="s">
        <v>128</v>
      </c>
      <c r="C426" s="35"/>
      <c r="D426" s="35"/>
      <c r="E426" s="88">
        <v>10838.648748440601</v>
      </c>
      <c r="F426" s="88">
        <v>15139.179114098901</v>
      </c>
      <c r="G426" s="88">
        <v>19313.348140843402</v>
      </c>
      <c r="H426" s="88">
        <f t="shared" si="206"/>
        <v>14754.476304687001</v>
      </c>
      <c r="I426" s="35"/>
      <c r="J426" s="35"/>
      <c r="K426" s="35"/>
      <c r="L426" s="35"/>
      <c r="M426" s="35"/>
      <c r="N426" s="35"/>
      <c r="O426" s="35"/>
      <c r="P426" s="35"/>
      <c r="Q426" s="35"/>
      <c r="R426" s="35"/>
      <c r="S426" s="35"/>
    </row>
    <row r="427" spans="2:19" ht="22.5" customHeight="1">
      <c r="B427" s="35" t="s">
        <v>650</v>
      </c>
      <c r="C427" s="35"/>
      <c r="D427" s="35"/>
      <c r="E427" s="88">
        <v>14253.0009424117</v>
      </c>
      <c r="F427" s="88">
        <v>22490.8292774074</v>
      </c>
      <c r="G427" s="88">
        <v>31436.264818363299</v>
      </c>
      <c r="H427" s="88">
        <f t="shared" si="206"/>
        <v>21951.7617507328</v>
      </c>
      <c r="I427" s="35"/>
      <c r="J427" s="35"/>
      <c r="K427" s="35"/>
      <c r="L427" s="35"/>
      <c r="M427" s="35"/>
      <c r="N427" s="35"/>
      <c r="O427" s="35"/>
      <c r="P427" s="35"/>
      <c r="Q427" s="35"/>
      <c r="R427" s="35"/>
      <c r="S427" s="35"/>
    </row>
    <row r="428" spans="2:19" ht="22.5" customHeight="1">
      <c r="B428" s="35" t="s">
        <v>651</v>
      </c>
      <c r="C428" s="35"/>
      <c r="D428" s="35"/>
      <c r="E428" s="59">
        <v>0.13118456036293999</v>
      </c>
      <c r="F428" s="59">
        <v>0.15199022731428399</v>
      </c>
      <c r="G428" s="59">
        <v>0.168817207965509</v>
      </c>
      <c r="H428" s="59">
        <f t="shared" si="206"/>
        <v>0.14942752875581386</v>
      </c>
      <c r="I428" s="35"/>
      <c r="J428" s="35"/>
      <c r="K428" s="35"/>
      <c r="L428" s="35"/>
      <c r="M428" s="35"/>
      <c r="N428" s="35"/>
      <c r="O428" s="35"/>
      <c r="P428" s="35"/>
      <c r="Q428" s="35"/>
      <c r="R428" s="35"/>
      <c r="S428" s="35"/>
    </row>
    <row r="429" spans="2:19" ht="22.5" customHeight="1">
      <c r="B429" s="35" t="s">
        <v>129</v>
      </c>
      <c r="C429" s="35"/>
      <c r="D429" s="35"/>
      <c r="E429" s="59">
        <v>0.106201613098782</v>
      </c>
      <c r="F429" s="59">
        <v>0.146197149735769</v>
      </c>
      <c r="G429" s="59">
        <v>0.17805393254417001</v>
      </c>
      <c r="H429" s="59">
        <f t="shared" si="206"/>
        <v>0.14116861463506467</v>
      </c>
      <c r="I429" s="35"/>
      <c r="J429" s="35"/>
      <c r="K429" s="35"/>
      <c r="L429" s="35"/>
      <c r="M429" s="35"/>
      <c r="N429" s="35"/>
      <c r="O429" s="35"/>
      <c r="P429" s="35"/>
      <c r="Q429" s="35"/>
      <c r="R429" s="35"/>
      <c r="S429" s="35"/>
    </row>
    <row r="430" spans="2:19" ht="22.5" customHeight="1">
      <c r="B430" s="35" t="s">
        <v>652</v>
      </c>
      <c r="C430" s="35"/>
      <c r="D430" s="35"/>
      <c r="E430" s="71">
        <v>5.2577842335811399E-2</v>
      </c>
      <c r="F430" s="71">
        <v>5.4810324245377399E-2</v>
      </c>
      <c r="G430" s="71">
        <v>5.6873555746683097E-2</v>
      </c>
      <c r="H430" s="71">
        <f t="shared" si="206"/>
        <v>5.4589023584526004E-2</v>
      </c>
      <c r="I430" s="35"/>
      <c r="J430" s="35"/>
      <c r="K430" s="35"/>
      <c r="L430" s="35"/>
      <c r="M430" s="35"/>
      <c r="N430" s="35"/>
      <c r="O430" s="35"/>
      <c r="P430" s="35"/>
      <c r="Q430" s="35"/>
      <c r="R430" s="35"/>
      <c r="S430" s="35"/>
    </row>
    <row r="431" spans="2:19" ht="22.5" customHeight="1">
      <c r="B431" s="35" t="s">
        <v>653</v>
      </c>
      <c r="C431" s="35"/>
      <c r="D431" s="35"/>
      <c r="E431" s="88">
        <v>623485.70866600994</v>
      </c>
      <c r="F431" s="88">
        <v>813919.227734557</v>
      </c>
      <c r="G431" s="88">
        <v>991834.35137915204</v>
      </c>
      <c r="H431" s="88">
        <f t="shared" si="206"/>
        <v>795441.76876552147</v>
      </c>
      <c r="I431" s="35"/>
      <c r="J431" s="35"/>
      <c r="K431" s="35"/>
      <c r="L431" s="35"/>
      <c r="M431" s="35"/>
      <c r="N431" s="35"/>
      <c r="O431" s="35"/>
      <c r="P431" s="35"/>
      <c r="Q431" s="35"/>
      <c r="R431" s="35"/>
      <c r="S431" s="35"/>
    </row>
    <row r="432" spans="2:19" ht="22.5" customHeight="1">
      <c r="B432" s="35" t="s">
        <v>654</v>
      </c>
      <c r="C432" s="35"/>
      <c r="D432" s="35"/>
      <c r="E432" s="59">
        <v>0.30553799956264999</v>
      </c>
      <c r="F432" s="59">
        <v>0.26696652662695503</v>
      </c>
      <c r="G432" s="59">
        <v>0.25102215284204799</v>
      </c>
      <c r="H432" s="59">
        <f t="shared" si="206"/>
        <v>0.27489479502801045</v>
      </c>
      <c r="I432" s="35"/>
      <c r="J432" s="35"/>
      <c r="K432" s="35"/>
      <c r="L432" s="35"/>
      <c r="M432" s="35"/>
      <c r="N432" s="35"/>
      <c r="O432" s="35"/>
      <c r="P432" s="35"/>
      <c r="Q432" s="35"/>
      <c r="R432" s="35"/>
      <c r="S432" s="35"/>
    </row>
    <row r="433" spans="2:19" ht="22.5" customHeight="1">
      <c r="B433" s="35" t="s">
        <v>655</v>
      </c>
      <c r="C433" s="35"/>
      <c r="D433" s="35"/>
      <c r="E433" s="88">
        <v>2612.6247062890502</v>
      </c>
      <c r="F433" s="88">
        <v>2999.7819160518702</v>
      </c>
      <c r="G433" s="88">
        <v>3455.01779510398</v>
      </c>
      <c r="H433" s="88">
        <f t="shared" si="206"/>
        <v>2981.7018713402376</v>
      </c>
      <c r="I433" s="35"/>
      <c r="J433" s="35"/>
      <c r="K433" s="35"/>
      <c r="L433" s="35"/>
      <c r="M433" s="35"/>
      <c r="N433" s="35"/>
      <c r="O433" s="35"/>
      <c r="P433" s="35"/>
      <c r="Q433" s="35"/>
      <c r="R433" s="35"/>
      <c r="S433" s="35"/>
    </row>
    <row r="434" spans="2:19" ht="22.5" customHeight="1">
      <c r="B434" s="35" t="s">
        <v>656</v>
      </c>
      <c r="C434" s="35"/>
      <c r="D434" s="35"/>
      <c r="E434" s="88">
        <v>134.641981981344</v>
      </c>
      <c r="F434" s="88">
        <v>276.19957336102601</v>
      </c>
      <c r="G434" s="88">
        <v>415.75086016419499</v>
      </c>
      <c r="H434" s="88">
        <f t="shared" si="206"/>
        <v>263.98512729261228</v>
      </c>
      <c r="I434" s="35"/>
      <c r="J434" s="35"/>
      <c r="K434" s="35"/>
      <c r="L434" s="35"/>
      <c r="M434" s="35"/>
      <c r="N434" s="35"/>
      <c r="O434" s="35"/>
      <c r="P434" s="35"/>
      <c r="Q434" s="35"/>
      <c r="R434" s="35"/>
      <c r="S434" s="35"/>
    </row>
    <row r="435" spans="2:19" ht="22.5" customHeight="1">
      <c r="B435" s="35" t="s">
        <v>657</v>
      </c>
      <c r="C435" s="35"/>
      <c r="D435" s="35"/>
      <c r="E435" s="88">
        <v>1188.89915786559</v>
      </c>
      <c r="F435" s="88">
        <v>1890.62070566496</v>
      </c>
      <c r="G435" s="88">
        <v>2712.8764144942202</v>
      </c>
      <c r="H435" s="88">
        <f t="shared" si="206"/>
        <v>1857.2551935629062</v>
      </c>
      <c r="I435" s="35"/>
      <c r="J435" s="35"/>
      <c r="K435" s="35"/>
      <c r="L435" s="35"/>
      <c r="M435" s="35"/>
      <c r="N435" s="35"/>
      <c r="O435" s="35"/>
      <c r="P435" s="35"/>
      <c r="Q435" s="35"/>
      <c r="R435" s="35"/>
      <c r="S435" s="35"/>
    </row>
    <row r="436" spans="2:19" ht="22.5" customHeight="1">
      <c r="B436" s="35" t="s">
        <v>658</v>
      </c>
      <c r="C436" s="35"/>
      <c r="D436" s="35"/>
      <c r="E436" s="88">
        <v>1188.89915786559</v>
      </c>
      <c r="F436" s="88">
        <v>1890.62070566496</v>
      </c>
      <c r="G436" s="88">
        <v>2712.8764144942202</v>
      </c>
      <c r="H436" s="88">
        <f t="shared" si="206"/>
        <v>1857.2551935629062</v>
      </c>
      <c r="I436" s="35"/>
      <c r="J436" s="35"/>
      <c r="K436" s="35"/>
      <c r="L436" s="35"/>
      <c r="M436" s="35"/>
      <c r="N436" s="35"/>
      <c r="O436" s="35"/>
      <c r="P436" s="35"/>
      <c r="Q436" s="35"/>
      <c r="R436" s="35"/>
      <c r="S436" s="35"/>
    </row>
    <row r="437" spans="2:19" ht="22.5" customHeight="1">
      <c r="B437" s="35" t="s">
        <v>659</v>
      </c>
      <c r="C437" s="35"/>
      <c r="D437" s="35"/>
      <c r="E437" s="88">
        <v>1368.08407237864</v>
      </c>
      <c r="F437" s="88">
        <v>2206.4988206071998</v>
      </c>
      <c r="G437" s="88">
        <v>3188.4779975012202</v>
      </c>
      <c r="H437" s="88">
        <f t="shared" si="206"/>
        <v>2166.5401808934575</v>
      </c>
      <c r="I437" s="35"/>
      <c r="J437" s="35"/>
      <c r="K437" s="35"/>
      <c r="L437" s="35"/>
      <c r="M437" s="35"/>
      <c r="N437" s="35"/>
      <c r="O437" s="35"/>
      <c r="P437" s="35"/>
      <c r="Q437" s="35"/>
      <c r="R437" s="35"/>
      <c r="S437" s="35"/>
    </row>
    <row r="438" spans="2:19" ht="22.5" customHeight="1">
      <c r="B438" s="35" t="s">
        <v>660</v>
      </c>
      <c r="C438" s="35"/>
      <c r="D438" s="35"/>
      <c r="E438" s="88">
        <v>1368.08407237864</v>
      </c>
      <c r="F438" s="88">
        <v>2206.4988206071998</v>
      </c>
      <c r="G438" s="88">
        <v>3188.4779975012202</v>
      </c>
      <c r="H438" s="88">
        <f t="shared" si="206"/>
        <v>2166.5401808934575</v>
      </c>
      <c r="I438" s="35"/>
      <c r="J438" s="35"/>
      <c r="K438" s="35"/>
      <c r="L438" s="35"/>
      <c r="M438" s="35"/>
      <c r="N438" s="35"/>
      <c r="O438" s="35"/>
      <c r="P438" s="35"/>
      <c r="Q438" s="35"/>
      <c r="R438" s="35"/>
      <c r="S438" s="35"/>
    </row>
    <row r="439" spans="2:19" ht="22.5" customHeight="1">
      <c r="B439" s="35" t="s">
        <v>661</v>
      </c>
      <c r="C439" s="35"/>
      <c r="D439" s="35"/>
      <c r="E439" s="88">
        <v>1325.1816488269901</v>
      </c>
      <c r="F439" s="88">
        <v>1881.1248033402101</v>
      </c>
      <c r="G439" s="88">
        <v>2532.1124619561901</v>
      </c>
      <c r="H439" s="88">
        <f t="shared" si="206"/>
        <v>1854.5971454855166</v>
      </c>
      <c r="I439" s="35"/>
      <c r="J439" s="35"/>
      <c r="K439" s="35"/>
      <c r="L439" s="35"/>
      <c r="M439" s="35"/>
      <c r="N439" s="35"/>
      <c r="O439" s="35"/>
      <c r="P439" s="35"/>
      <c r="Q439" s="35"/>
      <c r="R439" s="35"/>
      <c r="S439" s="35"/>
    </row>
    <row r="440" spans="2:19" ht="18" customHeight="1">
      <c r="B440" s="56" t="s">
        <v>131</v>
      </c>
      <c r="E440" s="82">
        <f>E439/$E$20-1</f>
        <v>0.21021155144017367</v>
      </c>
      <c r="F440" s="82">
        <f>F439/$E$20-1</f>
        <v>0.71792219483124198</v>
      </c>
      <c r="G440" s="82">
        <f>G439/$E$20-1</f>
        <v>1.3124314721061099</v>
      </c>
      <c r="H440" s="70">
        <f t="shared" si="206"/>
        <v>0.69369602327444446</v>
      </c>
    </row>
    <row r="441" spans="2:19" ht="22.5" customHeight="1">
      <c r="B441" s="35" t="s">
        <v>662</v>
      </c>
      <c r="C441" s="35"/>
      <c r="D441" s="35"/>
      <c r="E441" s="131">
        <v>1.0607821091790299</v>
      </c>
      <c r="F441" s="131">
        <v>1.4742427406059599</v>
      </c>
      <c r="G441" s="131">
        <v>1.9506771685708899</v>
      </c>
      <c r="H441" s="131">
        <f t="shared" si="206"/>
        <v>1.4529072289324658</v>
      </c>
      <c r="I441" s="35"/>
      <c r="J441" s="35"/>
      <c r="K441" s="35"/>
      <c r="L441" s="35"/>
      <c r="M441" s="35"/>
      <c r="N441" s="35"/>
      <c r="O441" s="35"/>
      <c r="P441" s="35"/>
      <c r="Q441" s="35"/>
      <c r="R441" s="35"/>
      <c r="S441" s="35"/>
    </row>
    <row r="442" spans="2:19" ht="18" customHeight="1">
      <c r="B442" s="56" t="s">
        <v>663</v>
      </c>
      <c r="E442" s="82">
        <v>0.11229724000000001</v>
      </c>
      <c r="F442" s="82">
        <v>0.11229724000000001</v>
      </c>
      <c r="G442" s="82">
        <v>0.11229724000000001</v>
      </c>
      <c r="H442" s="70">
        <f t="shared" si="206"/>
        <v>0.11229724000000001</v>
      </c>
    </row>
    <row r="443" spans="2:19" ht="18" customHeight="1">
      <c r="B443" s="56" t="s">
        <v>664</v>
      </c>
    </row>
    <row r="444" spans="2:19" ht="18" customHeight="1">
      <c r="B444" s="56" t="s">
        <v>665</v>
      </c>
      <c r="E444" s="73" t="str">
        <f>IF(SUMPRODUCT(ABS($E$8:$E$15))&lt;&gt;0,"SHOCKS ON",IF(ABS(INDEX($E$439:$G$439,$E$3)-$E$406)&lt;1,"OK","STALE"))</f>
        <v>OK</v>
      </c>
    </row>
    <row r="445" spans="2:19" ht="18" customHeight="1">
      <c r="B445" s="73" t="s">
        <v>666</v>
      </c>
    </row>
    <row r="446" spans="2:19" ht="22.5" customHeight="1">
      <c r="B446" s="35"/>
      <c r="C446" s="35"/>
      <c r="D446" s="35"/>
      <c r="E446" s="35" t="s">
        <v>667</v>
      </c>
      <c r="F446" s="35" t="s">
        <v>668</v>
      </c>
      <c r="G446" s="35" t="s">
        <v>669</v>
      </c>
      <c r="H446" s="35" t="s">
        <v>670</v>
      </c>
      <c r="I446" s="35" t="s">
        <v>671</v>
      </c>
      <c r="J446" s="35"/>
      <c r="K446" s="35"/>
      <c r="L446" s="35"/>
      <c r="M446" s="35"/>
      <c r="N446" s="35"/>
      <c r="O446" s="35"/>
      <c r="P446" s="35"/>
      <c r="Q446" s="35"/>
      <c r="R446" s="35"/>
      <c r="S446" s="35"/>
    </row>
    <row r="447" spans="2:19" ht="18" customHeight="1">
      <c r="B447" s="11" t="s">
        <v>672</v>
      </c>
      <c r="E447" s="62">
        <v>1922.8365827231801</v>
      </c>
      <c r="F447" s="62">
        <v>1839.4130239572401</v>
      </c>
      <c r="G447" s="62">
        <v>1881.1248033402101</v>
      </c>
      <c r="H447" s="134">
        <f t="shared" ref="H447:H454" si="207">E447-G447</f>
        <v>41.711779382970008</v>
      </c>
      <c r="I447" s="134">
        <f t="shared" ref="I447:I454" si="208">F447-G447</f>
        <v>-41.711779382970008</v>
      </c>
    </row>
    <row r="448" spans="2:19" ht="18" customHeight="1">
      <c r="B448" s="11" t="s">
        <v>673</v>
      </c>
      <c r="E448" s="62">
        <v>1926.9578102656501</v>
      </c>
      <c r="F448" s="62">
        <v>1835.29179641477</v>
      </c>
      <c r="G448" s="62">
        <v>1881.1248033402101</v>
      </c>
      <c r="H448" s="134">
        <f t="shared" si="207"/>
        <v>45.833006925440031</v>
      </c>
      <c r="I448" s="134">
        <f t="shared" si="208"/>
        <v>-45.833006925440031</v>
      </c>
    </row>
    <row r="449" spans="2:19" ht="18" customHeight="1">
      <c r="B449" s="11" t="s">
        <v>674</v>
      </c>
      <c r="E449" s="62">
        <v>1879.49078788574</v>
      </c>
      <c r="F449" s="62">
        <v>1882.7588187946801</v>
      </c>
      <c r="G449" s="62">
        <v>1881.1248033402101</v>
      </c>
      <c r="H449" s="134">
        <f t="shared" si="207"/>
        <v>-1.6340154544700454</v>
      </c>
      <c r="I449" s="134">
        <f t="shared" si="208"/>
        <v>1.6340154544700454</v>
      </c>
    </row>
    <row r="450" spans="2:19" ht="22.5" customHeight="1">
      <c r="B450" s="35" t="s">
        <v>675</v>
      </c>
      <c r="C450" s="35"/>
      <c r="D450" s="35"/>
      <c r="E450" s="88">
        <v>1805.1030708564399</v>
      </c>
      <c r="F450" s="88">
        <v>1965.9605139770999</v>
      </c>
      <c r="G450" s="88">
        <v>1881.1248033402101</v>
      </c>
      <c r="H450" s="88">
        <f t="shared" si="207"/>
        <v>-76.021732483770165</v>
      </c>
      <c r="I450" s="88">
        <f t="shared" si="208"/>
        <v>84.835710636889871</v>
      </c>
      <c r="J450" s="35"/>
      <c r="K450" s="35"/>
      <c r="L450" s="35"/>
      <c r="M450" s="35"/>
      <c r="N450" s="35"/>
      <c r="O450" s="35"/>
      <c r="P450" s="35"/>
      <c r="Q450" s="35"/>
      <c r="R450" s="35"/>
      <c r="S450" s="35"/>
    </row>
    <row r="451" spans="2:19" ht="22.5" customHeight="1">
      <c r="B451" s="35" t="s">
        <v>676</v>
      </c>
      <c r="C451" s="35"/>
      <c r="D451" s="35"/>
      <c r="E451" s="88">
        <v>2023.4406009111599</v>
      </c>
      <c r="F451" s="88">
        <v>1759.6387117470799</v>
      </c>
      <c r="G451" s="88">
        <v>1881.1248033402101</v>
      </c>
      <c r="H451" s="88">
        <f t="shared" si="207"/>
        <v>142.31579757094983</v>
      </c>
      <c r="I451" s="88">
        <f t="shared" si="208"/>
        <v>-121.48609159313014</v>
      </c>
      <c r="J451" s="35"/>
      <c r="K451" s="35"/>
      <c r="L451" s="35"/>
      <c r="M451" s="35"/>
      <c r="N451" s="35"/>
      <c r="O451" s="35"/>
      <c r="P451" s="35"/>
      <c r="Q451" s="35"/>
      <c r="R451" s="35"/>
      <c r="S451" s="35"/>
    </row>
    <row r="452" spans="2:19" ht="22.5" customHeight="1">
      <c r="B452" s="35" t="s">
        <v>677</v>
      </c>
      <c r="C452" s="35"/>
      <c r="D452" s="35"/>
      <c r="E452" s="88">
        <v>1985.8920171003999</v>
      </c>
      <c r="F452" s="88">
        <v>1776.35758958002</v>
      </c>
      <c r="G452" s="88">
        <v>1881.1248033402101</v>
      </c>
      <c r="H452" s="88">
        <f t="shared" si="207"/>
        <v>104.76721376018986</v>
      </c>
      <c r="I452" s="88">
        <f t="shared" si="208"/>
        <v>-104.76721376019009</v>
      </c>
      <c r="J452" s="35"/>
      <c r="K452" s="35"/>
      <c r="L452" s="35"/>
      <c r="M452" s="35"/>
      <c r="N452" s="35"/>
      <c r="O452" s="35"/>
      <c r="P452" s="35"/>
      <c r="Q452" s="35"/>
      <c r="R452" s="35"/>
      <c r="S452" s="35"/>
    </row>
    <row r="453" spans="2:19" ht="22.5" customHeight="1">
      <c r="B453" s="35" t="s">
        <v>678</v>
      </c>
      <c r="C453" s="35"/>
      <c r="D453" s="35"/>
      <c r="E453" s="88">
        <v>1789.79153369458</v>
      </c>
      <c r="F453" s="88">
        <v>2002.70759478478</v>
      </c>
      <c r="G453" s="88">
        <v>1881.1248033402101</v>
      </c>
      <c r="H453" s="88">
        <f t="shared" si="207"/>
        <v>-91.333269645630025</v>
      </c>
      <c r="I453" s="88">
        <f t="shared" si="208"/>
        <v>121.58279144456992</v>
      </c>
      <c r="J453" s="35"/>
      <c r="K453" s="35"/>
      <c r="L453" s="35"/>
      <c r="M453" s="35"/>
      <c r="N453" s="35"/>
      <c r="O453" s="35"/>
      <c r="P453" s="35"/>
      <c r="Q453" s="35"/>
      <c r="R453" s="35"/>
      <c r="S453" s="35"/>
    </row>
    <row r="454" spans="2:19" ht="18" customHeight="1">
      <c r="B454" s="11" t="s">
        <v>679</v>
      </c>
      <c r="E454" s="62">
        <v>1647.5984940126</v>
      </c>
      <c r="F454" s="62">
        <v>2114.6511126678201</v>
      </c>
      <c r="G454" s="62">
        <v>1881.1248033402101</v>
      </c>
      <c r="H454" s="134">
        <f t="shared" si="207"/>
        <v>-233.52630932761008</v>
      </c>
      <c r="I454" s="134">
        <f t="shared" si="208"/>
        <v>233.52630932761008</v>
      </c>
    </row>
    <row r="455" spans="2:19" ht="18" customHeight="1">
      <c r="B455" s="56" t="s">
        <v>680</v>
      </c>
      <c r="E455" s="73" t="str">
        <f>IF(SUMPRODUCT(ABS($E$8:$E$15))&lt;&gt;0,"SHOCKS ON",IF($E$3&lt;&gt;2,"n/a (not Base)",IF(ABS($G$447-$E$406)&lt;1,"OK","STALE")))</f>
        <v>OK</v>
      </c>
    </row>
    <row r="456" spans="2:19" ht="18" customHeight="1"/>
    <row r="457" spans="2:19" ht="23.1" customHeight="1">
      <c r="B457" s="233" t="s">
        <v>681</v>
      </c>
      <c r="C457" s="233"/>
      <c r="D457" s="233"/>
      <c r="E457" s="233"/>
      <c r="F457" s="233"/>
      <c r="G457" s="233"/>
      <c r="H457" s="233"/>
      <c r="I457" s="233"/>
      <c r="J457" s="233"/>
      <c r="K457" s="233"/>
      <c r="L457" s="233"/>
      <c r="M457" s="233"/>
      <c r="N457" s="233"/>
      <c r="O457" s="233"/>
      <c r="P457" s="233"/>
      <c r="Q457" s="233"/>
      <c r="R457" s="233"/>
      <c r="S457" s="233"/>
    </row>
    <row r="458" spans="2:19" ht="18" customHeight="1">
      <c r="B458" s="73" t="s">
        <v>682</v>
      </c>
      <c r="E458" s="135" t="s">
        <v>683</v>
      </c>
      <c r="F458" s="135" t="s">
        <v>684</v>
      </c>
      <c r="G458" s="135" t="s">
        <v>685</v>
      </c>
      <c r="H458" s="135" t="s">
        <v>686</v>
      </c>
      <c r="I458" s="135" t="s">
        <v>687</v>
      </c>
      <c r="J458" s="135" t="s">
        <v>688</v>
      </c>
      <c r="K458" s="135" t="s">
        <v>689</v>
      </c>
      <c r="L458" s="135" t="s">
        <v>690</v>
      </c>
      <c r="M458" s="135" t="s">
        <v>691</v>
      </c>
      <c r="N458" s="135" t="s">
        <v>692</v>
      </c>
      <c r="O458" s="135" t="s">
        <v>693</v>
      </c>
      <c r="P458" s="135" t="s">
        <v>105</v>
      </c>
    </row>
    <row r="459" spans="2:19" ht="22.5" customHeight="1">
      <c r="B459" s="35" t="s">
        <v>694</v>
      </c>
      <c r="C459" s="54"/>
      <c r="D459" s="35" t="s">
        <v>695</v>
      </c>
      <c r="E459" s="88">
        <v>2640</v>
      </c>
      <c r="F459" s="126">
        <f t="shared" ref="F459:F464" si="209">2*K459/N459*1000</f>
        <v>407.30012734314693</v>
      </c>
      <c r="G459" s="131">
        <f t="shared" ref="G459:G464" si="210">E459/I459</f>
        <v>1.2173598843842701</v>
      </c>
      <c r="H459" s="118">
        <f t="shared" ref="H459:H464" si="211">E459/F459</f>
        <v>6.481706787623521</v>
      </c>
      <c r="I459" s="88">
        <f t="shared" ref="I459:I464" si="212">L459/N459*1000</f>
        <v>2168.6273992306628</v>
      </c>
      <c r="J459" s="59">
        <f t="shared" ref="J459:J464" si="213">2*K459/AVERAGE(L459,M459)</f>
        <v>0.18716950468151167</v>
      </c>
      <c r="K459" s="88">
        <v>30865</v>
      </c>
      <c r="L459" s="88">
        <v>328675</v>
      </c>
      <c r="M459" s="88">
        <v>330941</v>
      </c>
      <c r="N459" s="88">
        <v>151559</v>
      </c>
      <c r="O459" s="71">
        <v>2.9000000000000001E-2</v>
      </c>
      <c r="P459" s="59">
        <v>0.23699999999999999</v>
      </c>
      <c r="Q459" s="35"/>
      <c r="R459" s="35"/>
      <c r="S459" s="35"/>
    </row>
    <row r="460" spans="2:19" ht="18" customHeight="1">
      <c r="B460" s="56" t="s">
        <v>696</v>
      </c>
      <c r="C460" s="57"/>
      <c r="D460" s="11" t="s">
        <v>697</v>
      </c>
      <c r="E460" s="88">
        <v>3390</v>
      </c>
      <c r="F460" s="126">
        <f t="shared" si="209"/>
        <v>651.69255232747332</v>
      </c>
      <c r="G460" s="131">
        <f t="shared" si="210"/>
        <v>1.1117615438665776</v>
      </c>
      <c r="H460" s="118">
        <f t="shared" si="211"/>
        <v>5.2018394070836891</v>
      </c>
      <c r="I460" s="88">
        <f t="shared" si="212"/>
        <v>3049.2150216043397</v>
      </c>
      <c r="J460" s="59">
        <f t="shared" si="213"/>
        <v>0.21034066451135219</v>
      </c>
      <c r="K460" s="88">
        <v>30412.319</v>
      </c>
      <c r="L460" s="88">
        <v>284593.40100000001</v>
      </c>
      <c r="M460" s="88">
        <v>293750.66899999999</v>
      </c>
      <c r="N460" s="88">
        <v>93333.332999999999</v>
      </c>
      <c r="O460" s="60">
        <v>1.2500000000000001E-2</v>
      </c>
      <c r="P460" s="82">
        <v>0.20799999999999999</v>
      </c>
    </row>
    <row r="461" spans="2:19" ht="18" customHeight="1">
      <c r="B461" s="56" t="s">
        <v>698</v>
      </c>
      <c r="C461" s="57"/>
      <c r="D461" s="11" t="s">
        <v>699</v>
      </c>
      <c r="E461" s="88">
        <v>2970</v>
      </c>
      <c r="F461" s="126">
        <f t="shared" si="209"/>
        <v>578.00660988258051</v>
      </c>
      <c r="G461" s="131">
        <f t="shared" si="210"/>
        <v>0.68397280862788756</v>
      </c>
      <c r="H461" s="118">
        <f t="shared" si="211"/>
        <v>5.1383495434478554</v>
      </c>
      <c r="I461" s="88">
        <f t="shared" si="212"/>
        <v>4342.2778837627966</v>
      </c>
      <c r="J461" s="59">
        <f t="shared" si="213"/>
        <v>0.12994860149988052</v>
      </c>
      <c r="K461" s="88">
        <v>10755.835999999999</v>
      </c>
      <c r="L461" s="88">
        <v>161606.55600000001</v>
      </c>
      <c r="M461" s="88">
        <v>169473.144</v>
      </c>
      <c r="N461" s="88">
        <v>37217</v>
      </c>
      <c r="O461" s="60">
        <v>1.95E-2</v>
      </c>
      <c r="P461" s="82">
        <v>0.218</v>
      </c>
    </row>
    <row r="462" spans="2:19" ht="22.5" customHeight="1">
      <c r="B462" s="35" t="s">
        <v>700</v>
      </c>
      <c r="C462" s="54"/>
      <c r="D462" s="35" t="s">
        <v>701</v>
      </c>
      <c r="E462" s="88">
        <v>5175</v>
      </c>
      <c r="F462" s="126">
        <f t="shared" si="209"/>
        <v>480.29273044146038</v>
      </c>
      <c r="G462" s="131">
        <f t="shared" si="210"/>
        <v>2.3544668941666673</v>
      </c>
      <c r="H462" s="118">
        <f t="shared" si="211"/>
        <v>10.774679007203391</v>
      </c>
      <c r="I462" s="88">
        <f t="shared" si="212"/>
        <v>2197.9497833761743</v>
      </c>
      <c r="J462" s="59">
        <f t="shared" si="213"/>
        <v>0.22306238185255198</v>
      </c>
      <c r="K462" s="88">
        <v>29500</v>
      </c>
      <c r="L462" s="88">
        <v>270000</v>
      </c>
      <c r="M462" s="88">
        <v>259000</v>
      </c>
      <c r="N462" s="88">
        <v>122841.751</v>
      </c>
      <c r="O462" s="71">
        <v>1.8499999999999999E-2</v>
      </c>
      <c r="P462" s="59">
        <v>0.28399999999999997</v>
      </c>
      <c r="Q462" s="35"/>
      <c r="R462" s="35"/>
      <c r="S462" s="35"/>
    </row>
    <row r="463" spans="2:19" ht="18" customHeight="1">
      <c r="B463" s="56" t="s">
        <v>702</v>
      </c>
      <c r="C463" s="57"/>
      <c r="D463" t="s">
        <v>703</v>
      </c>
      <c r="E463" s="88">
        <v>880</v>
      </c>
      <c r="F463" s="126">
        <f t="shared" si="209"/>
        <v>170.16187027012995</v>
      </c>
      <c r="G463" s="131">
        <f t="shared" si="210"/>
        <v>0.66084931966479377</v>
      </c>
      <c r="H463" s="118">
        <f t="shared" si="211"/>
        <v>5.1715463552616718</v>
      </c>
      <c r="I463" s="88">
        <f t="shared" si="212"/>
        <v>1331.619741163337</v>
      </c>
      <c r="J463" s="59">
        <f t="shared" si="213"/>
        <v>0.12967800655267278</v>
      </c>
      <c r="K463" s="88">
        <v>655.43799999999999</v>
      </c>
      <c r="L463" s="88">
        <v>10258.398999999999</v>
      </c>
      <c r="M463" s="88">
        <v>9959</v>
      </c>
      <c r="N463" s="88">
        <v>7703.7</v>
      </c>
      <c r="O463" s="60">
        <v>3.4000000000000002E-2</v>
      </c>
      <c r="P463" s="82">
        <v>0.48499999999999999</v>
      </c>
    </row>
    <row r="464" spans="2:19" ht="22.5" customHeight="1">
      <c r="B464" s="35" t="s">
        <v>704</v>
      </c>
      <c r="C464" s="35"/>
      <c r="D464" s="35" t="s">
        <v>705</v>
      </c>
      <c r="E464" s="88">
        <f>$E$20</f>
        <v>1095</v>
      </c>
      <c r="F464" s="88">
        <f t="shared" si="209"/>
        <v>180.17670346326818</v>
      </c>
      <c r="G464" s="131">
        <f t="shared" si="210"/>
        <v>0.98963411318996286</v>
      </c>
      <c r="H464" s="118">
        <f t="shared" si="211"/>
        <v>6.0773672675348553</v>
      </c>
      <c r="I464" s="118">
        <f t="shared" si="212"/>
        <v>1106.4695379895538</v>
      </c>
      <c r="J464" s="59">
        <f t="shared" si="213"/>
        <v>0.16139695036079707</v>
      </c>
      <c r="K464" s="88">
        <f>$F$479</f>
        <v>4155.7089999999998</v>
      </c>
      <c r="L464" s="88">
        <f>$G$479</f>
        <v>51040.620999999999</v>
      </c>
      <c r="M464" s="88">
        <f>$I$175</f>
        <v>51952.874000000003</v>
      </c>
      <c r="N464" s="88">
        <f>$E$21</f>
        <v>46129.26</v>
      </c>
      <c r="O464" s="71">
        <f>$J$103</f>
        <v>1.8499999999999999E-2</v>
      </c>
      <c r="P464" s="59">
        <f>$J$328</f>
        <v>0.22000883624760575</v>
      </c>
      <c r="Q464" s="35"/>
      <c r="R464" s="35"/>
      <c r="S464" s="35"/>
    </row>
    <row r="465" spans="2:19" ht="18" customHeight="1">
      <c r="B465" s="56" t="s">
        <v>706</v>
      </c>
      <c r="E465" s="101"/>
      <c r="F465" s="101"/>
      <c r="G465" s="119">
        <f>IFERROR(AVERAGE(G459:G463),"n/a")</f>
        <v>1.2056820901420393</v>
      </c>
      <c r="H465" s="136">
        <f>IFERROR(AVERAGE(H459:H463),"n/a")</f>
        <v>6.553624220124024</v>
      </c>
      <c r="I465" s="136"/>
      <c r="J465" s="70">
        <f>IFERROR(AVERAGE(J459:J463),"n/a")</f>
        <v>0.17603983181959384</v>
      </c>
      <c r="K465" s="69"/>
      <c r="L465" s="70"/>
      <c r="M465" s="69"/>
      <c r="N465" s="70"/>
      <c r="O465" s="69">
        <f>IFERROR(AVERAGE(O459:O463),"n/a")</f>
        <v>2.2700000000000001E-2</v>
      </c>
      <c r="P465" s="70">
        <f>IFERROR(AVERAGE(P459:P463),"n/a")</f>
        <v>0.28639999999999999</v>
      </c>
    </row>
    <row r="466" spans="2:19" ht="22.5" customHeight="1">
      <c r="B466" s="35" t="s">
        <v>707</v>
      </c>
      <c r="C466" s="35"/>
      <c r="D466" s="35"/>
      <c r="E466" s="88"/>
      <c r="F466" s="88"/>
      <c r="G466" s="131">
        <f>IFERROR(MEDIAN(G459:G463),"n/a")</f>
        <v>1.1117615438665776</v>
      </c>
      <c r="H466" s="118">
        <f>IFERROR(MEDIAN(H459:H463),"n/a")</f>
        <v>5.2018394070836891</v>
      </c>
      <c r="I466" s="118"/>
      <c r="J466" s="59">
        <f>IFERROR(MEDIAN(J459:J463),"n/a")</f>
        <v>0.18716950468151167</v>
      </c>
      <c r="K466" s="71"/>
      <c r="L466" s="59"/>
      <c r="M466" s="71"/>
      <c r="N466" s="59"/>
      <c r="O466" s="71">
        <f>IFERROR(MEDIAN(O459:O463),"n/a")</f>
        <v>1.95E-2</v>
      </c>
      <c r="P466" s="59">
        <f>IFERROR(MEDIAN(P459:P463),"n/a")</f>
        <v>0.23699999999999999</v>
      </c>
      <c r="Q466" s="35"/>
      <c r="R466" s="35"/>
      <c r="S466" s="35"/>
    </row>
    <row r="467" spans="2:19" ht="18" customHeight="1">
      <c r="B467" s="56" t="s">
        <v>708</v>
      </c>
      <c r="G467" s="127">
        <f>IFERROR(G464/G466-1,"n/a")</f>
        <v>-0.10985038235075995</v>
      </c>
      <c r="H467" s="127">
        <f>IFERROR(H464/H466-1,"n/a")</f>
        <v>0.168311205313048</v>
      </c>
      <c r="I467" s="127"/>
    </row>
    <row r="468" spans="2:19" ht="18" customHeight="1">
      <c r="B468" s="73" t="s">
        <v>709</v>
      </c>
    </row>
    <row r="469" spans="2:19" ht="18" customHeight="1">
      <c r="B469" s="56" t="s">
        <v>710</v>
      </c>
      <c r="C469" s="56"/>
      <c r="D469" s="57"/>
      <c r="E469" s="114">
        <f>IFERROR(SLOPE(G459:G463,J459:J463),"n/a")</f>
        <v>12.874537212700519</v>
      </c>
    </row>
    <row r="470" spans="2:19" ht="18" customHeight="1">
      <c r="B470" s="56" t="s">
        <v>711</v>
      </c>
      <c r="C470" s="56"/>
      <c r="D470" s="57"/>
      <c r="E470" s="114">
        <f>IFERROR(INTERCEPT(G459:G463,J459:J463),"n/a")</f>
        <v>-1.0607492755368624</v>
      </c>
    </row>
    <row r="471" spans="2:19" ht="18" customHeight="1">
      <c r="B471" s="56" t="s">
        <v>712</v>
      </c>
      <c r="C471" s="56"/>
      <c r="D471" s="57"/>
      <c r="E471" s="114">
        <f>IFERROR(RSQ(G459:G463,J459:J463),"n/a")</f>
        <v>0.68001290485023136</v>
      </c>
    </row>
    <row r="472" spans="2:19" ht="22.5" customHeight="1">
      <c r="B472" s="35" t="s">
        <v>713</v>
      </c>
      <c r="C472" s="35" t="s">
        <v>200</v>
      </c>
      <c r="D472" s="54"/>
      <c r="E472" s="131">
        <f>IFERROR($E$470+$E$469*J464,"n/a")</f>
        <v>1.0171617678995981</v>
      </c>
      <c r="F472" s="35"/>
      <c r="G472" s="35"/>
      <c r="H472" s="35"/>
      <c r="I472" s="35"/>
      <c r="J472" s="35"/>
      <c r="K472" s="35"/>
      <c r="L472" s="35"/>
      <c r="M472" s="35"/>
      <c r="N472" s="35"/>
      <c r="O472" s="35"/>
      <c r="P472" s="35"/>
      <c r="Q472" s="35"/>
      <c r="R472" s="35"/>
      <c r="S472" s="35"/>
    </row>
    <row r="473" spans="2:19" ht="22.5" customHeight="1">
      <c r="B473" s="35" t="s">
        <v>714</v>
      </c>
      <c r="C473" s="35" t="s">
        <v>185</v>
      </c>
      <c r="D473" s="54"/>
      <c r="E473" s="88">
        <f>IFERROR($E$472*$I$464,"n/a")</f>
        <v>1125.4585113885062</v>
      </c>
      <c r="F473" s="35"/>
      <c r="G473" s="35"/>
      <c r="H473" s="35"/>
      <c r="I473" s="35"/>
      <c r="J473" s="35"/>
      <c r="K473" s="35"/>
      <c r="L473" s="35"/>
      <c r="M473" s="35"/>
      <c r="N473" s="35"/>
      <c r="O473" s="35"/>
      <c r="P473" s="35"/>
      <c r="Q473" s="35"/>
      <c r="R473" s="35"/>
      <c r="S473" s="35"/>
    </row>
    <row r="474" spans="2:19" ht="18" customHeight="1">
      <c r="B474" s="56" t="s">
        <v>715</v>
      </c>
      <c r="C474" s="56" t="s">
        <v>185</v>
      </c>
      <c r="D474" s="57"/>
      <c r="E474" s="101">
        <f>IFERROR($G$466*$I$464,"n/a")</f>
        <v>1230.1302817966052</v>
      </c>
    </row>
    <row r="475" spans="2:19" ht="18" customHeight="1">
      <c r="B475" s="56" t="s">
        <v>716</v>
      </c>
      <c r="C475" s="56" t="s">
        <v>185</v>
      </c>
      <c r="D475" s="57" t="s">
        <v>717</v>
      </c>
      <c r="E475" s="137">
        <v>1095</v>
      </c>
    </row>
    <row r="476" spans="2:19" ht="18" customHeight="1">
      <c r="B476" s="56" t="s">
        <v>718</v>
      </c>
      <c r="C476" s="56" t="s">
        <v>185</v>
      </c>
      <c r="D476" s="57" t="s">
        <v>719</v>
      </c>
      <c r="E476" s="137">
        <v>2740</v>
      </c>
    </row>
    <row r="477" spans="2:19" ht="18" customHeight="1">
      <c r="B477" s="56" t="s">
        <v>720</v>
      </c>
      <c r="C477" s="56" t="s">
        <v>185</v>
      </c>
      <c r="D477" s="57" t="s">
        <v>721</v>
      </c>
      <c r="E477" s="62">
        <v>2460</v>
      </c>
    </row>
    <row r="478" spans="2:19" ht="18" customHeight="1">
      <c r="B478" s="56" t="s">
        <v>722</v>
      </c>
      <c r="C478" s="56" t="s">
        <v>185</v>
      </c>
      <c r="D478" s="57" t="s">
        <v>723</v>
      </c>
      <c r="E478" s="62">
        <v>3800</v>
      </c>
    </row>
    <row r="479" spans="2:19" ht="18" customHeight="1">
      <c r="B479" s="132" t="s">
        <v>724</v>
      </c>
      <c r="C479" s="132" t="s">
        <v>311</v>
      </c>
      <c r="D479" s="12" t="s">
        <v>725</v>
      </c>
      <c r="E479" s="62">
        <v>3741.2280000000001</v>
      </c>
      <c r="F479" s="62">
        <v>4155.7089999999998</v>
      </c>
      <c r="G479" s="62">
        <v>51040.620999999999</v>
      </c>
    </row>
    <row r="480" spans="2:19" ht="18" customHeight="1">
      <c r="B480" s="132" t="s">
        <v>726</v>
      </c>
      <c r="C480" s="132" t="s">
        <v>185</v>
      </c>
      <c r="D480" s="132"/>
      <c r="E480" s="134">
        <f>IFERROR($H$466*$F$464,"n/a")</f>
        <v>937.25027631366061</v>
      </c>
    </row>
    <row r="1048232" ht="12.75" customHeight="1"/>
    <row r="1048233" ht="12.75" customHeight="1"/>
    <row r="1048234" ht="12.75" customHeight="1"/>
    <row r="1048235" ht="12.75" customHeight="1"/>
    <row r="1048236" ht="12.75" customHeight="1"/>
    <row r="1048237" ht="12.75" customHeight="1"/>
    <row r="1048238" ht="12.75" customHeight="1"/>
    <row r="1048239" ht="12.75" customHeight="1"/>
    <row r="1048240" ht="12.75" customHeight="1"/>
    <row r="1048241" ht="12.75" customHeight="1"/>
    <row r="1048242" ht="12.75" customHeight="1"/>
    <row r="1048243" ht="12.75" customHeight="1"/>
    <row r="1048244" ht="12.75" customHeight="1"/>
    <row r="1048245" ht="12.75" customHeight="1"/>
    <row r="1048246" ht="12.75" customHeight="1"/>
    <row r="1048247" ht="12.75" customHeight="1"/>
    <row r="1048248" ht="12.75" customHeight="1"/>
    <row r="1048249" ht="12.75" customHeight="1"/>
    <row r="1048250" ht="12.75" customHeight="1"/>
    <row r="1048251" ht="12.75" customHeight="1"/>
    <row r="1048252" ht="12.75" customHeight="1"/>
    <row r="1048253" ht="12.75" customHeight="1"/>
    <row r="1048254" ht="12.75" customHeight="1"/>
    <row r="1048255" ht="12.75" customHeight="1"/>
    <row r="1048256" ht="12.75" customHeight="1"/>
    <row r="1048257" ht="12.75" customHeight="1"/>
    <row r="1048258" ht="12.75" customHeight="1"/>
    <row r="1048259" ht="12.75" customHeight="1"/>
    <row r="1048260" ht="12.75" customHeight="1"/>
    <row r="1048261" ht="12.75" customHeight="1"/>
    <row r="1048262" ht="12.75" customHeight="1"/>
    <row r="1048263" ht="12.75" customHeight="1"/>
    <row r="1048264" ht="12.75" customHeight="1"/>
    <row r="1048265" ht="12.75" customHeight="1"/>
    <row r="1048266" ht="12.75" customHeight="1"/>
    <row r="1048267" ht="12.75" customHeight="1"/>
    <row r="1048268" ht="12.75" customHeight="1"/>
    <row r="1048269" ht="12.75" customHeight="1"/>
    <row r="1048270" ht="12.75" customHeight="1"/>
    <row r="1048271" ht="12.75" customHeight="1"/>
    <row r="1048272" ht="12.75" customHeight="1"/>
    <row r="1048273" ht="12.75" customHeight="1"/>
    <row r="1048274" ht="12.75" customHeight="1"/>
    <row r="1048275" ht="12.75" customHeight="1"/>
    <row r="1048276" ht="12.75" customHeight="1"/>
    <row r="1048277" ht="12.75" customHeight="1"/>
    <row r="1048278" ht="12.75" customHeight="1"/>
    <row r="1048279" ht="12.75" customHeight="1"/>
    <row r="1048280" ht="12.75" customHeight="1"/>
    <row r="1048281" ht="12.75" customHeight="1"/>
    <row r="1048282" ht="12.75" customHeight="1"/>
    <row r="1048283" ht="12.75" customHeight="1"/>
    <row r="1048284" ht="12.75" customHeight="1"/>
    <row r="1048285" ht="12.75" customHeight="1"/>
    <row r="1048286" ht="12.75" customHeight="1"/>
    <row r="1048287" ht="12.75" customHeight="1"/>
    <row r="1048288" ht="12.75" customHeight="1"/>
    <row r="1048289" ht="12.75" customHeight="1"/>
    <row r="1048290" ht="12.75" customHeight="1"/>
    <row r="1048291" ht="12.75" customHeight="1"/>
    <row r="1048292" ht="12.75" customHeight="1"/>
    <row r="1048293" ht="12.75" customHeight="1"/>
    <row r="1048294" ht="12.75" customHeight="1"/>
    <row r="1048295" ht="12.75" customHeight="1"/>
    <row r="1048296" ht="12.75" customHeight="1"/>
    <row r="1048297" ht="12.75" customHeight="1"/>
    <row r="1048298" ht="12.75" customHeight="1"/>
    <row r="1048299" ht="12.75" customHeight="1"/>
    <row r="1048300" ht="12.75" customHeight="1"/>
    <row r="1048301" ht="12.75" customHeight="1"/>
    <row r="1048302" ht="12.75" customHeight="1"/>
    <row r="1048303" ht="12.75" customHeight="1"/>
    <row r="1048304" ht="12.75" customHeight="1"/>
    <row r="1048305" ht="12.75" customHeight="1"/>
    <row r="1048306" ht="12.75" customHeight="1"/>
    <row r="1048307" ht="12.75" customHeight="1"/>
    <row r="1048308" ht="12.75" customHeight="1"/>
    <row r="1048309" ht="12.75" customHeight="1"/>
    <row r="1048310" ht="12.75" customHeight="1"/>
    <row r="1048311" ht="12.75" customHeight="1"/>
    <row r="1048312" ht="12.75" customHeight="1"/>
    <row r="1048313" ht="12.75" customHeight="1"/>
    <row r="1048314" ht="12.75" customHeight="1"/>
    <row r="1048315" ht="12.75" customHeight="1"/>
    <row r="1048316" ht="12.75" customHeight="1"/>
    <row r="1048317" ht="12.75" customHeight="1"/>
    <row r="1048318" ht="12.75" customHeight="1"/>
    <row r="1048319" ht="12.75" customHeight="1"/>
    <row r="1048320" ht="12.75" customHeight="1"/>
    <row r="1048321" ht="12.75" customHeight="1"/>
    <row r="1048322" ht="12.75" customHeight="1"/>
    <row r="1048323" ht="12.75" customHeight="1"/>
    <row r="1048324" ht="12.75" customHeight="1"/>
    <row r="1048325" ht="12.75" customHeight="1"/>
    <row r="1048326" ht="12.75" customHeight="1"/>
    <row r="1048327" ht="12.75" customHeight="1"/>
    <row r="1048328" ht="12.75" customHeight="1"/>
    <row r="1048329" ht="12.75" customHeight="1"/>
    <row r="1048330" ht="12.75" customHeight="1"/>
    <row r="1048331" ht="12.75" customHeight="1"/>
    <row r="1048332" ht="12.75" customHeight="1"/>
    <row r="1048333" ht="12.75" customHeight="1"/>
    <row r="1048334" ht="12.75" customHeight="1"/>
    <row r="1048335" ht="12.75" customHeight="1"/>
    <row r="1048336" ht="12.75" customHeight="1"/>
    <row r="1048337" ht="12.75" customHeight="1"/>
    <row r="1048338" ht="12.75" customHeight="1"/>
    <row r="1048339" ht="12.75" customHeight="1"/>
    <row r="1048340" ht="12.75" customHeight="1"/>
    <row r="1048341" ht="12.75" customHeight="1"/>
    <row r="1048342" ht="12.75" customHeight="1"/>
    <row r="1048343" ht="12.75" customHeight="1"/>
    <row r="1048344" ht="12.75" customHeight="1"/>
    <row r="1048345" ht="12.75" customHeight="1"/>
    <row r="1048346" ht="12.75" customHeight="1"/>
    <row r="1048347" ht="12.75" customHeight="1"/>
    <row r="1048348" ht="12.75" customHeight="1"/>
    <row r="1048349" ht="12.75" customHeight="1"/>
    <row r="1048350" ht="12.75" customHeight="1"/>
    <row r="1048351" ht="12.75" customHeight="1"/>
    <row r="1048352" ht="12.75" customHeight="1"/>
    <row r="1048353" ht="12.75" customHeight="1"/>
    <row r="1048354" ht="12.75" customHeight="1"/>
    <row r="1048355" ht="12.75" customHeight="1"/>
    <row r="1048356" ht="12.75" customHeight="1"/>
    <row r="1048357" ht="12.75" customHeight="1"/>
    <row r="1048358" ht="12.75" customHeight="1"/>
    <row r="1048359" ht="12.75" customHeight="1"/>
    <row r="1048360" ht="12.75" customHeight="1"/>
    <row r="1048361" ht="12.75" customHeight="1"/>
    <row r="1048362" ht="12.75" customHeight="1"/>
    <row r="1048363" ht="12.75" customHeight="1"/>
    <row r="1048364" ht="12.75" customHeight="1"/>
    <row r="1048365" ht="12.75" customHeight="1"/>
    <row r="1048366" ht="12.75" customHeight="1"/>
    <row r="1048367" ht="12.75" customHeight="1"/>
    <row r="1048368" ht="12.75" customHeight="1"/>
    <row r="1048369" ht="12.75" customHeight="1"/>
    <row r="1048370" ht="12.75" customHeight="1"/>
    <row r="1048371" ht="12.75" customHeight="1"/>
    <row r="1048372" ht="12.75" customHeight="1"/>
    <row r="1048373" ht="12.75" customHeight="1"/>
    <row r="1048374" ht="12.75" customHeight="1"/>
    <row r="1048375" ht="12.75" customHeight="1"/>
    <row r="1048376" ht="12.75" customHeight="1"/>
    <row r="1048377" ht="12.75" customHeight="1"/>
    <row r="1048378" ht="12.75" customHeight="1"/>
    <row r="1048379" ht="12.75" customHeight="1"/>
    <row r="1048380" ht="12.75" customHeight="1"/>
    <row r="1048381" ht="12.75" customHeight="1"/>
    <row r="1048382" ht="12.75" customHeight="1"/>
    <row r="1048383" ht="12.75" customHeight="1"/>
    <row r="1048384" ht="12.75" customHeight="1"/>
    <row r="1048385" ht="12.75" customHeight="1"/>
    <row r="1048386" ht="12.75" customHeight="1"/>
    <row r="1048387" ht="12.75" customHeight="1"/>
    <row r="1048388" ht="12.75" customHeight="1"/>
    <row r="1048389" ht="12.75" customHeight="1"/>
    <row r="1048390" ht="12.75" customHeight="1"/>
    <row r="1048391" ht="12.75" customHeight="1"/>
    <row r="1048392" ht="12.75" customHeight="1"/>
    <row r="1048393" ht="12.75" customHeight="1"/>
    <row r="1048394" ht="12.75" customHeight="1"/>
    <row r="1048395" ht="12.75" customHeight="1"/>
    <row r="1048396" ht="12.75" customHeight="1"/>
    <row r="1048397" ht="12.75" customHeight="1"/>
    <row r="1048398" ht="12.75" customHeight="1"/>
    <row r="1048399" ht="12.75" customHeight="1"/>
    <row r="1048400" ht="12.75" customHeight="1"/>
    <row r="1048401" ht="12.75" customHeight="1"/>
    <row r="1048402" ht="12.75" customHeight="1"/>
    <row r="1048403" ht="12.75" customHeight="1"/>
    <row r="1048404" ht="12.75" customHeight="1"/>
    <row r="1048405" ht="12.75" customHeight="1"/>
    <row r="1048406" ht="12.75" customHeight="1"/>
    <row r="1048407" ht="12.75" customHeight="1"/>
    <row r="1048408" ht="12.75" customHeight="1"/>
    <row r="1048409" ht="12.75" customHeight="1"/>
    <row r="1048410" ht="12.75" customHeight="1"/>
    <row r="1048411" ht="12.75" customHeight="1"/>
    <row r="1048412" ht="12.75" customHeight="1"/>
    <row r="1048413" ht="12.75" customHeight="1"/>
    <row r="1048414" ht="12.75" customHeight="1"/>
    <row r="1048415" ht="12.75" customHeight="1"/>
    <row r="1048416" ht="12.75" customHeight="1"/>
    <row r="1048417" ht="12.75" customHeight="1"/>
    <row r="1048418" ht="12.75" customHeight="1"/>
    <row r="1048419" ht="12.75" customHeight="1"/>
    <row r="1048420" ht="12.75" customHeight="1"/>
    <row r="1048421" ht="12.75" customHeight="1"/>
    <row r="1048422" ht="12.75" customHeight="1"/>
    <row r="1048423" ht="12.75" customHeight="1"/>
    <row r="1048424" ht="12.75" customHeight="1"/>
    <row r="1048425" ht="12.75" customHeight="1"/>
    <row r="1048426" ht="12.75" customHeight="1"/>
    <row r="1048427" ht="12.75" customHeight="1"/>
    <row r="1048428" ht="12.75" customHeight="1"/>
    <row r="1048429" ht="12.75" customHeight="1"/>
    <row r="1048430" ht="12.75" customHeight="1"/>
    <row r="1048431" ht="12.75" customHeight="1"/>
    <row r="1048432" ht="12.75" customHeight="1"/>
    <row r="1048433" ht="12.75" customHeight="1"/>
    <row r="1048434" ht="12.75" customHeight="1"/>
    <row r="1048435" ht="12.75" customHeight="1"/>
    <row r="1048436" ht="12.75" customHeight="1"/>
    <row r="1048437" ht="12.75" customHeight="1"/>
    <row r="1048438" ht="12.75" customHeight="1"/>
    <row r="1048439" ht="12.75" customHeight="1"/>
    <row r="1048440" ht="12.75" customHeight="1"/>
    <row r="1048441" ht="12.75" customHeight="1"/>
    <row r="1048442" ht="12.75" customHeight="1"/>
    <row r="1048443" ht="12.75" customHeight="1"/>
    <row r="1048444" ht="12.75" customHeight="1"/>
    <row r="1048445" ht="12.75" customHeight="1"/>
    <row r="1048446" ht="12.75" customHeight="1"/>
    <row r="1048447" ht="12.75" customHeight="1"/>
    <row r="1048448" ht="12.75" customHeight="1"/>
    <row r="1048449" ht="12.75" customHeight="1"/>
    <row r="1048450" ht="12.75" customHeight="1"/>
    <row r="1048451" ht="12.75" customHeight="1"/>
    <row r="1048452" ht="12.75" customHeight="1"/>
    <row r="1048453" ht="12.75" customHeight="1"/>
    <row r="1048454" ht="12.75" customHeight="1"/>
    <row r="1048455" ht="12.75" customHeight="1"/>
    <row r="1048456" ht="12.75" customHeight="1"/>
    <row r="1048457" ht="12.75" customHeight="1"/>
    <row r="1048458" ht="12.75" customHeight="1"/>
    <row r="1048459" ht="12.75" customHeight="1"/>
    <row r="1048460" ht="12.75" customHeight="1"/>
    <row r="1048461" ht="12.75" customHeight="1"/>
    <row r="1048462" ht="12.75" customHeight="1"/>
    <row r="1048463" ht="12.75" customHeight="1"/>
    <row r="1048464" ht="12.75" customHeight="1"/>
    <row r="1048465" ht="12.75" customHeight="1"/>
    <row r="1048466" ht="12.75" customHeight="1"/>
    <row r="1048467" ht="12.75" customHeight="1"/>
    <row r="1048468" ht="12.75" customHeight="1"/>
    <row r="1048469" ht="12.75" customHeight="1"/>
    <row r="1048470" ht="12.75" customHeight="1"/>
    <row r="1048471" ht="12.75" customHeight="1"/>
    <row r="1048472" ht="12.75" customHeight="1"/>
    <row r="1048473" ht="12.75" customHeight="1"/>
    <row r="1048474" ht="12.75" customHeight="1"/>
    <row r="1048475" ht="12.75" customHeight="1"/>
    <row r="1048476" ht="12.75" customHeight="1"/>
    <row r="1048477" ht="12.75" customHeight="1"/>
    <row r="1048478" ht="12.75" customHeight="1"/>
    <row r="1048479" ht="12.75" customHeight="1"/>
    <row r="1048480" ht="12.75" customHeight="1"/>
    <row r="1048481" ht="12.75" customHeight="1"/>
    <row r="1048482" ht="12.75" customHeight="1"/>
    <row r="1048483" ht="12.75" customHeight="1"/>
    <row r="1048484" ht="12.75" customHeight="1"/>
    <row r="1048485" ht="12.75" customHeight="1"/>
    <row r="1048486" ht="12.75" customHeight="1"/>
    <row r="1048487" ht="12.75" customHeight="1"/>
    <row r="1048488" ht="12.75" customHeight="1"/>
    <row r="1048489" ht="12.75" customHeight="1"/>
    <row r="1048490" ht="12.75" customHeight="1"/>
    <row r="1048491" ht="12.75" customHeight="1"/>
    <row r="1048492" ht="12.75" customHeight="1"/>
    <row r="1048493" ht="12.75" customHeight="1"/>
    <row r="1048494" ht="12.75" customHeight="1"/>
    <row r="1048495" ht="12.75" customHeight="1"/>
    <row r="1048496" ht="12.75" customHeight="1"/>
    <row r="1048497" ht="12.75" customHeight="1"/>
    <row r="1048498" ht="12.75" customHeight="1"/>
    <row r="1048499" ht="12.75" customHeight="1"/>
    <row r="1048500" ht="12.75" customHeight="1"/>
    <row r="1048501" ht="12.75" customHeight="1"/>
    <row r="1048502" ht="12.75" customHeight="1"/>
    <row r="1048503" ht="12.75" customHeight="1"/>
    <row r="1048504" ht="12.75" customHeight="1"/>
    <row r="1048505" ht="12.75" customHeight="1"/>
    <row r="1048506" ht="12.75" customHeight="1"/>
    <row r="1048507" ht="12.75" customHeight="1"/>
    <row r="1048508" ht="12.75" customHeight="1"/>
    <row r="1048509" ht="12.75" customHeight="1"/>
    <row r="1048510" ht="12.75" customHeight="1"/>
    <row r="1048511" ht="12.75" customHeight="1"/>
    <row r="1048512" ht="12.75" customHeight="1"/>
    <row r="1048513" ht="12.75" customHeight="1"/>
    <row r="1048514" ht="12.75" customHeight="1"/>
    <row r="1048515" ht="12.75" customHeight="1"/>
    <row r="1048516" ht="12.75" customHeight="1"/>
    <row r="1048517" ht="12.75" customHeight="1"/>
    <row r="1048518" ht="12.75" customHeight="1"/>
    <row r="1048519" ht="12.75" customHeight="1"/>
    <row r="1048520" ht="12.75" customHeight="1"/>
    <row r="1048521" ht="12.75" customHeight="1"/>
    <row r="1048522" ht="12.75" customHeight="1"/>
    <row r="1048523" ht="12.75" customHeight="1"/>
    <row r="1048524" ht="12.75" customHeight="1"/>
    <row r="1048525" ht="12.75" customHeight="1"/>
    <row r="1048526" ht="12.75" customHeight="1"/>
    <row r="1048527" ht="12.75" customHeight="1"/>
    <row r="1048528" ht="12.75" customHeight="1"/>
    <row r="1048529" ht="12.75" customHeight="1"/>
    <row r="1048530" ht="12.75" customHeight="1"/>
    <row r="1048531" ht="12.75" customHeight="1"/>
    <row r="1048532" ht="12.75" customHeight="1"/>
    <row r="1048533" ht="12.75" customHeight="1"/>
    <row r="1048534" ht="12.75" customHeight="1"/>
    <row r="1048535" ht="12.75" customHeight="1"/>
    <row r="1048536" ht="12.75" customHeight="1"/>
    <row r="1048537" ht="12.75" customHeight="1"/>
    <row r="1048538" ht="12.75" customHeight="1"/>
    <row r="1048539" ht="12.75" customHeight="1"/>
    <row r="1048540" ht="12.75" customHeight="1"/>
    <row r="1048541" ht="12.75" customHeight="1"/>
    <row r="1048542" ht="12.75" customHeight="1"/>
    <row r="1048543" ht="12.75" customHeight="1"/>
    <row r="1048544" ht="12.75" customHeight="1"/>
    <row r="1048545" ht="12.75" customHeight="1"/>
    <row r="1048546" ht="12.75" customHeight="1"/>
    <row r="1048547" ht="12.75" customHeight="1"/>
    <row r="1048548" ht="12.75" customHeight="1"/>
    <row r="1048549" ht="12.75" customHeight="1"/>
    <row r="1048550" ht="12.75" customHeight="1"/>
    <row r="1048551" ht="12.75" customHeight="1"/>
    <row r="1048552" ht="12.75" customHeight="1"/>
    <row r="1048553" ht="12.75" customHeight="1"/>
    <row r="1048554" ht="12.75" customHeight="1"/>
    <row r="1048555" ht="12.75" customHeight="1"/>
    <row r="1048556" ht="12.75" customHeight="1"/>
    <row r="1048557" ht="12.75" customHeight="1"/>
    <row r="1048558" ht="12.75" customHeight="1"/>
    <row r="1048559" ht="12.75" customHeight="1"/>
    <row r="1048560" ht="12.75" customHeight="1"/>
    <row r="1048561" ht="12.75" customHeight="1"/>
    <row r="1048562" ht="12.75" customHeight="1"/>
    <row r="1048563" ht="12.75" customHeight="1"/>
    <row r="1048564" ht="12.75" customHeight="1"/>
    <row r="1048565" ht="12.75" customHeight="1"/>
    <row r="1048566" ht="12.75" customHeight="1"/>
    <row r="1048567" ht="12.75" customHeight="1"/>
    <row r="1048568" ht="12.75" customHeight="1"/>
    <row r="1048569" ht="12.75" customHeight="1"/>
    <row r="1048570" ht="12.75" customHeight="1"/>
    <row r="1048571" ht="12.75" customHeight="1"/>
    <row r="1048572" ht="12.75" customHeight="1"/>
    <row r="1048573" ht="12.75" customHeight="1"/>
    <row r="1048574" ht="12.75" customHeight="1"/>
    <row r="1048575" ht="12.75" customHeight="1"/>
    <row r="1048576" ht="12.75" customHeight="1"/>
  </sheetData>
  <dataValidations count="1">
    <dataValidation type="list" allowBlank="1" showInputMessage="1" showErrorMessage="1" sqref="E3" xr:uid="{00000000-0002-0000-0200-000000000000}">
      <formula1>"1,2,3"</formula1>
      <formula2>0</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F5597"/>
  </sheetPr>
  <dimension ref="A1:H27"/>
  <sheetViews>
    <sheetView showGridLines="0" workbookViewId="0">
      <pane ySplit="2" topLeftCell="A3" activePane="bottomLeft" state="frozen"/>
      <selection pane="bottomLeft"/>
    </sheetView>
  </sheetViews>
  <sheetFormatPr defaultColWidth="10.85546875" defaultRowHeight="15"/>
  <cols>
    <col min="1" max="1" width="32" style="11" customWidth="1"/>
    <col min="2" max="8" width="17.42578125" customWidth="1"/>
  </cols>
  <sheetData>
    <row r="1" spans="1:8" ht="27.95" customHeight="1">
      <c r="A1" s="228" t="s">
        <v>727</v>
      </c>
      <c r="B1" s="228"/>
      <c r="C1" s="228"/>
      <c r="D1" s="228"/>
      <c r="E1" s="228"/>
      <c r="F1" s="228"/>
      <c r="G1" s="228"/>
      <c r="H1" s="228"/>
    </row>
    <row r="2" spans="1:8" ht="23.1" customHeight="1">
      <c r="A2" s="229" t="s">
        <v>728</v>
      </c>
      <c r="B2" s="230"/>
      <c r="C2" s="230"/>
      <c r="D2" s="230"/>
      <c r="E2" s="230"/>
      <c r="F2" s="230"/>
      <c r="G2" s="230"/>
      <c r="H2" s="230"/>
    </row>
    <row r="3" spans="1:8" ht="21" customHeight="1"/>
    <row r="4" spans="1:8" ht="27" customHeight="1">
      <c r="A4" s="24" t="s">
        <v>729</v>
      </c>
      <c r="B4" s="138" t="s">
        <v>108</v>
      </c>
      <c r="C4" s="138" t="s">
        <v>190</v>
      </c>
      <c r="D4" s="138" t="s">
        <v>730</v>
      </c>
      <c r="E4" s="24"/>
      <c r="F4" s="24"/>
      <c r="G4" s="24"/>
      <c r="H4" s="24"/>
    </row>
    <row r="5" spans="1:8" ht="21" customHeight="1">
      <c r="A5" s="132" t="s">
        <v>731</v>
      </c>
      <c r="B5" s="139">
        <f>(SUMPRODUCT(Sheet1!J416:S416,Sheet1!J377:S377)+Sheet1!E383*Sheet1!E382*Sheet1!S175/(Sheet1!S378-Sheet1!E31)*Sheet1!S377)/Sheet1!E21*1000</f>
        <v>2356.9225716729989</v>
      </c>
      <c r="C5" s="140">
        <f>B5*(1+Sheet1!E34)^Sheet1!E399-Sheet1!E400</f>
        <v>2526.1038513625863</v>
      </c>
      <c r="D5" s="140">
        <f>C5*(1+Sheet1!E34)-Sheet1!E401</f>
        <v>2769.6154798723842</v>
      </c>
      <c r="H5" s="12" t="s">
        <v>732</v>
      </c>
    </row>
    <row r="6" spans="1:8" ht="21" customHeight="1"/>
    <row r="7" spans="1:8" ht="27" customHeight="1">
      <c r="A7" s="24" t="s">
        <v>733</v>
      </c>
      <c r="B7" s="138" t="s">
        <v>734</v>
      </c>
      <c r="C7" s="138" t="s">
        <v>735</v>
      </c>
      <c r="D7" s="24"/>
      <c r="E7" s="24"/>
      <c r="F7" s="24"/>
      <c r="G7" s="24"/>
      <c r="H7" s="24"/>
    </row>
    <row r="8" spans="1:8" ht="22.5" customHeight="1">
      <c r="A8" s="35" t="s">
        <v>736</v>
      </c>
      <c r="B8" s="88">
        <f>C8*Sheet1!J351</f>
        <v>1736.880008048093</v>
      </c>
      <c r="C8" s="131">
        <f>(AVERAGE(Sheet1!J347:S347)-Sheet1!E31)/(Sheet1!S378-Sheet1!E31)</f>
        <v>1.3611976933278578</v>
      </c>
      <c r="D8" s="35"/>
      <c r="E8" s="35"/>
      <c r="F8" s="35"/>
      <c r="G8" s="35"/>
      <c r="H8" s="35"/>
    </row>
    <row r="9" spans="1:8" ht="22.5" customHeight="1">
      <c r="A9" s="35" t="s">
        <v>737</v>
      </c>
      <c r="B9" s="88">
        <f>SUM(Sheet1!J381:S381)+C9*Sheet1!S351*Sheet1!S377</f>
        <v>1562.6414396127043</v>
      </c>
      <c r="C9" s="131">
        <f>Sheet1!G466</f>
        <v>1.1117615438665776</v>
      </c>
      <c r="D9" s="35"/>
      <c r="E9" s="35"/>
      <c r="F9" s="35"/>
      <c r="G9" s="35"/>
      <c r="H9" s="36" t="s">
        <v>738</v>
      </c>
    </row>
    <row r="10" spans="1:8" ht="21" customHeight="1">
      <c r="A10" s="132" t="s">
        <v>739</v>
      </c>
      <c r="B10" s="140">
        <f>AVERAGE(B8:B9)</f>
        <v>1649.7607238303985</v>
      </c>
    </row>
    <row r="11" spans="1:8" ht="21" customHeight="1"/>
    <row r="12" spans="1:8" ht="27" customHeight="1">
      <c r="A12" s="24" t="s">
        <v>740</v>
      </c>
      <c r="B12" s="138" t="s">
        <v>741</v>
      </c>
      <c r="C12" s="138" t="s">
        <v>742</v>
      </c>
      <c r="D12" s="138" t="s">
        <v>743</v>
      </c>
      <c r="E12" s="138" t="s">
        <v>744</v>
      </c>
      <c r="F12" s="138" t="s">
        <v>745</v>
      </c>
      <c r="G12" s="24"/>
      <c r="H12" s="24"/>
    </row>
    <row r="13" spans="1:8" ht="21" customHeight="1">
      <c r="A13" s="73" t="s">
        <v>746</v>
      </c>
      <c r="B13" s="82">
        <v>3.5000000000000003E-2</v>
      </c>
      <c r="C13" s="82">
        <v>0.04</v>
      </c>
      <c r="D13" s="82">
        <v>4.4999999999999998E-2</v>
      </c>
      <c r="E13" s="82">
        <v>0.05</v>
      </c>
      <c r="F13" s="82">
        <v>5.5E-2</v>
      </c>
    </row>
    <row r="14" spans="1:8" ht="22.5" customHeight="1">
      <c r="A14" s="71">
        <f>Sheet1!$S$378+(-0.02)</f>
        <v>0.10249999999999999</v>
      </c>
      <c r="B14" s="88">
        <f>(Sheet1!$I$175+SUMPRODUCT((Sheet1!$J$154:$S$154-$A14*Sheet1!$I$175:$R$175)/(1+$A14)^Sheet1!$J$376:$S$376)+Sheet1!$S$175*(Sheet1!$E$382-Sheet1!$S$378)/($A14-B$13)/(1+$A14)^10)/Sheet1!$E$21*1000</f>
        <v>2191.4118193232862</v>
      </c>
      <c r="C14" s="88">
        <f>(Sheet1!$I$175+SUMPRODUCT((Sheet1!$J$154:$S$154-$A14*Sheet1!$I$175:$R$175)/(1+$A14)^Sheet1!$J$376:$S$376)+Sheet1!$S$175*(Sheet1!$E$382-Sheet1!$S$378)/($A14-C$13)/(1+$A14)^10)/Sheet1!$E$21*1000</f>
        <v>2222.161403380318</v>
      </c>
      <c r="D14" s="88">
        <f>(Sheet1!$I$175+SUMPRODUCT((Sheet1!$J$154:$S$154-$A14*Sheet1!$I$175:$R$175)/(1+$A14)^Sheet1!$J$376:$S$376)+Sheet1!$S$175*(Sheet1!$E$382-Sheet1!$S$378)/($A14-D$13)/(1+$A14)^10)/Sheet1!$E$21*1000</f>
        <v>2258.2587411863983</v>
      </c>
      <c r="E14" s="88">
        <f>(Sheet1!$I$175+SUMPRODUCT((Sheet1!$J$154:$S$154-$A14*Sheet1!$I$175:$R$175)/(1+$A14)^Sheet1!$J$376:$S$376)+Sheet1!$S$175*(Sheet1!$E$382-Sheet1!$S$378)/($A14-E$13)/(1+$A14)^10)/Sheet1!$E$21*1000</f>
        <v>2301.2317623841127</v>
      </c>
      <c r="F14" s="88">
        <f>(Sheet1!$I$175+SUMPRODUCT((Sheet1!$J$154:$S$154-$A14*Sheet1!$I$175:$R$175)/(1+$A14)^Sheet1!$J$376:$S$376)+Sheet1!$S$175*(Sheet1!$E$382-Sheet1!$S$378)/($A14-F$13)/(1+$A14)^10)/Sheet1!$E$21*1000</f>
        <v>2353.2517354129254</v>
      </c>
      <c r="G14" s="35"/>
      <c r="H14" s="36" t="s">
        <v>747</v>
      </c>
    </row>
    <row r="15" spans="1:8" ht="21" customHeight="1">
      <c r="A15" s="66">
        <f>Sheet1!$S$378+(-0.01)</f>
        <v>0.1125</v>
      </c>
      <c r="B15" s="140">
        <f>(Sheet1!$I$175+SUMPRODUCT((Sheet1!$J$154:$S$154-$A15*Sheet1!$I$175:$R$175)/(1+$A15)^Sheet1!$J$376:$S$376)+Sheet1!$S$175*(Sheet1!$E$382-Sheet1!$S$378)/($A15-B$13)/(1+$A15)^10)/Sheet1!$E$21*1000</f>
        <v>1966.8415346739646</v>
      </c>
      <c r="C15" s="140">
        <f>(Sheet1!$I$175+SUMPRODUCT((Sheet1!$J$154:$S$154-$A15*Sheet1!$I$175:$R$175)/(1+$A15)^Sheet1!$J$376:$S$376)+Sheet1!$S$175*(Sheet1!$E$382-Sheet1!$S$378)/($A15-C$13)/(1+$A15)^10)/Sheet1!$E$21*1000</f>
        <v>1987.9360286361104</v>
      </c>
      <c r="D15" s="140">
        <f>(Sheet1!$I$175+SUMPRODUCT((Sheet1!$J$154:$S$154-$A15*Sheet1!$I$175:$R$175)/(1+$A15)^Sheet1!$J$376:$S$376)+Sheet1!$S$175*(Sheet1!$E$382-Sheet1!$S$378)/($A15-D$13)/(1+$A15)^10)/Sheet1!$E$21*1000</f>
        <v>2012.1556328148706</v>
      </c>
      <c r="E15" s="140">
        <f>(Sheet1!$I$175+SUMPRODUCT((Sheet1!$J$154:$S$154-$A15*Sheet1!$I$175:$R$175)/(1+$A15)^Sheet1!$J$376:$S$376)+Sheet1!$S$175*(Sheet1!$E$382-Sheet1!$S$378)/($A15-E$13)/(1+$A15)^10)/Sheet1!$E$21*1000</f>
        <v>2040.2503736622321</v>
      </c>
      <c r="F15" s="140">
        <f>(Sheet1!$I$175+SUMPRODUCT((Sheet1!$J$154:$S$154-$A15*Sheet1!$I$175:$R$175)/(1+$A15)^Sheet1!$J$376:$S$376)+Sheet1!$S$175*(Sheet1!$E$382-Sheet1!$S$378)/($A15-F$13)/(1+$A15)^10)/Sheet1!$E$21*1000</f>
        <v>2073.231156396092</v>
      </c>
    </row>
    <row r="16" spans="1:8" ht="21" customHeight="1">
      <c r="A16" s="66">
        <f>Sheet1!$S$378+(0)</f>
        <v>0.1225</v>
      </c>
      <c r="B16" s="140">
        <f>(Sheet1!$I$175+SUMPRODUCT((Sheet1!$J$154:$S$154-$A16*Sheet1!$I$175:$R$175)/(1+$A16)^Sheet1!$J$376:$S$376)+Sheet1!$S$175*(Sheet1!$E$382-Sheet1!$S$378)/($A16-B$13)/(1+$A16)^10)/Sheet1!$E$21*1000</f>
        <v>1775.8334264528587</v>
      </c>
      <c r="C16" s="140">
        <f>(Sheet1!$I$175+SUMPRODUCT((Sheet1!$J$154:$S$154-$A16*Sheet1!$I$175:$R$175)/(1+$A16)^Sheet1!$J$376:$S$376)+Sheet1!$S$175*(Sheet1!$E$382-Sheet1!$S$378)/($A16-C$13)/(1+$A16)^10)/Sheet1!$E$21*1000</f>
        <v>1790.8469807444444</v>
      </c>
      <c r="D16" s="140">
        <f>(Sheet1!$I$175+SUMPRODUCT((Sheet1!$J$154:$S$154-$A16*Sheet1!$I$175:$R$175)/(1+$A16)^Sheet1!$J$376:$S$376)+Sheet1!$S$175*(Sheet1!$E$382-Sheet1!$S$378)/($A16-D$13)/(1+$A16)^10)/Sheet1!$E$21*1000</f>
        <v>1807.7977678478478</v>
      </c>
      <c r="E16" s="140">
        <f>(Sheet1!$I$175+SUMPRODUCT((Sheet1!$J$154:$S$154-$A16*Sheet1!$I$175:$R$175)/(1+$A16)^Sheet1!$J$376:$S$376)+Sheet1!$S$175*(Sheet1!$E$382-Sheet1!$S$378)/($A16-E$13)/(1+$A16)^10)/Sheet1!$E$21*1000</f>
        <v>1827.0865945517207</v>
      </c>
      <c r="F16" s="140">
        <f>(Sheet1!$I$175+SUMPRODUCT((Sheet1!$J$154:$S$154-$A16*Sheet1!$I$175:$R$175)/(1+$A16)^Sheet1!$J$376:$S$376)+Sheet1!$S$175*(Sheet1!$E$382-Sheet1!$S$378)/($A16-F$13)/(1+$A16)^10)/Sheet1!$E$21*1000</f>
        <v>1849.2330252117226</v>
      </c>
    </row>
    <row r="17" spans="1:8" ht="21" customHeight="1">
      <c r="A17" s="66">
        <f>Sheet1!$S$378+(0.01)</f>
        <v>0.13250000000000001</v>
      </c>
      <c r="B17" s="140">
        <f>(Sheet1!$I$175+SUMPRODUCT((Sheet1!$J$154:$S$154-$A17*Sheet1!$I$175:$R$175)/(1+$A17)^Sheet1!$J$376:$S$376)+Sheet1!$S$175*(Sheet1!$E$382-Sheet1!$S$378)/($A17-B$13)/(1+$A17)^10)/Sheet1!$E$21*1000</f>
        <v>1610.5949549701224</v>
      </c>
      <c r="C17" s="140">
        <f>(Sheet1!$I$175+SUMPRODUCT((Sheet1!$J$154:$S$154-$A17*Sheet1!$I$175:$R$175)/(1+$A17)^Sheet1!$J$376:$S$376)+Sheet1!$S$175*(Sheet1!$E$382-Sheet1!$S$378)/($A17-C$13)/(1+$A17)^10)/Sheet1!$E$21*1000</f>
        <v>1621.5921154281727</v>
      </c>
      <c r="D17" s="140">
        <f>(Sheet1!$I$175+SUMPRODUCT((Sheet1!$J$154:$S$154-$A17*Sheet1!$I$175:$R$175)/(1+$A17)^Sheet1!$J$376:$S$376)+Sheet1!$S$175*(Sheet1!$E$382-Sheet1!$S$378)/($A17-D$13)/(1+$A17)^10)/Sheet1!$E$21*1000</f>
        <v>1633.8460942242862</v>
      </c>
      <c r="E17" s="140">
        <f>(Sheet1!$I$175+SUMPRODUCT((Sheet1!$J$154:$S$154-$A17*Sheet1!$I$175:$R$175)/(1+$A17)^Sheet1!$J$376:$S$376)+Sheet1!$S$175*(Sheet1!$E$382-Sheet1!$S$378)/($A17-E$13)/(1+$A17)^10)/Sheet1!$E$21*1000</f>
        <v>1647.5854037835645</v>
      </c>
      <c r="F17" s="140">
        <f>(Sheet1!$I$175+SUMPRODUCT((Sheet1!$J$154:$S$154-$A17*Sheet1!$I$175:$R$175)/(1+$A17)^Sheet1!$J$376:$S$376)+Sheet1!$S$175*(Sheet1!$E$382-Sheet1!$S$378)/($A17-F$13)/(1+$A17)^10)/Sheet1!$E$21*1000</f>
        <v>1663.0975274795242</v>
      </c>
    </row>
    <row r="18" spans="1:8" ht="21" customHeight="1">
      <c r="A18" s="66">
        <f>Sheet1!$S$378+(0.02)</f>
        <v>0.14249999999999999</v>
      </c>
      <c r="B18" s="140">
        <f>(Sheet1!$I$175+SUMPRODUCT((Sheet1!$J$154:$S$154-$A18*Sheet1!$I$175:$R$175)/(1+$A18)^Sheet1!$J$376:$S$376)+Sheet1!$S$175*(Sheet1!$E$382-Sheet1!$S$378)/($A18-B$13)/(1+$A18)^10)/Sheet1!$E$21*1000</f>
        <v>1465.9082629350173</v>
      </c>
      <c r="C18" s="140">
        <f>(Sheet1!$I$175+SUMPRODUCT((Sheet1!$J$154:$S$154-$A18*Sheet1!$I$175:$R$175)/(1+$A18)^Sheet1!$J$376:$S$376)+Sheet1!$S$175*(Sheet1!$E$382-Sheet1!$S$378)/($A18-C$13)/(1+$A18)^10)/Sheet1!$E$21*1000</f>
        <v>1474.151819077915</v>
      </c>
      <c r="D18" s="140">
        <f>(Sheet1!$I$175+SUMPRODUCT((Sheet1!$J$154:$S$154-$A18*Sheet1!$I$175:$R$175)/(1+$A18)^Sheet1!$J$376:$S$376)+Sheet1!$S$175*(Sheet1!$E$382-Sheet1!$S$378)/($A18-D$13)/(1+$A18)^10)/Sheet1!$E$21*1000</f>
        <v>1483.2408681585457</v>
      </c>
      <c r="E18" s="140">
        <f>(Sheet1!$I$175+SUMPRODUCT((Sheet1!$J$154:$S$154-$A18*Sheet1!$I$175:$R$175)/(1+$A18)^Sheet1!$J$376:$S$376)+Sheet1!$S$175*(Sheet1!$E$382-Sheet1!$S$378)/($A18-E$13)/(1+$A18)^10)/Sheet1!$E$21*1000</f>
        <v>1493.3125171397849</v>
      </c>
      <c r="F18" s="140">
        <f>(Sheet1!$I$175+SUMPRODUCT((Sheet1!$J$154:$S$154-$A18*Sheet1!$I$175:$R$175)/(1+$A18)^Sheet1!$J$376:$S$376)+Sheet1!$S$175*(Sheet1!$E$382-Sheet1!$S$378)/($A18-F$13)/(1+$A18)^10)/Sheet1!$E$21*1000</f>
        <v>1504.5352117188804</v>
      </c>
    </row>
    <row r="19" spans="1:8" ht="21" customHeight="1">
      <c r="A19" s="132" t="s">
        <v>748</v>
      </c>
      <c r="B19" s="141"/>
    </row>
    <row r="20" spans="1:8" ht="21" customHeight="1"/>
    <row r="21" spans="1:8" ht="27" customHeight="1">
      <c r="A21" s="24" t="s">
        <v>749</v>
      </c>
      <c r="B21" s="44" t="s">
        <v>109</v>
      </c>
      <c r="C21" s="44" t="s">
        <v>750</v>
      </c>
      <c r="D21" s="24"/>
      <c r="E21" s="24"/>
      <c r="F21" s="24"/>
      <c r="G21" s="24"/>
      <c r="H21" s="24"/>
    </row>
    <row r="22" spans="1:8" ht="22.5" customHeight="1">
      <c r="A22" s="142">
        <v>0</v>
      </c>
      <c r="B22" s="143">
        <f>(1-A22)*Sheet1!$E$402+A22*Sheet1!$E$411</f>
        <v>2019.8393035289646</v>
      </c>
      <c r="C22" s="143">
        <f>(1-A22)*AVERAGE(Sheet1!$E$404,Sheet1!$E$405)+A22*(Sheet1!$E$411*(1+Sheet1!$E$34)-Sheet1!$E$401)</f>
        <v>2206.4988206071989</v>
      </c>
      <c r="D22" s="35"/>
      <c r="E22" s="35"/>
      <c r="F22" s="35"/>
      <c r="G22" s="35"/>
      <c r="H22" s="36" t="s">
        <v>751</v>
      </c>
    </row>
    <row r="23" spans="1:8" ht="21" customHeight="1">
      <c r="A23" s="144">
        <v>0.2</v>
      </c>
      <c r="B23" s="145">
        <f>(1-A23)*Sheet1!$E$402+A23*Sheet1!$E$411</f>
        <v>1844.3246988535161</v>
      </c>
      <c r="C23" s="145">
        <f>(1-A23)*AVERAGE(Sheet1!$E$404,Sheet1!$E$405)+A23*(Sheet1!$E$411*(1+Sheet1!$E$34)-Sheet1!$E$401)</f>
        <v>2011.2744102470065</v>
      </c>
    </row>
    <row r="24" spans="1:8" ht="21" customHeight="1">
      <c r="A24" s="144">
        <v>0.25</v>
      </c>
      <c r="B24" s="145">
        <f>(1-A24)*Sheet1!$E$402+A24*Sheet1!$E$411</f>
        <v>1800.4460476846539</v>
      </c>
      <c r="C24" s="145">
        <f>(1-A24)*AVERAGE(Sheet1!$E$404,Sheet1!$E$405)+A24*(Sheet1!$E$411*(1+Sheet1!$E$34)-Sheet1!$E$401)</f>
        <v>1962.4683076569581</v>
      </c>
    </row>
    <row r="25" spans="1:8" ht="21" customHeight="1">
      <c r="A25" s="144">
        <v>0.33333333333333298</v>
      </c>
      <c r="B25" s="145">
        <f>(1-A25)*Sheet1!$E$402+A25*Sheet1!$E$411</f>
        <v>1727.3149624032171</v>
      </c>
      <c r="C25" s="145">
        <f>(1-A25)*AVERAGE(Sheet1!$E$404,Sheet1!$E$405)+A25*(Sheet1!$E$411*(1+Sheet1!$E$34)-Sheet1!$E$401)</f>
        <v>1881.1248033402114</v>
      </c>
    </row>
    <row r="26" spans="1:8" ht="21" customHeight="1">
      <c r="A26" s="144">
        <v>0.4</v>
      </c>
      <c r="B26" s="145">
        <f>(1-A26)*Sheet1!$E$402+A26*Sheet1!$E$411</f>
        <v>1668.8100941780674</v>
      </c>
      <c r="C26" s="145">
        <f>(1-A26)*AVERAGE(Sheet1!$E$404,Sheet1!$E$405)+A26*(Sheet1!$E$411*(1+Sheet1!$E$34)-Sheet1!$E$401)</f>
        <v>1816.0499998868138</v>
      </c>
    </row>
    <row r="27" spans="1:8" ht="21" customHeight="1">
      <c r="A27" s="144">
        <v>0.5</v>
      </c>
      <c r="B27" s="145">
        <f>(1-A27)*Sheet1!$E$402+A27*Sheet1!$E$411</f>
        <v>1581.0527918403432</v>
      </c>
      <c r="C27" s="145">
        <f>(1-A27)*AVERAGE(Sheet1!$E$404,Sheet1!$E$405)+A27*(Sheet1!$E$411*(1+Sheet1!$E$34)-Sheet1!$E$401)</f>
        <v>1718.4377947067173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B1:S299"/>
  <sheetViews>
    <sheetView showGridLines="0" workbookViewId="0">
      <pane ySplit="3" topLeftCell="A4" activePane="bottomLeft" state="frozen"/>
      <selection pane="bottomLeft"/>
    </sheetView>
  </sheetViews>
  <sheetFormatPr defaultColWidth="11.5703125" defaultRowHeight="12.75"/>
  <cols>
    <col min="1" max="1" width="3.140625" customWidth="1"/>
    <col min="2" max="2" width="44" customWidth="1"/>
    <col min="3" max="3" width="17" customWidth="1"/>
    <col min="4" max="4" width="18" customWidth="1"/>
    <col min="5" max="19" width="15.42578125" customWidth="1"/>
  </cols>
  <sheetData>
    <row r="1" spans="2:19" ht="27.95" customHeight="1">
      <c r="B1" s="228" t="s">
        <v>752</v>
      </c>
      <c r="C1" s="228"/>
      <c r="D1" s="228"/>
      <c r="E1" s="228"/>
      <c r="F1" s="228"/>
      <c r="G1" s="228"/>
      <c r="H1" s="228"/>
      <c r="I1" s="228"/>
      <c r="J1" s="228"/>
      <c r="K1" s="228"/>
      <c r="L1" s="228"/>
      <c r="M1" s="228"/>
      <c r="N1" s="228"/>
      <c r="O1" s="228"/>
      <c r="P1" s="228"/>
      <c r="Q1" s="228"/>
      <c r="R1" s="228"/>
      <c r="S1" s="228"/>
    </row>
    <row r="2" spans="2:19" ht="23.1" customHeight="1">
      <c r="B2" s="230" t="s">
        <v>753</v>
      </c>
      <c r="C2" s="230"/>
      <c r="D2" s="230"/>
      <c r="E2" s="230"/>
      <c r="F2" s="230"/>
      <c r="G2" s="230"/>
      <c r="H2" s="230"/>
      <c r="I2" s="230"/>
      <c r="J2" s="230"/>
      <c r="K2" s="230"/>
      <c r="L2" s="230"/>
      <c r="M2" s="230"/>
      <c r="N2" s="230"/>
      <c r="O2" s="230"/>
      <c r="P2" s="230"/>
      <c r="Q2" s="230"/>
      <c r="R2" s="230"/>
      <c r="S2" s="230"/>
    </row>
    <row r="3" spans="2:19" ht="13.5" customHeight="1">
      <c r="B3" s="35"/>
      <c r="C3" s="35"/>
      <c r="D3" s="35"/>
      <c r="E3" s="35" t="s">
        <v>754</v>
      </c>
      <c r="F3" s="35" t="s">
        <v>755</v>
      </c>
      <c r="G3" s="35" t="s">
        <v>756</v>
      </c>
      <c r="H3" s="35" t="s">
        <v>757</v>
      </c>
      <c r="I3" s="35" t="s">
        <v>758</v>
      </c>
      <c r="J3" s="35" t="s">
        <v>759</v>
      </c>
      <c r="K3" s="35"/>
      <c r="L3" s="35"/>
      <c r="M3" s="35"/>
      <c r="N3" s="35"/>
      <c r="O3" s="35"/>
      <c r="P3" s="35"/>
      <c r="Q3" s="35"/>
      <c r="R3" s="35"/>
      <c r="S3" s="35"/>
    </row>
    <row r="4" spans="2:19" ht="13.5" customHeight="1">
      <c r="B4" s="35" t="s">
        <v>760</v>
      </c>
      <c r="C4" s="35"/>
      <c r="D4" s="35"/>
      <c r="E4" s="126">
        <f>Sheet1!$I$145</f>
        <v>26065.682000000001</v>
      </c>
      <c r="F4" s="126">
        <v>0</v>
      </c>
      <c r="G4" s="126">
        <v>0</v>
      </c>
      <c r="H4" s="126">
        <v>0</v>
      </c>
      <c r="I4" s="126">
        <f>E4</f>
        <v>26065.682000000001</v>
      </c>
      <c r="J4" s="126">
        <f>E4</f>
        <v>26065.682000000001</v>
      </c>
      <c r="K4" s="35"/>
      <c r="L4" s="35"/>
      <c r="M4" s="35"/>
      <c r="N4" s="35"/>
      <c r="O4" s="35"/>
      <c r="P4" s="35"/>
      <c r="Q4" s="35"/>
      <c r="R4" s="35"/>
      <c r="S4" s="35"/>
    </row>
    <row r="5" spans="2:19" ht="13.5" customHeight="1">
      <c r="B5" s="56" t="s">
        <v>761</v>
      </c>
      <c r="C5" s="11"/>
      <c r="D5" s="11"/>
      <c r="E5" s="116">
        <f>(Sheet1!$S$214-Sheet1!$I$214)*Sheet1!$I$235</f>
        <v>46413.355071242739</v>
      </c>
      <c r="F5" s="116">
        <f>MIN(J4,J4+E5)</f>
        <v>26065.682000000001</v>
      </c>
      <c r="G5" s="116">
        <f>MAX(E5,0)</f>
        <v>46413.355071242739</v>
      </c>
      <c r="H5" s="116">
        <f>MAX(-E5,0)</f>
        <v>0</v>
      </c>
      <c r="I5" s="86">
        <v>0</v>
      </c>
      <c r="J5" s="116">
        <f>J4+E5</f>
        <v>72479.037071242739</v>
      </c>
      <c r="K5" s="11"/>
      <c r="L5" s="11"/>
      <c r="M5" s="11"/>
      <c r="N5" s="11"/>
      <c r="O5" s="11"/>
      <c r="P5" s="11"/>
      <c r="Q5" s="11"/>
      <c r="R5" s="11"/>
      <c r="S5" s="11"/>
    </row>
    <row r="6" spans="2:19" ht="13.5" customHeight="1">
      <c r="B6" s="56" t="s">
        <v>762</v>
      </c>
      <c r="C6" s="11"/>
      <c r="D6" s="11"/>
      <c r="E6" s="116">
        <f>(Sheet1!$S$235-Sheet1!$I$235)*Sheet1!$S$214</f>
        <v>-7397.6373471472652</v>
      </c>
      <c r="F6" s="116">
        <f>MIN(J5,J5+E6)</f>
        <v>65081.399724095478</v>
      </c>
      <c r="G6" s="116">
        <f>MAX(E6,0)</f>
        <v>0</v>
      </c>
      <c r="H6" s="116">
        <f>MAX(-E6,0)</f>
        <v>7397.6373471472652</v>
      </c>
      <c r="I6" s="86">
        <v>0</v>
      </c>
      <c r="J6" s="116">
        <f>J5+E6</f>
        <v>65081.399724095478</v>
      </c>
      <c r="K6" s="11"/>
      <c r="L6" s="11"/>
      <c r="M6" s="11"/>
      <c r="N6" s="11"/>
      <c r="O6" s="11"/>
      <c r="P6" s="11"/>
      <c r="Q6" s="11"/>
      <c r="R6" s="11"/>
      <c r="S6" s="11"/>
    </row>
    <row r="7" spans="2:19" ht="13.5" customHeight="1">
      <c r="B7" s="56" t="s">
        <v>763</v>
      </c>
      <c r="C7" s="11"/>
      <c r="D7" s="11"/>
      <c r="E7" s="116">
        <f>-(Sheet1!$S$142-Sheet1!$I$142)</f>
        <v>-6558.6895358686852</v>
      </c>
      <c r="F7" s="116">
        <f>MIN(J6,J6+E7)</f>
        <v>58522.710188226789</v>
      </c>
      <c r="G7" s="116">
        <f>MAX(E7,0)</f>
        <v>0</v>
      </c>
      <c r="H7" s="116">
        <f>MAX(-E7,0)</f>
        <v>6558.6895358686852</v>
      </c>
      <c r="I7" s="86">
        <v>0</v>
      </c>
      <c r="J7" s="116">
        <f>J6+E7</f>
        <v>58522.710188226789</v>
      </c>
      <c r="K7" s="11"/>
      <c r="L7" s="11"/>
      <c r="M7" s="11"/>
      <c r="N7" s="11"/>
      <c r="O7" s="11"/>
      <c r="P7" s="11"/>
      <c r="Q7" s="11"/>
      <c r="R7" s="11"/>
      <c r="S7" s="11"/>
    </row>
    <row r="8" spans="2:19" ht="13.5" customHeight="1">
      <c r="B8" s="56" t="s">
        <v>764</v>
      </c>
      <c r="C8" s="11"/>
      <c r="D8" s="11"/>
      <c r="E8" s="116">
        <f>Sheet1!$S$144-Sheet1!$I$144</f>
        <v>13100.149161843428</v>
      </c>
      <c r="F8" s="116">
        <f>MIN(J7,J7+E8)</f>
        <v>58522.710188226789</v>
      </c>
      <c r="G8" s="116">
        <f>MAX(E8,0)</f>
        <v>13100.149161843428</v>
      </c>
      <c r="H8" s="116">
        <f>MAX(-E8,0)</f>
        <v>0</v>
      </c>
      <c r="I8" s="86">
        <v>0</v>
      </c>
      <c r="J8" s="116">
        <f>J7+E8</f>
        <v>71622.859350070212</v>
      </c>
      <c r="K8" s="11"/>
      <c r="L8" s="11"/>
      <c r="M8" s="11"/>
      <c r="N8" s="11"/>
      <c r="O8" s="11"/>
      <c r="P8" s="11"/>
      <c r="Q8" s="11"/>
      <c r="R8" s="11"/>
      <c r="S8" s="11"/>
    </row>
    <row r="9" spans="2:19" ht="13.5" customHeight="1">
      <c r="B9" s="56" t="s">
        <v>765</v>
      </c>
      <c r="C9" s="11"/>
      <c r="D9" s="11"/>
      <c r="E9" s="116">
        <f>Sheet1!$S$326</f>
        <v>575.28</v>
      </c>
      <c r="F9" s="116">
        <f>MIN(J8,J8+E9)</f>
        <v>71622.859350070212</v>
      </c>
      <c r="G9" s="116">
        <f>MAX(E9,0)</f>
        <v>575.28</v>
      </c>
      <c r="H9" s="116">
        <f>MAX(-E9,0)</f>
        <v>0</v>
      </c>
      <c r="I9" s="86">
        <v>0</v>
      </c>
      <c r="J9" s="116">
        <f>J8+E9</f>
        <v>72198.139350070211</v>
      </c>
      <c r="K9" s="11"/>
      <c r="L9" s="11"/>
      <c r="M9" s="11"/>
      <c r="N9" s="11"/>
      <c r="O9" s="11"/>
      <c r="P9" s="11"/>
      <c r="Q9" s="11"/>
      <c r="R9" s="11"/>
      <c r="S9" s="11"/>
    </row>
    <row r="10" spans="2:19" ht="13.5" customHeight="1">
      <c r="B10" s="35" t="s">
        <v>766</v>
      </c>
      <c r="C10" s="35"/>
      <c r="D10" s="35"/>
      <c r="E10" s="126">
        <f>Sheet1!$S$145</f>
        <v>72198.139350070211</v>
      </c>
      <c r="F10" s="126">
        <v>0</v>
      </c>
      <c r="G10" s="126">
        <v>0</v>
      </c>
      <c r="H10" s="126">
        <v>0</v>
      </c>
      <c r="I10" s="126">
        <f>E10</f>
        <v>72198.139350070211</v>
      </c>
      <c r="J10" s="126">
        <f>E10</f>
        <v>72198.139350070211</v>
      </c>
      <c r="K10" s="35"/>
      <c r="L10" s="35"/>
      <c r="M10" s="35"/>
      <c r="N10" s="35"/>
      <c r="O10" s="35"/>
      <c r="P10" s="35"/>
      <c r="Q10" s="35"/>
      <c r="R10" s="35"/>
      <c r="S10" s="35"/>
    </row>
    <row r="11" spans="2:19" ht="13.5" customHeight="1">
      <c r="B11" s="53" t="s">
        <v>767</v>
      </c>
      <c r="C11" s="11"/>
      <c r="D11" s="11"/>
      <c r="E11" s="106">
        <f>J9-E10</f>
        <v>0</v>
      </c>
      <c r="F11" s="11"/>
      <c r="G11" s="11"/>
      <c r="H11" s="11"/>
      <c r="I11" s="11"/>
      <c r="J11" s="11"/>
      <c r="K11" s="11"/>
      <c r="L11" s="11"/>
      <c r="M11" s="11"/>
      <c r="N11" s="11"/>
      <c r="O11" s="11"/>
      <c r="P11" s="11"/>
      <c r="Q11" s="11"/>
      <c r="R11" s="11"/>
      <c r="S11" s="11"/>
    </row>
    <row r="12" spans="2:19" ht="13.5" customHeight="1">
      <c r="B12" s="11"/>
      <c r="C12" s="11"/>
      <c r="D12" s="11"/>
      <c r="E12" s="11"/>
      <c r="F12" s="11"/>
      <c r="G12" s="11"/>
      <c r="H12" s="11"/>
      <c r="I12" s="11"/>
      <c r="J12" s="11"/>
      <c r="K12" s="11"/>
      <c r="L12" s="11"/>
      <c r="M12" s="11"/>
      <c r="N12" s="11"/>
      <c r="O12" s="11"/>
      <c r="P12" s="11"/>
      <c r="Q12" s="11"/>
      <c r="R12" s="11"/>
      <c r="S12" s="11"/>
    </row>
    <row r="13" spans="2:19" ht="13.5" customHeight="1">
      <c r="B13" s="11"/>
      <c r="C13" s="11"/>
      <c r="D13" s="11"/>
      <c r="E13" s="11"/>
      <c r="F13" s="11"/>
      <c r="G13" s="11"/>
      <c r="H13" s="11"/>
      <c r="I13" s="11"/>
      <c r="J13" s="11"/>
      <c r="K13" s="11"/>
      <c r="L13" s="11"/>
      <c r="M13" s="11"/>
      <c r="N13" s="11"/>
      <c r="O13" s="11"/>
      <c r="P13" s="11"/>
      <c r="Q13" s="11"/>
      <c r="R13" s="11"/>
      <c r="S13" s="11"/>
    </row>
    <row r="14" spans="2:19" ht="13.5" customHeight="1">
      <c r="B14" s="11"/>
      <c r="C14" s="11"/>
      <c r="D14" s="11"/>
      <c r="E14" s="11"/>
      <c r="F14" s="11"/>
      <c r="G14" s="11"/>
      <c r="H14" s="11"/>
      <c r="I14" s="11"/>
      <c r="J14" s="11"/>
      <c r="K14" s="11"/>
      <c r="L14" s="11"/>
      <c r="M14" s="11"/>
      <c r="N14" s="11"/>
      <c r="O14" s="11"/>
      <c r="P14" s="11"/>
      <c r="Q14" s="11"/>
      <c r="R14" s="11"/>
      <c r="S14" s="11"/>
    </row>
    <row r="15" spans="2:19" ht="13.5" customHeight="1">
      <c r="B15" s="11"/>
      <c r="C15" s="11"/>
      <c r="D15" s="11"/>
      <c r="E15" s="11"/>
      <c r="F15" s="11"/>
      <c r="G15" s="11"/>
      <c r="H15" s="11"/>
      <c r="I15" s="11"/>
      <c r="J15" s="11"/>
      <c r="K15" s="11"/>
      <c r="L15" s="11"/>
      <c r="M15" s="11"/>
      <c r="N15" s="11"/>
      <c r="O15" s="11"/>
      <c r="P15" s="11"/>
      <c r="Q15" s="11"/>
      <c r="R15" s="11"/>
      <c r="S15" s="11"/>
    </row>
    <row r="16" spans="2:19" ht="13.5" customHeight="1">
      <c r="B16" s="11"/>
      <c r="C16" s="11"/>
      <c r="D16" s="11"/>
      <c r="E16" s="11"/>
      <c r="F16" s="11"/>
      <c r="G16" s="11"/>
      <c r="H16" s="11"/>
      <c r="I16" s="11"/>
      <c r="J16" s="11"/>
      <c r="K16" s="11"/>
      <c r="L16" s="11"/>
      <c r="M16" s="11"/>
      <c r="N16" s="11"/>
      <c r="O16" s="11"/>
      <c r="P16" s="11"/>
      <c r="Q16" s="11"/>
      <c r="R16" s="11"/>
      <c r="S16" s="11"/>
    </row>
    <row r="17" spans="2:19" ht="13.5" customHeight="1">
      <c r="B17" s="11"/>
      <c r="C17" s="11"/>
      <c r="D17" s="11"/>
      <c r="E17" s="11"/>
      <c r="F17" s="11"/>
      <c r="G17" s="11"/>
      <c r="H17" s="11"/>
      <c r="I17" s="11"/>
      <c r="J17" s="11"/>
      <c r="K17" s="11"/>
      <c r="L17" s="11"/>
      <c r="M17" s="11"/>
      <c r="N17" s="11"/>
      <c r="O17" s="11"/>
      <c r="P17" s="11"/>
      <c r="Q17" s="11"/>
      <c r="R17" s="11"/>
      <c r="S17" s="11"/>
    </row>
    <row r="18" spans="2:19" ht="13.5" customHeight="1">
      <c r="B18" s="11"/>
      <c r="C18" s="11"/>
      <c r="D18" s="11"/>
      <c r="E18" s="11"/>
      <c r="F18" s="11"/>
      <c r="G18" s="11"/>
      <c r="H18" s="11"/>
      <c r="I18" s="11"/>
      <c r="J18" s="11"/>
      <c r="K18" s="11"/>
      <c r="L18" s="11"/>
      <c r="M18" s="11"/>
      <c r="N18" s="11"/>
      <c r="O18" s="11"/>
      <c r="P18" s="11"/>
      <c r="Q18" s="11"/>
      <c r="R18" s="11"/>
      <c r="S18" s="11"/>
    </row>
    <row r="19" spans="2:19" ht="13.5" customHeight="1">
      <c r="B19" s="11"/>
      <c r="C19" s="11"/>
      <c r="D19" s="11"/>
      <c r="E19" s="11"/>
      <c r="F19" s="11"/>
      <c r="G19" s="11"/>
      <c r="H19" s="11"/>
      <c r="I19" s="11"/>
      <c r="J19" s="11"/>
      <c r="K19" s="11"/>
      <c r="L19" s="11"/>
      <c r="M19" s="11"/>
      <c r="N19" s="11"/>
      <c r="O19" s="11"/>
      <c r="P19" s="11"/>
      <c r="Q19" s="11"/>
      <c r="R19" s="11"/>
      <c r="S19" s="11"/>
    </row>
    <row r="20" spans="2:19" ht="13.5" customHeight="1">
      <c r="B20" s="11"/>
      <c r="C20" s="11"/>
      <c r="D20" s="11"/>
      <c r="E20" s="11"/>
      <c r="F20" s="11"/>
      <c r="G20" s="11"/>
      <c r="H20" s="11"/>
      <c r="I20" s="11"/>
      <c r="J20" s="11"/>
      <c r="K20" s="11"/>
      <c r="L20" s="11"/>
      <c r="M20" s="11"/>
      <c r="N20" s="11"/>
      <c r="O20" s="11"/>
      <c r="P20" s="11"/>
      <c r="Q20" s="11"/>
      <c r="R20" s="11"/>
      <c r="S20" s="11"/>
    </row>
    <row r="21" spans="2:19" ht="13.5" customHeight="1">
      <c r="B21" s="11"/>
      <c r="C21" s="11"/>
      <c r="D21" s="11"/>
      <c r="E21" s="11"/>
      <c r="F21" s="11"/>
      <c r="G21" s="11"/>
      <c r="H21" s="11"/>
      <c r="I21" s="11"/>
      <c r="J21" s="11"/>
      <c r="K21" s="11"/>
      <c r="L21" s="11"/>
      <c r="M21" s="11"/>
      <c r="N21" s="11"/>
      <c r="O21" s="11"/>
      <c r="P21" s="11"/>
      <c r="Q21" s="11"/>
      <c r="R21" s="11"/>
      <c r="S21" s="11"/>
    </row>
    <row r="22" spans="2:19" ht="13.5" customHeight="1">
      <c r="B22" s="11"/>
      <c r="C22" s="11"/>
      <c r="D22" s="11"/>
      <c r="E22" s="11"/>
      <c r="F22" s="11"/>
      <c r="G22" s="11"/>
      <c r="H22" s="11"/>
      <c r="I22" s="11"/>
      <c r="J22" s="11"/>
      <c r="K22" s="11"/>
      <c r="L22" s="11"/>
      <c r="M22" s="11"/>
      <c r="N22" s="11"/>
      <c r="O22" s="11"/>
      <c r="P22" s="11"/>
      <c r="Q22" s="11"/>
      <c r="R22" s="11"/>
      <c r="S22" s="11"/>
    </row>
    <row r="23" spans="2:19" ht="13.5" customHeight="1">
      <c r="B23" s="11"/>
      <c r="C23" s="11"/>
      <c r="D23" s="11"/>
      <c r="E23" s="11"/>
      <c r="F23" s="11"/>
      <c r="G23" s="11"/>
      <c r="H23" s="11"/>
      <c r="I23" s="11"/>
      <c r="J23" s="11"/>
      <c r="K23" s="11"/>
      <c r="L23" s="11"/>
      <c r="M23" s="11"/>
      <c r="N23" s="11"/>
      <c r="O23" s="11"/>
      <c r="P23" s="11"/>
      <c r="Q23" s="11"/>
      <c r="R23" s="11"/>
      <c r="S23" s="11"/>
    </row>
    <row r="24" spans="2:19" ht="13.5" customHeight="1">
      <c r="B24" s="11"/>
      <c r="C24" s="11"/>
      <c r="D24" s="11"/>
      <c r="E24" s="11"/>
      <c r="F24" s="11"/>
      <c r="G24" s="11"/>
      <c r="H24" s="11"/>
      <c r="I24" s="11"/>
      <c r="J24" s="11"/>
      <c r="K24" s="11"/>
      <c r="L24" s="11"/>
      <c r="M24" s="11"/>
      <c r="N24" s="11"/>
      <c r="O24" s="11"/>
      <c r="P24" s="11"/>
      <c r="Q24" s="11"/>
      <c r="R24" s="11"/>
      <c r="S24" s="11"/>
    </row>
    <row r="25" spans="2:19" ht="13.5" customHeight="1">
      <c r="B25" s="11"/>
      <c r="C25" s="11"/>
      <c r="D25" s="11"/>
      <c r="E25" s="11"/>
      <c r="F25" s="11"/>
      <c r="G25" s="11"/>
      <c r="H25" s="11"/>
      <c r="I25" s="11"/>
      <c r="J25" s="11"/>
      <c r="K25" s="11"/>
      <c r="L25" s="11"/>
      <c r="M25" s="11"/>
      <c r="N25" s="11"/>
      <c r="O25" s="11"/>
      <c r="P25" s="11"/>
      <c r="Q25" s="11"/>
      <c r="R25" s="11"/>
      <c r="S25" s="11"/>
    </row>
    <row r="26" spans="2:19" ht="13.5" customHeight="1">
      <c r="B26" s="11"/>
      <c r="C26" s="11"/>
      <c r="D26" s="11"/>
      <c r="E26" s="11"/>
      <c r="F26" s="11"/>
      <c r="G26" s="11"/>
      <c r="H26" s="11"/>
      <c r="I26" s="11"/>
      <c r="J26" s="11"/>
      <c r="K26" s="11"/>
      <c r="L26" s="11"/>
      <c r="M26" s="11"/>
      <c r="N26" s="11"/>
      <c r="O26" s="11"/>
      <c r="P26" s="11"/>
      <c r="Q26" s="11"/>
      <c r="R26" s="11"/>
      <c r="S26" s="11"/>
    </row>
    <row r="27" spans="2:19" ht="13.5" customHeight="1">
      <c r="B27" s="11"/>
      <c r="C27" s="11"/>
      <c r="D27" s="11"/>
      <c r="E27" s="11"/>
      <c r="F27" s="11"/>
      <c r="G27" s="11"/>
      <c r="H27" s="11"/>
      <c r="I27" s="11"/>
      <c r="J27" s="11"/>
      <c r="K27" s="11"/>
      <c r="L27" s="11"/>
      <c r="M27" s="11"/>
      <c r="N27" s="11"/>
      <c r="O27" s="11"/>
      <c r="P27" s="11"/>
      <c r="Q27" s="11"/>
      <c r="R27" s="11"/>
      <c r="S27" s="11"/>
    </row>
    <row r="28" spans="2:19" ht="13.5" customHeight="1">
      <c r="B28" s="11"/>
      <c r="C28" s="11"/>
      <c r="D28" s="11"/>
      <c r="E28" s="11"/>
      <c r="F28" s="11"/>
      <c r="G28" s="11"/>
      <c r="H28" s="11"/>
      <c r="I28" s="11"/>
      <c r="J28" s="11"/>
      <c r="K28" s="11"/>
      <c r="L28" s="11"/>
      <c r="M28" s="11"/>
      <c r="N28" s="11"/>
      <c r="O28" s="11"/>
      <c r="P28" s="11"/>
      <c r="Q28" s="11"/>
      <c r="R28" s="11"/>
      <c r="S28" s="11"/>
    </row>
    <row r="29" spans="2:19" ht="13.5" customHeight="1">
      <c r="B29" s="11"/>
      <c r="C29" s="11"/>
      <c r="D29" s="11"/>
      <c r="E29" s="11"/>
      <c r="F29" s="11"/>
      <c r="G29" s="11"/>
      <c r="H29" s="11"/>
      <c r="I29" s="11"/>
      <c r="J29" s="11"/>
      <c r="K29" s="11"/>
      <c r="L29" s="11"/>
      <c r="M29" s="11"/>
      <c r="N29" s="11"/>
      <c r="O29" s="11"/>
      <c r="P29" s="11"/>
      <c r="Q29" s="11"/>
      <c r="R29" s="11"/>
      <c r="S29" s="11"/>
    </row>
    <row r="30" spans="2:19" ht="13.5" customHeight="1">
      <c r="B30" s="11"/>
      <c r="C30" s="11"/>
      <c r="D30" s="11"/>
      <c r="E30" s="11"/>
      <c r="F30" s="11"/>
      <c r="G30" s="11"/>
      <c r="H30" s="11"/>
      <c r="I30" s="11"/>
      <c r="J30" s="11"/>
      <c r="K30" s="11"/>
      <c r="L30" s="11"/>
      <c r="M30" s="11"/>
      <c r="N30" s="11"/>
      <c r="O30" s="11"/>
      <c r="P30" s="11"/>
      <c r="Q30" s="11"/>
      <c r="R30" s="11"/>
      <c r="S30" s="11"/>
    </row>
    <row r="31" spans="2:19" ht="13.5" customHeight="1">
      <c r="B31" s="11"/>
      <c r="C31" s="11"/>
      <c r="D31" s="11"/>
      <c r="E31" s="11"/>
      <c r="F31" s="11"/>
      <c r="G31" s="11"/>
      <c r="H31" s="11"/>
      <c r="I31" s="11"/>
      <c r="J31" s="11"/>
      <c r="K31" s="11"/>
      <c r="L31" s="11"/>
      <c r="M31" s="11"/>
      <c r="N31" s="11"/>
      <c r="O31" s="11"/>
      <c r="P31" s="11"/>
      <c r="Q31" s="11"/>
      <c r="R31" s="11"/>
      <c r="S31" s="11"/>
    </row>
    <row r="32" spans="2:19" ht="13.5" customHeight="1">
      <c r="B32" s="11"/>
      <c r="C32" s="11"/>
      <c r="D32" s="11"/>
      <c r="E32" s="11"/>
      <c r="F32" s="11"/>
      <c r="G32" s="11"/>
      <c r="H32" s="11"/>
      <c r="I32" s="11"/>
      <c r="J32" s="11"/>
      <c r="K32" s="11"/>
      <c r="L32" s="11"/>
      <c r="M32" s="11"/>
      <c r="N32" s="11"/>
      <c r="O32" s="11"/>
      <c r="P32" s="11"/>
      <c r="Q32" s="11"/>
      <c r="R32" s="11"/>
      <c r="S32" s="11"/>
    </row>
    <row r="33" spans="2:19" ht="13.5" customHeight="1">
      <c r="B33" s="73" t="s">
        <v>768</v>
      </c>
      <c r="C33" s="11"/>
      <c r="D33" s="11"/>
      <c r="E33" s="11"/>
      <c r="F33" s="11"/>
      <c r="G33" s="11"/>
      <c r="H33" s="11"/>
      <c r="I33" s="11"/>
      <c r="J33" s="11"/>
      <c r="K33" s="11"/>
      <c r="L33" s="11"/>
      <c r="M33" s="11"/>
      <c r="N33" s="11"/>
      <c r="O33" s="11"/>
      <c r="P33" s="11"/>
      <c r="Q33" s="11"/>
      <c r="R33" s="11"/>
      <c r="S33" s="11"/>
    </row>
    <row r="34" spans="2:19" ht="13.5" customHeight="1">
      <c r="B34" s="35"/>
      <c r="C34" s="35"/>
      <c r="D34" s="35"/>
      <c r="E34" s="35" t="s">
        <v>754</v>
      </c>
      <c r="F34" s="35" t="s">
        <v>755</v>
      </c>
      <c r="G34" s="35" t="s">
        <v>756</v>
      </c>
      <c r="H34" s="35" t="s">
        <v>757</v>
      </c>
      <c r="I34" s="35" t="s">
        <v>758</v>
      </c>
      <c r="J34" s="35" t="s">
        <v>759</v>
      </c>
      <c r="K34" s="35"/>
      <c r="L34" s="35"/>
      <c r="M34" s="35"/>
      <c r="N34" s="35"/>
      <c r="O34" s="35"/>
      <c r="P34" s="35"/>
      <c r="Q34" s="35"/>
      <c r="R34" s="35"/>
      <c r="S34" s="35"/>
    </row>
    <row r="35" spans="2:19" ht="13.5" customHeight="1">
      <c r="B35" s="35" t="s">
        <v>769</v>
      </c>
      <c r="C35" s="35"/>
      <c r="D35" s="35"/>
      <c r="E35" s="126">
        <f>Sheet1!$I$143</f>
        <v>19129.086000000003</v>
      </c>
      <c r="F35" s="126">
        <v>0</v>
      </c>
      <c r="G35" s="126">
        <v>0</v>
      </c>
      <c r="H35" s="126">
        <v>0</v>
      </c>
      <c r="I35" s="126">
        <f>E35</f>
        <v>19129.086000000003</v>
      </c>
      <c r="J35" s="126">
        <f>E35</f>
        <v>19129.086000000003</v>
      </c>
      <c r="K35" s="35"/>
      <c r="L35" s="35"/>
      <c r="M35" s="35"/>
      <c r="N35" s="35"/>
      <c r="O35" s="35"/>
      <c r="P35" s="35"/>
      <c r="Q35" s="35"/>
      <c r="R35" s="35"/>
      <c r="S35" s="35"/>
    </row>
    <row r="36" spans="2:19" ht="13.5" customHeight="1">
      <c r="B36" s="56" t="s">
        <v>770</v>
      </c>
      <c r="C36" s="11"/>
      <c r="D36" s="11"/>
      <c r="E36" s="116">
        <f>(Sheet1!$S$214-Sheet1!$I$214)*Sheet1!$I$235</f>
        <v>46413.355071242739</v>
      </c>
      <c r="F36" s="116">
        <f>MIN(J35,J35+E36)</f>
        <v>19129.086000000003</v>
      </c>
      <c r="G36" s="116">
        <f>MAX(E36,0)</f>
        <v>46413.355071242739</v>
      </c>
      <c r="H36" s="116">
        <f>MAX(-E36,0)</f>
        <v>0</v>
      </c>
      <c r="I36" s="86">
        <v>0</v>
      </c>
      <c r="J36" s="116">
        <f>J35+E36</f>
        <v>65542.441071242734</v>
      </c>
      <c r="K36" s="11"/>
      <c r="L36" s="11"/>
      <c r="M36" s="11"/>
      <c r="N36" s="11"/>
      <c r="O36" s="11"/>
      <c r="P36" s="11"/>
      <c r="Q36" s="11"/>
      <c r="R36" s="11"/>
      <c r="S36" s="11"/>
    </row>
    <row r="37" spans="2:19" ht="13.5" customHeight="1">
      <c r="B37" s="56" t="s">
        <v>762</v>
      </c>
      <c r="C37" s="11"/>
      <c r="D37" s="11"/>
      <c r="E37" s="116">
        <f>(Sheet1!$S$235-Sheet1!$I$235)*Sheet1!$S$214</f>
        <v>-7397.6373471472652</v>
      </c>
      <c r="F37" s="116">
        <f>MIN(J36,J36+E37)</f>
        <v>58144.803724095473</v>
      </c>
      <c r="G37" s="116">
        <f>MAX(E37,0)</f>
        <v>0</v>
      </c>
      <c r="H37" s="116">
        <f>MAX(-E37,0)</f>
        <v>7397.6373471472652</v>
      </c>
      <c r="I37" s="86">
        <v>0</v>
      </c>
      <c r="J37" s="116">
        <f>J36+E37</f>
        <v>58144.803724095473</v>
      </c>
      <c r="K37" s="11"/>
      <c r="L37" s="11"/>
      <c r="M37" s="11"/>
      <c r="N37" s="11"/>
      <c r="O37" s="11"/>
      <c r="P37" s="11"/>
      <c r="Q37" s="11"/>
      <c r="R37" s="11"/>
      <c r="S37" s="11"/>
    </row>
    <row r="38" spans="2:19" ht="13.5" customHeight="1">
      <c r="B38" s="56" t="s">
        <v>771</v>
      </c>
      <c r="C38" s="11"/>
      <c r="D38" s="11"/>
      <c r="E38" s="116">
        <f>-(AVERAGE(Sheet1!$S$222,Sheet1!$R$222)-AVERAGE(Sheet1!$I$222,Sheet1!$H$222))*Sheet1!$I$229</f>
        <v>-14274.033834150328</v>
      </c>
      <c r="F38" s="116">
        <f>MIN(J37,J37+E38)</f>
        <v>43870.769889945142</v>
      </c>
      <c r="G38" s="116">
        <f>MAX(E38,0)</f>
        <v>0</v>
      </c>
      <c r="H38" s="116">
        <f>MAX(-E38,0)</f>
        <v>14274.033834150328</v>
      </c>
      <c r="I38" s="86">
        <v>0</v>
      </c>
      <c r="J38" s="116">
        <f>J37+E38</f>
        <v>43870.769889945142</v>
      </c>
      <c r="K38" s="11"/>
      <c r="L38" s="11"/>
      <c r="M38" s="11"/>
      <c r="N38" s="11"/>
      <c r="O38" s="11"/>
      <c r="P38" s="11"/>
      <c r="Q38" s="11"/>
      <c r="R38" s="11"/>
      <c r="S38" s="11"/>
    </row>
    <row r="39" spans="2:19" ht="13.5" customHeight="1">
      <c r="B39" s="56" t="s">
        <v>772</v>
      </c>
      <c r="C39" s="11"/>
      <c r="D39" s="11"/>
      <c r="E39" s="116">
        <f>-(Sheet1!$S$229-Sheet1!$I$229)*AVERAGE(Sheet1!$S$222,Sheet1!$R$222)</f>
        <v>7715.3442982816432</v>
      </c>
      <c r="F39" s="116">
        <f>MIN(J38,J38+E39)</f>
        <v>43870.769889945142</v>
      </c>
      <c r="G39" s="116">
        <f>MAX(E39,0)</f>
        <v>7715.3442982816432</v>
      </c>
      <c r="H39" s="116">
        <f>MAX(-E39,0)</f>
        <v>0</v>
      </c>
      <c r="I39" s="86">
        <v>0</v>
      </c>
      <c r="J39" s="116">
        <f>J38+E39</f>
        <v>51586.114188226784</v>
      </c>
      <c r="K39" s="11"/>
      <c r="L39" s="11"/>
      <c r="M39" s="11"/>
      <c r="N39" s="11"/>
      <c r="O39" s="11"/>
      <c r="P39" s="11"/>
      <c r="Q39" s="11"/>
      <c r="R39" s="11"/>
      <c r="S39" s="11"/>
    </row>
    <row r="40" spans="2:19" ht="13.5" customHeight="1">
      <c r="B40" s="56" t="s">
        <v>765</v>
      </c>
      <c r="C40" s="11"/>
      <c r="D40" s="11"/>
      <c r="E40" s="116">
        <f>Sheet1!$S$326</f>
        <v>575.28</v>
      </c>
      <c r="F40" s="116">
        <f>MIN(J39,J39+E40)</f>
        <v>51586.114188226784</v>
      </c>
      <c r="G40" s="116">
        <f>MAX(E40,0)</f>
        <v>575.28</v>
      </c>
      <c r="H40" s="116">
        <f>MAX(-E40,0)</f>
        <v>0</v>
      </c>
      <c r="I40" s="86">
        <v>0</v>
      </c>
      <c r="J40" s="116">
        <f>J39+E40</f>
        <v>52161.394188226783</v>
      </c>
      <c r="K40" s="11"/>
      <c r="L40" s="11"/>
      <c r="M40" s="11"/>
      <c r="N40" s="11"/>
      <c r="O40" s="11"/>
      <c r="P40" s="11"/>
      <c r="Q40" s="11"/>
      <c r="R40" s="11"/>
      <c r="S40" s="11"/>
    </row>
    <row r="41" spans="2:19" ht="13.5" customHeight="1">
      <c r="B41" s="35" t="s">
        <v>773</v>
      </c>
      <c r="C41" s="35"/>
      <c r="D41" s="35"/>
      <c r="E41" s="126">
        <f>Sheet1!$S$143</f>
        <v>52161.394188226783</v>
      </c>
      <c r="F41" s="126">
        <v>0</v>
      </c>
      <c r="G41" s="126">
        <v>0</v>
      </c>
      <c r="H41" s="126">
        <v>0</v>
      </c>
      <c r="I41" s="126">
        <f>E41</f>
        <v>52161.394188226783</v>
      </c>
      <c r="J41" s="126">
        <f>E41</f>
        <v>52161.394188226783</v>
      </c>
      <c r="K41" s="35"/>
      <c r="L41" s="35"/>
      <c r="M41" s="35"/>
      <c r="N41" s="35"/>
      <c r="O41" s="35"/>
      <c r="P41" s="35"/>
      <c r="Q41" s="35"/>
      <c r="R41" s="35"/>
      <c r="S41" s="35"/>
    </row>
    <row r="42" spans="2:19" ht="13.5" customHeight="1">
      <c r="B42" s="53" t="s">
        <v>767</v>
      </c>
      <c r="C42" s="11"/>
      <c r="D42" s="11"/>
      <c r="E42" s="106">
        <f>J40-E41</f>
        <v>0</v>
      </c>
      <c r="F42" s="11"/>
      <c r="G42" s="11"/>
      <c r="H42" s="11"/>
      <c r="I42" s="11"/>
      <c r="J42" s="11"/>
      <c r="K42" s="11"/>
      <c r="L42" s="11"/>
      <c r="M42" s="11"/>
      <c r="N42" s="11"/>
      <c r="O42" s="11"/>
      <c r="P42" s="11"/>
      <c r="Q42" s="11"/>
      <c r="R42" s="11"/>
      <c r="S42" s="11"/>
    </row>
    <row r="43" spans="2:19" ht="13.5" customHeight="1">
      <c r="B43" s="11"/>
      <c r="C43" s="11"/>
      <c r="D43" s="11"/>
      <c r="E43" s="11"/>
      <c r="F43" s="11"/>
      <c r="G43" s="11"/>
      <c r="H43" s="11"/>
      <c r="I43" s="11"/>
      <c r="J43" s="11"/>
      <c r="K43" s="11"/>
      <c r="L43" s="11"/>
      <c r="M43" s="11"/>
      <c r="N43" s="11"/>
      <c r="O43" s="11"/>
      <c r="P43" s="11"/>
      <c r="Q43" s="11"/>
      <c r="R43" s="11"/>
      <c r="S43" s="11"/>
    </row>
    <row r="44" spans="2:19" ht="13.5" customHeight="1">
      <c r="B44" s="11"/>
      <c r="C44" s="11"/>
      <c r="D44" s="11"/>
      <c r="E44" s="11"/>
      <c r="F44" s="11"/>
      <c r="G44" s="11"/>
      <c r="H44" s="11"/>
      <c r="I44" s="11"/>
      <c r="J44" s="11"/>
      <c r="K44" s="11"/>
      <c r="L44" s="11"/>
      <c r="M44" s="11"/>
      <c r="N44" s="11"/>
      <c r="O44" s="11"/>
      <c r="P44" s="11"/>
      <c r="Q44" s="11"/>
      <c r="R44" s="11"/>
      <c r="S44" s="11"/>
    </row>
    <row r="45" spans="2:19" ht="13.5" customHeight="1">
      <c r="B45" s="11"/>
      <c r="C45" s="11"/>
      <c r="D45" s="11"/>
      <c r="E45" s="11"/>
      <c r="F45" s="11"/>
      <c r="G45" s="11"/>
      <c r="H45" s="11"/>
      <c r="I45" s="11"/>
      <c r="J45" s="11"/>
      <c r="K45" s="11"/>
      <c r="L45" s="11"/>
      <c r="M45" s="11"/>
      <c r="N45" s="11"/>
      <c r="O45" s="11"/>
      <c r="P45" s="11"/>
      <c r="Q45" s="11"/>
      <c r="R45" s="11"/>
      <c r="S45" s="11"/>
    </row>
    <row r="46" spans="2:19" ht="13.5" customHeight="1">
      <c r="B46" s="11"/>
      <c r="C46" s="11"/>
      <c r="D46" s="11"/>
      <c r="E46" s="11"/>
      <c r="F46" s="11"/>
      <c r="G46" s="11"/>
      <c r="H46" s="11"/>
      <c r="I46" s="11"/>
      <c r="J46" s="11"/>
      <c r="K46" s="11"/>
      <c r="L46" s="11"/>
      <c r="M46" s="11"/>
      <c r="N46" s="11"/>
      <c r="O46" s="11"/>
      <c r="P46" s="11"/>
      <c r="Q46" s="11"/>
      <c r="R46" s="11"/>
      <c r="S46" s="11"/>
    </row>
    <row r="47" spans="2:19" ht="13.5" customHeight="1">
      <c r="B47" s="11"/>
      <c r="C47" s="11"/>
      <c r="D47" s="11"/>
      <c r="E47" s="11"/>
      <c r="F47" s="11"/>
      <c r="G47" s="11"/>
      <c r="H47" s="11"/>
      <c r="I47" s="11"/>
      <c r="J47" s="11"/>
      <c r="K47" s="11"/>
      <c r="L47" s="11"/>
      <c r="M47" s="11"/>
      <c r="N47" s="11"/>
      <c r="O47" s="11"/>
      <c r="P47" s="11"/>
      <c r="Q47" s="11"/>
      <c r="R47" s="11"/>
      <c r="S47" s="11"/>
    </row>
    <row r="48" spans="2:19" ht="13.5" customHeight="1">
      <c r="B48" s="11"/>
      <c r="C48" s="11"/>
      <c r="D48" s="11"/>
      <c r="E48" s="11"/>
      <c r="F48" s="11"/>
      <c r="G48" s="11"/>
      <c r="H48" s="11"/>
      <c r="I48" s="11"/>
      <c r="J48" s="11"/>
      <c r="K48" s="11"/>
      <c r="L48" s="11"/>
      <c r="M48" s="11"/>
      <c r="N48" s="11"/>
      <c r="O48" s="11"/>
      <c r="P48" s="11"/>
      <c r="Q48" s="11"/>
      <c r="R48" s="11"/>
      <c r="S48" s="11"/>
    </row>
    <row r="49" spans="2:19" ht="13.5" customHeight="1">
      <c r="B49" s="11"/>
      <c r="C49" s="11"/>
      <c r="D49" s="11"/>
      <c r="E49" s="11"/>
      <c r="F49" s="11"/>
      <c r="G49" s="11"/>
      <c r="H49" s="11"/>
      <c r="I49" s="11"/>
      <c r="J49" s="11"/>
      <c r="K49" s="11"/>
      <c r="L49" s="11"/>
      <c r="M49" s="11"/>
      <c r="N49" s="11"/>
      <c r="O49" s="11"/>
      <c r="P49" s="11"/>
      <c r="Q49" s="11"/>
      <c r="R49" s="11"/>
      <c r="S49" s="11"/>
    </row>
    <row r="50" spans="2:19" ht="13.5" customHeight="1">
      <c r="B50" s="11"/>
      <c r="C50" s="11"/>
      <c r="D50" s="11"/>
      <c r="E50" s="11"/>
      <c r="F50" s="11"/>
      <c r="G50" s="11"/>
      <c r="H50" s="11"/>
      <c r="I50" s="11"/>
      <c r="J50" s="11"/>
      <c r="K50" s="11"/>
      <c r="L50" s="11"/>
      <c r="M50" s="11"/>
      <c r="N50" s="11"/>
      <c r="O50" s="11"/>
      <c r="P50" s="11"/>
      <c r="Q50" s="11"/>
      <c r="R50" s="11"/>
      <c r="S50" s="11"/>
    </row>
    <row r="51" spans="2:19" ht="13.5" customHeight="1">
      <c r="B51" s="11"/>
      <c r="C51" s="11"/>
      <c r="D51" s="11"/>
      <c r="E51" s="11"/>
      <c r="F51" s="11"/>
      <c r="G51" s="11"/>
      <c r="H51" s="11"/>
      <c r="I51" s="11"/>
      <c r="J51" s="11"/>
      <c r="K51" s="11"/>
      <c r="L51" s="11"/>
      <c r="M51" s="11"/>
      <c r="N51" s="11"/>
      <c r="O51" s="11"/>
      <c r="P51" s="11"/>
      <c r="Q51" s="11"/>
      <c r="R51" s="11"/>
      <c r="S51" s="11"/>
    </row>
    <row r="52" spans="2:19" ht="13.5" customHeight="1">
      <c r="B52" s="11"/>
      <c r="C52" s="11"/>
      <c r="D52" s="11"/>
      <c r="E52" s="11"/>
      <c r="F52" s="11"/>
      <c r="G52" s="11"/>
      <c r="H52" s="11"/>
      <c r="I52" s="11"/>
      <c r="J52" s="11"/>
      <c r="K52" s="11"/>
      <c r="L52" s="11"/>
      <c r="M52" s="11"/>
      <c r="N52" s="11"/>
      <c r="O52" s="11"/>
      <c r="P52" s="11"/>
      <c r="Q52" s="11"/>
      <c r="R52" s="11"/>
      <c r="S52" s="11"/>
    </row>
    <row r="53" spans="2:19" ht="13.5" customHeight="1">
      <c r="B53" s="11"/>
      <c r="C53" s="11"/>
      <c r="D53" s="11"/>
      <c r="E53" s="11"/>
      <c r="F53" s="11"/>
      <c r="G53" s="11"/>
      <c r="H53" s="11"/>
      <c r="I53" s="11"/>
      <c r="J53" s="11"/>
      <c r="K53" s="11"/>
      <c r="L53" s="11"/>
      <c r="M53" s="11"/>
      <c r="N53" s="11"/>
      <c r="O53" s="11"/>
      <c r="P53" s="11"/>
      <c r="Q53" s="11"/>
      <c r="R53" s="11"/>
      <c r="S53" s="11"/>
    </row>
    <row r="54" spans="2:19" ht="13.5" customHeight="1">
      <c r="B54" s="11"/>
      <c r="C54" s="11"/>
      <c r="D54" s="11"/>
      <c r="E54" s="11"/>
      <c r="F54" s="11"/>
      <c r="G54" s="11"/>
      <c r="H54" s="11"/>
      <c r="I54" s="11"/>
      <c r="J54" s="11"/>
      <c r="K54" s="11"/>
      <c r="L54" s="11"/>
      <c r="M54" s="11"/>
      <c r="N54" s="11"/>
      <c r="O54" s="11"/>
      <c r="P54" s="11"/>
      <c r="Q54" s="11"/>
      <c r="R54" s="11"/>
      <c r="S54" s="11"/>
    </row>
    <row r="55" spans="2:19" ht="13.5" customHeight="1">
      <c r="B55" s="11"/>
      <c r="C55" s="11"/>
      <c r="D55" s="11"/>
      <c r="E55" s="11"/>
      <c r="F55" s="11"/>
      <c r="G55" s="11"/>
      <c r="H55" s="11"/>
      <c r="I55" s="11"/>
      <c r="J55" s="11"/>
      <c r="K55" s="11"/>
      <c r="L55" s="11"/>
      <c r="M55" s="11"/>
      <c r="N55" s="11"/>
      <c r="O55" s="11"/>
      <c r="P55" s="11"/>
      <c r="Q55" s="11"/>
      <c r="R55" s="11"/>
      <c r="S55" s="11"/>
    </row>
    <row r="56" spans="2:19" ht="13.5" customHeight="1">
      <c r="B56" s="11"/>
      <c r="C56" s="11"/>
      <c r="D56" s="11"/>
      <c r="E56" s="11"/>
      <c r="F56" s="11"/>
      <c r="G56" s="11"/>
      <c r="H56" s="11"/>
      <c r="I56" s="11"/>
      <c r="J56" s="11"/>
      <c r="K56" s="11"/>
      <c r="L56" s="11"/>
      <c r="M56" s="11"/>
      <c r="N56" s="11"/>
      <c r="O56" s="11"/>
      <c r="P56" s="11"/>
      <c r="Q56" s="11"/>
      <c r="R56" s="11"/>
      <c r="S56" s="11"/>
    </row>
    <row r="57" spans="2:19" ht="13.5" customHeight="1">
      <c r="B57" s="11"/>
      <c r="C57" s="11"/>
      <c r="D57" s="11"/>
      <c r="E57" s="11"/>
      <c r="F57" s="11"/>
      <c r="G57" s="11"/>
      <c r="H57" s="11"/>
      <c r="I57" s="11"/>
      <c r="J57" s="11"/>
      <c r="K57" s="11"/>
      <c r="L57" s="11"/>
      <c r="M57" s="11"/>
      <c r="N57" s="11"/>
      <c r="O57" s="11"/>
      <c r="P57" s="11"/>
      <c r="Q57" s="11"/>
      <c r="R57" s="11"/>
      <c r="S57" s="11"/>
    </row>
    <row r="58" spans="2:19" ht="13.5" customHeight="1">
      <c r="B58" s="11"/>
      <c r="C58" s="11"/>
      <c r="D58" s="11"/>
      <c r="E58" s="11"/>
      <c r="F58" s="11"/>
      <c r="G58" s="11"/>
      <c r="H58" s="11"/>
      <c r="I58" s="11"/>
      <c r="J58" s="11"/>
      <c r="K58" s="11"/>
      <c r="L58" s="11"/>
      <c r="M58" s="11"/>
      <c r="N58" s="11"/>
      <c r="O58" s="11"/>
      <c r="P58" s="11"/>
      <c r="Q58" s="11"/>
      <c r="R58" s="11"/>
      <c r="S58" s="11"/>
    </row>
    <row r="59" spans="2:19" ht="13.5" customHeight="1">
      <c r="B59" s="11"/>
      <c r="C59" s="11"/>
      <c r="D59" s="11"/>
      <c r="E59" s="11"/>
      <c r="F59" s="11"/>
      <c r="G59" s="11"/>
      <c r="H59" s="11"/>
      <c r="I59" s="11"/>
      <c r="J59" s="11"/>
      <c r="K59" s="11"/>
      <c r="L59" s="11"/>
      <c r="M59" s="11"/>
      <c r="N59" s="11"/>
      <c r="O59" s="11"/>
      <c r="P59" s="11"/>
      <c r="Q59" s="11"/>
      <c r="R59" s="11"/>
      <c r="S59" s="11"/>
    </row>
    <row r="60" spans="2:19" ht="13.5" customHeight="1">
      <c r="B60" s="11"/>
      <c r="C60" s="11"/>
      <c r="D60" s="11"/>
      <c r="E60" s="11"/>
      <c r="F60" s="11"/>
      <c r="G60" s="11"/>
      <c r="H60" s="11"/>
      <c r="I60" s="11"/>
      <c r="J60" s="11"/>
      <c r="K60" s="11"/>
      <c r="L60" s="11"/>
      <c r="M60" s="11"/>
      <c r="N60" s="11"/>
      <c r="O60" s="11"/>
      <c r="P60" s="11"/>
      <c r="Q60" s="11"/>
      <c r="R60" s="11"/>
      <c r="S60" s="11"/>
    </row>
    <row r="61" spans="2:19" ht="13.5" customHeight="1">
      <c r="B61" s="11"/>
      <c r="C61" s="11"/>
      <c r="D61" s="11"/>
      <c r="E61" s="11"/>
      <c r="F61" s="11"/>
      <c r="G61" s="11"/>
      <c r="H61" s="11"/>
      <c r="I61" s="11"/>
      <c r="J61" s="11"/>
      <c r="K61" s="11"/>
      <c r="L61" s="11"/>
      <c r="M61" s="11"/>
      <c r="N61" s="11"/>
      <c r="O61" s="11"/>
      <c r="P61" s="11"/>
      <c r="Q61" s="11"/>
      <c r="R61" s="11"/>
      <c r="S61" s="11"/>
    </row>
    <row r="62" spans="2:19" ht="13.5" customHeight="1">
      <c r="B62" s="11"/>
      <c r="C62" s="11"/>
      <c r="D62" s="11"/>
      <c r="E62" s="11"/>
      <c r="F62" s="11"/>
      <c r="G62" s="11"/>
      <c r="H62" s="11"/>
      <c r="I62" s="11"/>
      <c r="J62" s="11"/>
      <c r="K62" s="11"/>
      <c r="L62" s="11"/>
      <c r="M62" s="11"/>
      <c r="N62" s="11"/>
      <c r="O62" s="11"/>
      <c r="P62" s="11"/>
      <c r="Q62" s="11"/>
      <c r="R62" s="11"/>
      <c r="S62" s="11"/>
    </row>
    <row r="63" spans="2:19" ht="13.5" customHeight="1">
      <c r="B63" s="11"/>
      <c r="C63" s="11"/>
      <c r="D63" s="11"/>
      <c r="E63" s="11"/>
      <c r="F63" s="11"/>
      <c r="G63" s="11"/>
      <c r="H63" s="11"/>
      <c r="I63" s="11"/>
      <c r="J63" s="11"/>
      <c r="K63" s="11"/>
      <c r="L63" s="11"/>
      <c r="M63" s="11"/>
      <c r="N63" s="11"/>
      <c r="O63" s="11"/>
      <c r="P63" s="11"/>
      <c r="Q63" s="11"/>
      <c r="R63" s="11"/>
      <c r="S63" s="11"/>
    </row>
    <row r="64" spans="2:19" ht="13.5" customHeight="1">
      <c r="B64" s="73" t="s">
        <v>774</v>
      </c>
      <c r="C64" s="11"/>
      <c r="D64" s="11"/>
      <c r="E64" s="11"/>
      <c r="F64" s="11"/>
      <c r="G64" s="11"/>
      <c r="H64" s="11"/>
      <c r="I64" s="11"/>
      <c r="J64" s="11"/>
      <c r="K64" s="11"/>
      <c r="L64" s="11"/>
      <c r="M64" s="11"/>
      <c r="N64" s="11"/>
      <c r="O64" s="11"/>
      <c r="P64" s="11"/>
      <c r="Q64" s="11"/>
      <c r="R64" s="11"/>
      <c r="S64" s="11"/>
    </row>
    <row r="65" spans="2:19" ht="13.5" customHeight="1">
      <c r="B65" s="35"/>
      <c r="C65" s="35"/>
      <c r="D65" s="35"/>
      <c r="E65" s="35" t="s">
        <v>754</v>
      </c>
      <c r="F65" s="35" t="s">
        <v>755</v>
      </c>
      <c r="G65" s="35" t="s">
        <v>756</v>
      </c>
      <c r="H65" s="35" t="s">
        <v>757</v>
      </c>
      <c r="I65" s="35" t="s">
        <v>758</v>
      </c>
      <c r="J65" s="35" t="s">
        <v>759</v>
      </c>
      <c r="K65" s="35"/>
      <c r="L65" s="35"/>
      <c r="M65" s="35"/>
      <c r="N65" s="35"/>
      <c r="O65" s="35"/>
      <c r="P65" s="35"/>
      <c r="Q65" s="35"/>
      <c r="R65" s="35"/>
      <c r="S65" s="35"/>
    </row>
    <row r="66" spans="2:19" ht="13.5" customHeight="1">
      <c r="B66" s="56" t="s">
        <v>354</v>
      </c>
      <c r="C66" s="11"/>
      <c r="D66" s="11"/>
      <c r="E66" s="116">
        <f>Sheet1!$S$141</f>
        <v>67856.48872409547</v>
      </c>
      <c r="F66" s="86">
        <v>0</v>
      </c>
      <c r="G66" s="86">
        <v>0</v>
      </c>
      <c r="H66" s="86">
        <v>0</v>
      </c>
      <c r="I66" s="116">
        <f>E66</f>
        <v>67856.48872409547</v>
      </c>
      <c r="J66" s="116">
        <f>E66</f>
        <v>67856.48872409547</v>
      </c>
      <c r="K66" s="11"/>
      <c r="L66" s="11"/>
      <c r="M66" s="11"/>
      <c r="N66" s="11"/>
      <c r="O66" s="11"/>
      <c r="P66" s="11"/>
      <c r="Q66" s="11"/>
      <c r="R66" s="11"/>
      <c r="S66" s="11"/>
    </row>
    <row r="67" spans="2:19" ht="13.5" customHeight="1">
      <c r="B67" s="56" t="s">
        <v>775</v>
      </c>
      <c r="C67" s="11"/>
      <c r="D67" s="11"/>
      <c r="E67" s="116">
        <f>-Sheet1!$S$142</f>
        <v>-15695.094535868686</v>
      </c>
      <c r="F67" s="116">
        <f>MIN(J66,J66+E67)</f>
        <v>52161.394188226783</v>
      </c>
      <c r="G67" s="116">
        <f>MAX(E67,0)</f>
        <v>0</v>
      </c>
      <c r="H67" s="116">
        <f>MAX(-E67,0)</f>
        <v>15695.094535868686</v>
      </c>
      <c r="I67" s="86">
        <v>0</v>
      </c>
      <c r="J67" s="116">
        <f>J66+E67</f>
        <v>52161.394188226783</v>
      </c>
      <c r="K67" s="11"/>
      <c r="L67" s="11"/>
      <c r="M67" s="11"/>
      <c r="N67" s="11"/>
      <c r="O67" s="11"/>
      <c r="P67" s="11"/>
      <c r="Q67" s="11"/>
      <c r="R67" s="11"/>
      <c r="S67" s="11"/>
    </row>
    <row r="68" spans="2:19" ht="13.5" customHeight="1">
      <c r="B68" s="35" t="s">
        <v>764</v>
      </c>
      <c r="C68" s="35"/>
      <c r="D68" s="35"/>
      <c r="E68" s="126">
        <f>Sheet1!$S$144</f>
        <v>20036.745161843428</v>
      </c>
      <c r="F68" s="126">
        <f>MIN(J67,J67+E68)</f>
        <v>52161.394188226783</v>
      </c>
      <c r="G68" s="126">
        <f>MAX(E68,0)</f>
        <v>20036.745161843428</v>
      </c>
      <c r="H68" s="126">
        <f>MAX(-E68,0)</f>
        <v>0</v>
      </c>
      <c r="I68" s="126">
        <v>0</v>
      </c>
      <c r="J68" s="126">
        <f>J67+E68</f>
        <v>72198.139350070211</v>
      </c>
      <c r="K68" s="35"/>
      <c r="L68" s="35"/>
      <c r="M68" s="35"/>
      <c r="N68" s="35"/>
      <c r="O68" s="35"/>
      <c r="P68" s="35"/>
      <c r="Q68" s="35"/>
      <c r="R68" s="35"/>
      <c r="S68" s="35"/>
    </row>
    <row r="69" spans="2:19" ht="13.5" customHeight="1">
      <c r="B69" s="56" t="s">
        <v>776</v>
      </c>
      <c r="C69" s="11"/>
      <c r="D69" s="11"/>
      <c r="E69" s="116">
        <f>-Sheet1!$S$149</f>
        <v>-36460.060371785454</v>
      </c>
      <c r="F69" s="116">
        <f>MIN(J68,J68+E69)</f>
        <v>35738.078978284757</v>
      </c>
      <c r="G69" s="116">
        <f>MAX(E69,0)</f>
        <v>0</v>
      </c>
      <c r="H69" s="116">
        <f>MAX(-E69,0)</f>
        <v>36460.060371785454</v>
      </c>
      <c r="I69" s="86">
        <v>0</v>
      </c>
      <c r="J69" s="116">
        <f>J68+E69</f>
        <v>35738.078978284757</v>
      </c>
      <c r="K69" s="11"/>
      <c r="L69" s="11"/>
      <c r="M69" s="11"/>
      <c r="N69" s="11"/>
      <c r="O69" s="11"/>
      <c r="P69" s="11"/>
      <c r="Q69" s="11"/>
      <c r="R69" s="11"/>
      <c r="S69" s="11"/>
    </row>
    <row r="70" spans="2:19" ht="13.5" customHeight="1">
      <c r="B70" s="56" t="s">
        <v>777</v>
      </c>
      <c r="C70" s="11"/>
      <c r="D70" s="11"/>
      <c r="E70" s="116">
        <f>-Sheet1!$S$151</f>
        <v>-5918.1098777178149</v>
      </c>
      <c r="F70" s="116">
        <f>MIN(J69,J69+E70)</f>
        <v>29819.969100566941</v>
      </c>
      <c r="G70" s="116">
        <f>MAX(E70,0)</f>
        <v>0</v>
      </c>
      <c r="H70" s="116">
        <f>MAX(-E70,0)</f>
        <v>5918.1098777178149</v>
      </c>
      <c r="I70" s="86">
        <v>0</v>
      </c>
      <c r="J70" s="116">
        <f>J69+E70</f>
        <v>29819.969100566941</v>
      </c>
      <c r="K70" s="11"/>
      <c r="L70" s="11"/>
      <c r="M70" s="11"/>
      <c r="N70" s="11"/>
      <c r="O70" s="11"/>
      <c r="P70" s="11"/>
      <c r="Q70" s="11"/>
      <c r="R70" s="11"/>
      <c r="S70" s="11"/>
    </row>
    <row r="71" spans="2:19" ht="13.5" customHeight="1">
      <c r="B71" s="56" t="s">
        <v>778</v>
      </c>
      <c r="C71" s="11"/>
      <c r="D71" s="11"/>
      <c r="E71" s="116">
        <f>-Sheet1!$S$153</f>
        <v>-7329.1398231595222</v>
      </c>
      <c r="F71" s="116">
        <f>MIN(J70,J70+E71)</f>
        <v>22490.829277407418</v>
      </c>
      <c r="G71" s="116">
        <f>MAX(E71,0)</f>
        <v>0</v>
      </c>
      <c r="H71" s="116">
        <f>MAX(-E71,0)</f>
        <v>7329.1398231595222</v>
      </c>
      <c r="I71" s="86">
        <v>0</v>
      </c>
      <c r="J71" s="116">
        <f>J70+E71</f>
        <v>22490.829277407418</v>
      </c>
      <c r="K71" s="11"/>
      <c r="L71" s="11"/>
      <c r="M71" s="11"/>
      <c r="N71" s="11"/>
      <c r="O71" s="11"/>
      <c r="P71" s="11"/>
      <c r="Q71" s="11"/>
      <c r="R71" s="11"/>
      <c r="S71" s="11"/>
    </row>
    <row r="72" spans="2:19" ht="13.5" customHeight="1">
      <c r="B72" s="35" t="s">
        <v>779</v>
      </c>
      <c r="C72" s="35"/>
      <c r="D72" s="35"/>
      <c r="E72" s="126">
        <f>Sheet1!$S$154</f>
        <v>22490.829277407418</v>
      </c>
      <c r="F72" s="126">
        <v>0</v>
      </c>
      <c r="G72" s="126">
        <v>0</v>
      </c>
      <c r="H72" s="126">
        <v>0</v>
      </c>
      <c r="I72" s="126">
        <f>E72</f>
        <v>22490.829277407418</v>
      </c>
      <c r="J72" s="126">
        <f>E72</f>
        <v>22490.829277407418</v>
      </c>
      <c r="K72" s="35"/>
      <c r="L72" s="35"/>
      <c r="M72" s="35"/>
      <c r="N72" s="35"/>
      <c r="O72" s="35"/>
      <c r="P72" s="35"/>
      <c r="Q72" s="35"/>
      <c r="R72" s="35"/>
      <c r="S72" s="35"/>
    </row>
    <row r="73" spans="2:19" ht="13.5" customHeight="1">
      <c r="B73" s="53" t="s">
        <v>767</v>
      </c>
      <c r="C73" s="11"/>
      <c r="D73" s="11"/>
      <c r="E73" s="106">
        <f>J71-E72</f>
        <v>0</v>
      </c>
      <c r="F73" s="11"/>
      <c r="G73" s="11"/>
      <c r="H73" s="11"/>
      <c r="I73" s="11"/>
      <c r="J73" s="11"/>
      <c r="K73" s="11"/>
      <c r="L73" s="11"/>
      <c r="M73" s="11"/>
      <c r="N73" s="11"/>
      <c r="O73" s="11"/>
      <c r="P73" s="11"/>
      <c r="Q73" s="11"/>
      <c r="R73" s="11"/>
      <c r="S73" s="11"/>
    </row>
    <row r="74" spans="2:19" ht="13.5" customHeight="1">
      <c r="B74" s="11"/>
      <c r="C74" s="11"/>
      <c r="D74" s="11"/>
      <c r="E74" s="11"/>
      <c r="F74" s="11"/>
      <c r="G74" s="11"/>
      <c r="H74" s="11"/>
      <c r="I74" s="11"/>
      <c r="J74" s="11"/>
      <c r="K74" s="11"/>
      <c r="L74" s="11"/>
      <c r="M74" s="11"/>
      <c r="N74" s="11"/>
      <c r="O74" s="11"/>
      <c r="P74" s="11"/>
      <c r="Q74" s="11"/>
      <c r="R74" s="11"/>
      <c r="S74" s="11"/>
    </row>
    <row r="75" spans="2:19" ht="13.5" customHeight="1">
      <c r="B75" s="11"/>
      <c r="C75" s="11"/>
      <c r="D75" s="11"/>
      <c r="E75" s="11"/>
      <c r="F75" s="11"/>
      <c r="G75" s="11"/>
      <c r="H75" s="11"/>
      <c r="I75" s="11"/>
      <c r="J75" s="11"/>
      <c r="K75" s="11"/>
      <c r="L75" s="11"/>
      <c r="M75" s="11"/>
      <c r="N75" s="11"/>
      <c r="O75" s="11"/>
      <c r="P75" s="11"/>
      <c r="Q75" s="11"/>
      <c r="R75" s="11"/>
      <c r="S75" s="11"/>
    </row>
    <row r="76" spans="2:19" ht="13.5" customHeight="1">
      <c r="B76" s="11"/>
      <c r="C76" s="11"/>
      <c r="D76" s="11"/>
      <c r="E76" s="11"/>
      <c r="F76" s="11"/>
      <c r="G76" s="11"/>
      <c r="H76" s="11"/>
      <c r="I76" s="11"/>
      <c r="J76" s="11"/>
      <c r="K76" s="11"/>
      <c r="L76" s="11"/>
      <c r="M76" s="11"/>
      <c r="N76" s="11"/>
      <c r="O76" s="11"/>
      <c r="P76" s="11"/>
      <c r="Q76" s="11"/>
      <c r="R76" s="11"/>
      <c r="S76" s="11"/>
    </row>
    <row r="77" spans="2:19" ht="13.5" customHeight="1">
      <c r="B77" s="11"/>
      <c r="C77" s="11"/>
      <c r="D77" s="11"/>
      <c r="E77" s="11"/>
      <c r="F77" s="11"/>
      <c r="G77" s="11"/>
      <c r="H77" s="11"/>
      <c r="I77" s="11"/>
      <c r="J77" s="11"/>
      <c r="K77" s="11"/>
      <c r="L77" s="11"/>
      <c r="M77" s="11"/>
      <c r="N77" s="11"/>
      <c r="O77" s="11"/>
      <c r="P77" s="11"/>
      <c r="Q77" s="11"/>
      <c r="R77" s="11"/>
      <c r="S77" s="11"/>
    </row>
    <row r="78" spans="2:19" ht="13.5" customHeight="1">
      <c r="B78" s="11"/>
      <c r="C78" s="11"/>
      <c r="D78" s="11"/>
      <c r="E78" s="11"/>
      <c r="F78" s="11"/>
      <c r="G78" s="11"/>
      <c r="H78" s="11"/>
      <c r="I78" s="11"/>
      <c r="J78" s="11"/>
      <c r="K78" s="11"/>
      <c r="L78" s="11"/>
      <c r="M78" s="11"/>
      <c r="N78" s="11"/>
      <c r="O78" s="11"/>
      <c r="P78" s="11"/>
      <c r="Q78" s="11"/>
      <c r="R78" s="11"/>
      <c r="S78" s="11"/>
    </row>
    <row r="79" spans="2:19" ht="13.5" customHeight="1">
      <c r="B79" s="11"/>
      <c r="C79" s="11"/>
      <c r="D79" s="11"/>
      <c r="E79" s="11"/>
      <c r="F79" s="11"/>
      <c r="G79" s="11"/>
      <c r="H79" s="11"/>
      <c r="I79" s="11"/>
      <c r="J79" s="11"/>
      <c r="K79" s="11"/>
      <c r="L79" s="11"/>
      <c r="M79" s="11"/>
      <c r="N79" s="11"/>
      <c r="O79" s="11"/>
      <c r="P79" s="11"/>
      <c r="Q79" s="11"/>
      <c r="R79" s="11"/>
      <c r="S79" s="11"/>
    </row>
    <row r="80" spans="2:19" ht="13.5" customHeight="1">
      <c r="B80" s="11"/>
      <c r="C80" s="11"/>
      <c r="D80" s="11"/>
      <c r="E80" s="11"/>
      <c r="F80" s="11"/>
      <c r="G80" s="11"/>
      <c r="H80" s="11"/>
      <c r="I80" s="11"/>
      <c r="J80" s="11"/>
      <c r="K80" s="11"/>
      <c r="L80" s="11"/>
      <c r="M80" s="11"/>
      <c r="N80" s="11"/>
      <c r="O80" s="11"/>
      <c r="P80" s="11"/>
      <c r="Q80" s="11"/>
      <c r="R80" s="11"/>
      <c r="S80" s="11"/>
    </row>
    <row r="81" spans="2:19" ht="13.5" customHeight="1">
      <c r="B81" s="11"/>
      <c r="C81" s="11"/>
      <c r="D81" s="11"/>
      <c r="E81" s="11"/>
      <c r="F81" s="11"/>
      <c r="G81" s="11"/>
      <c r="H81" s="11"/>
      <c r="I81" s="11"/>
      <c r="J81" s="11"/>
      <c r="K81" s="11"/>
      <c r="L81" s="11"/>
      <c r="M81" s="11"/>
      <c r="N81" s="11"/>
      <c r="O81" s="11"/>
      <c r="P81" s="11"/>
      <c r="Q81" s="11"/>
      <c r="R81" s="11"/>
      <c r="S81" s="11"/>
    </row>
    <row r="82" spans="2:19" ht="13.5" customHeight="1">
      <c r="B82" s="11"/>
      <c r="C82" s="11"/>
      <c r="D82" s="11"/>
      <c r="E82" s="11"/>
      <c r="F82" s="11"/>
      <c r="G82" s="11"/>
      <c r="H82" s="11"/>
      <c r="I82" s="11"/>
      <c r="J82" s="11"/>
      <c r="K82" s="11"/>
      <c r="L82" s="11"/>
      <c r="M82" s="11"/>
      <c r="N82" s="11"/>
      <c r="O82" s="11"/>
      <c r="P82" s="11"/>
      <c r="Q82" s="11"/>
      <c r="R82" s="11"/>
      <c r="S82" s="11"/>
    </row>
    <row r="83" spans="2:19" ht="13.5" customHeight="1">
      <c r="B83" s="11"/>
      <c r="C83" s="11"/>
      <c r="D83" s="11"/>
      <c r="E83" s="11"/>
      <c r="F83" s="11"/>
      <c r="G83" s="11"/>
      <c r="H83" s="11"/>
      <c r="I83" s="11"/>
      <c r="J83" s="11"/>
      <c r="K83" s="11"/>
      <c r="L83" s="11"/>
      <c r="M83" s="11"/>
      <c r="N83" s="11"/>
      <c r="O83" s="11"/>
      <c r="P83" s="11"/>
      <c r="Q83" s="11"/>
      <c r="R83" s="11"/>
      <c r="S83" s="11"/>
    </row>
    <row r="84" spans="2:19" ht="13.5" customHeight="1">
      <c r="B84" s="11"/>
      <c r="C84" s="11"/>
      <c r="D84" s="11"/>
      <c r="E84" s="11"/>
      <c r="F84" s="11"/>
      <c r="G84" s="11"/>
      <c r="H84" s="11"/>
      <c r="I84" s="11"/>
      <c r="J84" s="11"/>
      <c r="K84" s="11"/>
      <c r="L84" s="11"/>
      <c r="M84" s="11"/>
      <c r="N84" s="11"/>
      <c r="O84" s="11"/>
      <c r="P84" s="11"/>
      <c r="Q84" s="11"/>
      <c r="R84" s="11"/>
      <c r="S84" s="11"/>
    </row>
    <row r="85" spans="2:19" ht="13.5" customHeight="1">
      <c r="B85" s="11"/>
      <c r="C85" s="11"/>
      <c r="D85" s="11"/>
      <c r="E85" s="11"/>
      <c r="F85" s="11"/>
      <c r="G85" s="11"/>
      <c r="H85" s="11"/>
      <c r="I85" s="11"/>
      <c r="J85" s="11"/>
      <c r="K85" s="11"/>
      <c r="L85" s="11"/>
      <c r="M85" s="11"/>
      <c r="N85" s="11"/>
      <c r="O85" s="11"/>
      <c r="P85" s="11"/>
      <c r="Q85" s="11"/>
      <c r="R85" s="11"/>
      <c r="S85" s="11"/>
    </row>
    <row r="86" spans="2:19" ht="13.5" customHeight="1">
      <c r="B86" s="11"/>
      <c r="C86" s="11"/>
      <c r="D86" s="11"/>
      <c r="E86" s="11"/>
      <c r="F86" s="11"/>
      <c r="G86" s="11"/>
      <c r="H86" s="11"/>
      <c r="I86" s="11"/>
      <c r="J86" s="11"/>
      <c r="K86" s="11"/>
      <c r="L86" s="11"/>
      <c r="M86" s="11"/>
      <c r="N86" s="11"/>
      <c r="O86" s="11"/>
      <c r="P86" s="11"/>
      <c r="Q86" s="11"/>
      <c r="R86" s="11"/>
      <c r="S86" s="11"/>
    </row>
    <row r="87" spans="2:19" ht="13.5" customHeight="1">
      <c r="B87" s="11"/>
      <c r="C87" s="11"/>
      <c r="D87" s="11"/>
      <c r="E87" s="11"/>
      <c r="F87" s="11"/>
      <c r="G87" s="11"/>
      <c r="H87" s="11"/>
      <c r="I87" s="11"/>
      <c r="J87" s="11"/>
      <c r="K87" s="11"/>
      <c r="L87" s="11"/>
      <c r="M87" s="11"/>
      <c r="N87" s="11"/>
      <c r="O87" s="11"/>
      <c r="P87" s="11"/>
      <c r="Q87" s="11"/>
      <c r="R87" s="11"/>
      <c r="S87" s="11"/>
    </row>
    <row r="88" spans="2:19" ht="13.5" customHeight="1">
      <c r="B88" s="11"/>
      <c r="C88" s="11"/>
      <c r="D88" s="11"/>
      <c r="E88" s="11"/>
      <c r="F88" s="11"/>
      <c r="G88" s="11"/>
      <c r="H88" s="11"/>
      <c r="I88" s="11"/>
      <c r="J88" s="11"/>
      <c r="K88" s="11"/>
      <c r="L88" s="11"/>
      <c r="M88" s="11"/>
      <c r="N88" s="11"/>
      <c r="O88" s="11"/>
      <c r="P88" s="11"/>
      <c r="Q88" s="11"/>
      <c r="R88" s="11"/>
      <c r="S88" s="11"/>
    </row>
    <row r="89" spans="2:19" ht="13.5" customHeight="1">
      <c r="B89" s="11"/>
      <c r="C89" s="11"/>
      <c r="D89" s="11"/>
      <c r="E89" s="11"/>
      <c r="F89" s="11"/>
      <c r="G89" s="11"/>
      <c r="H89" s="11"/>
      <c r="I89" s="11"/>
      <c r="J89" s="11"/>
      <c r="K89" s="11"/>
      <c r="L89" s="11"/>
      <c r="M89" s="11"/>
      <c r="N89" s="11"/>
      <c r="O89" s="11"/>
      <c r="P89" s="11"/>
      <c r="Q89" s="11"/>
      <c r="R89" s="11"/>
      <c r="S89" s="11"/>
    </row>
    <row r="90" spans="2:19" ht="13.5" customHeight="1">
      <c r="B90" s="11"/>
      <c r="C90" s="11"/>
      <c r="D90" s="11"/>
      <c r="E90" s="11"/>
      <c r="F90" s="11"/>
      <c r="G90" s="11"/>
      <c r="H90" s="11"/>
      <c r="I90" s="11"/>
      <c r="J90" s="11"/>
      <c r="K90" s="11"/>
      <c r="L90" s="11"/>
      <c r="M90" s="11"/>
      <c r="N90" s="11"/>
      <c r="O90" s="11"/>
      <c r="P90" s="11"/>
      <c r="Q90" s="11"/>
      <c r="R90" s="11"/>
      <c r="S90" s="11"/>
    </row>
    <row r="91" spans="2:19" ht="13.5" customHeight="1">
      <c r="B91" s="11"/>
      <c r="C91" s="11"/>
      <c r="D91" s="11"/>
      <c r="E91" s="11"/>
      <c r="F91" s="11"/>
      <c r="G91" s="11"/>
      <c r="H91" s="11"/>
      <c r="I91" s="11"/>
      <c r="J91" s="11"/>
      <c r="K91" s="11"/>
      <c r="L91" s="11"/>
      <c r="M91" s="11"/>
      <c r="N91" s="11"/>
      <c r="O91" s="11"/>
      <c r="P91" s="11"/>
      <c r="Q91" s="11"/>
      <c r="R91" s="11"/>
      <c r="S91" s="11"/>
    </row>
    <row r="92" spans="2:19" ht="13.5" customHeight="1">
      <c r="B92" s="11"/>
      <c r="C92" s="11"/>
      <c r="D92" s="11"/>
      <c r="E92" s="11"/>
      <c r="F92" s="11"/>
      <c r="G92" s="11"/>
      <c r="H92" s="11"/>
      <c r="I92" s="11"/>
      <c r="J92" s="11"/>
      <c r="K92" s="11"/>
      <c r="L92" s="11"/>
      <c r="M92" s="11"/>
      <c r="N92" s="11"/>
      <c r="O92" s="11"/>
      <c r="P92" s="11"/>
      <c r="Q92" s="11"/>
      <c r="R92" s="11"/>
      <c r="S92" s="11"/>
    </row>
    <row r="93" spans="2:19" ht="13.5" customHeight="1">
      <c r="B93" s="11"/>
      <c r="C93" s="11"/>
      <c r="D93" s="11"/>
      <c r="E93" s="11"/>
      <c r="F93" s="11"/>
      <c r="G93" s="11"/>
      <c r="H93" s="11"/>
      <c r="I93" s="11"/>
      <c r="J93" s="11"/>
      <c r="K93" s="11"/>
      <c r="L93" s="11"/>
      <c r="M93" s="11"/>
      <c r="N93" s="11"/>
      <c r="O93" s="11"/>
      <c r="P93" s="11"/>
      <c r="Q93" s="11"/>
      <c r="R93" s="11"/>
      <c r="S93" s="11"/>
    </row>
    <row r="94" spans="2:19" ht="13.5" customHeight="1">
      <c r="B94" s="11"/>
      <c r="C94" s="11"/>
      <c r="D94" s="11"/>
      <c r="E94" s="11"/>
      <c r="F94" s="11"/>
      <c r="G94" s="11"/>
      <c r="H94" s="11"/>
      <c r="I94" s="11"/>
      <c r="J94" s="11"/>
      <c r="K94" s="11"/>
      <c r="L94" s="11"/>
      <c r="M94" s="11"/>
      <c r="N94" s="11"/>
      <c r="O94" s="11"/>
      <c r="P94" s="11"/>
      <c r="Q94" s="11"/>
      <c r="R94" s="11"/>
      <c r="S94" s="11"/>
    </row>
    <row r="95" spans="2:19" ht="13.5" customHeight="1">
      <c r="B95" s="73" t="s">
        <v>780</v>
      </c>
      <c r="C95" s="11"/>
      <c r="D95" s="11"/>
      <c r="E95" s="11"/>
      <c r="F95" s="11"/>
      <c r="G95" s="11"/>
      <c r="H95" s="11"/>
      <c r="I95" s="11"/>
      <c r="J95" s="11"/>
      <c r="K95" s="11"/>
      <c r="L95" s="11"/>
      <c r="M95" s="11"/>
      <c r="N95" s="11"/>
      <c r="O95" s="11"/>
      <c r="P95" s="11"/>
      <c r="Q95" s="11"/>
      <c r="R95" s="11"/>
      <c r="S95" s="11"/>
    </row>
    <row r="96" spans="2:19" ht="13.5" customHeight="1">
      <c r="B96" s="35"/>
      <c r="C96" s="35"/>
      <c r="D96" s="35"/>
      <c r="E96" s="35" t="s">
        <v>754</v>
      </c>
      <c r="F96" s="35" t="s">
        <v>755</v>
      </c>
      <c r="G96" s="35" t="s">
        <v>756</v>
      </c>
      <c r="H96" s="35" t="s">
        <v>757</v>
      </c>
      <c r="I96" s="35" t="s">
        <v>758</v>
      </c>
      <c r="J96" s="35" t="s">
        <v>759</v>
      </c>
      <c r="K96" s="35"/>
      <c r="L96" s="35"/>
      <c r="M96" s="35"/>
      <c r="N96" s="35"/>
      <c r="O96" s="35"/>
      <c r="P96" s="35"/>
      <c r="Q96" s="35"/>
      <c r="R96" s="35"/>
      <c r="S96" s="35"/>
    </row>
    <row r="97" spans="2:19" ht="13.5" customHeight="1">
      <c r="B97" s="35" t="s">
        <v>781</v>
      </c>
      <c r="C97" s="35"/>
      <c r="D97" s="35"/>
      <c r="E97" s="126">
        <f>Sheet1!$I$359</f>
        <v>0.15604033657762229</v>
      </c>
      <c r="F97" s="126">
        <v>0</v>
      </c>
      <c r="G97" s="126">
        <v>0</v>
      </c>
      <c r="H97" s="126">
        <v>0</v>
      </c>
      <c r="I97" s="126">
        <f>E97</f>
        <v>0.15604033657762229</v>
      </c>
      <c r="J97" s="126">
        <f>E97</f>
        <v>0.15604033657762229</v>
      </c>
      <c r="K97" s="35"/>
      <c r="L97" s="35"/>
      <c r="M97" s="35"/>
      <c r="N97" s="35"/>
      <c r="O97" s="35"/>
      <c r="P97" s="35"/>
      <c r="Q97" s="35"/>
      <c r="R97" s="35"/>
      <c r="S97" s="35"/>
    </row>
    <row r="98" spans="2:19" ht="13.5" customHeight="1">
      <c r="B98" s="56" t="s">
        <v>782</v>
      </c>
      <c r="C98" s="11"/>
      <c r="D98" s="11"/>
      <c r="E98" s="116">
        <f>Sheet1!$S$354-Sheet1!$I$354</f>
        <v>-5.5371989983548253E-2</v>
      </c>
      <c r="F98" s="116">
        <f>MIN(J97,J97+E98)</f>
        <v>0.10066834659407403</v>
      </c>
      <c r="G98" s="116">
        <f>MAX(E98,0)</f>
        <v>0</v>
      </c>
      <c r="H98" s="116">
        <f>MAX(-E98,0)</f>
        <v>5.5371989983548253E-2</v>
      </c>
      <c r="I98" s="86">
        <v>0</v>
      </c>
      <c r="J98" s="116">
        <f>J97+E98</f>
        <v>0.10066834659407403</v>
      </c>
      <c r="K98" s="11"/>
      <c r="L98" s="11"/>
      <c r="M98" s="11"/>
      <c r="N98" s="11"/>
      <c r="O98" s="11"/>
      <c r="P98" s="11"/>
      <c r="Q98" s="11"/>
      <c r="R98" s="11"/>
      <c r="S98" s="11"/>
    </row>
    <row r="99" spans="2:19" ht="13.5" customHeight="1">
      <c r="B99" s="56" t="s">
        <v>783</v>
      </c>
      <c r="C99" s="11"/>
      <c r="D99" s="11"/>
      <c r="E99" s="116">
        <f>Sheet1!$S$355-Sheet1!$I$355</f>
        <v>-1.2785922126709648E-2</v>
      </c>
      <c r="F99" s="116">
        <f>MIN(J98,J98+E99)</f>
        <v>8.7882424467364384E-2</v>
      </c>
      <c r="G99" s="116">
        <f>MAX(E99,0)</f>
        <v>0</v>
      </c>
      <c r="H99" s="116">
        <f>MAX(-E99,0)</f>
        <v>1.2785922126709648E-2</v>
      </c>
      <c r="I99" s="86">
        <v>0</v>
      </c>
      <c r="J99" s="116">
        <f>J98+E99</f>
        <v>8.7882424467364384E-2</v>
      </c>
      <c r="K99" s="11"/>
      <c r="L99" s="11"/>
      <c r="M99" s="11"/>
      <c r="N99" s="11"/>
      <c r="O99" s="11"/>
      <c r="P99" s="11"/>
      <c r="Q99" s="11"/>
      <c r="R99" s="11"/>
      <c r="S99" s="11"/>
    </row>
    <row r="100" spans="2:19" ht="13.5" customHeight="1">
      <c r="B100" s="56" t="s">
        <v>784</v>
      </c>
      <c r="C100" s="11"/>
      <c r="D100" s="11"/>
      <c r="E100" s="116">
        <f>Sheet1!$S$356-Sheet1!$I$356</f>
        <v>4.5503773870246456E-2</v>
      </c>
      <c r="F100" s="116">
        <f>MIN(J99,J99+E100)</f>
        <v>8.7882424467364384E-2</v>
      </c>
      <c r="G100" s="116">
        <f>MAX(E100,0)</f>
        <v>4.5503773870246456E-2</v>
      </c>
      <c r="H100" s="116">
        <f>MAX(-E100,0)</f>
        <v>0</v>
      </c>
      <c r="I100" s="86">
        <v>0</v>
      </c>
      <c r="J100" s="116">
        <f>J99+E100</f>
        <v>0.13338619833761084</v>
      </c>
      <c r="K100" s="11"/>
      <c r="L100" s="11"/>
      <c r="M100" s="11"/>
      <c r="N100" s="11"/>
      <c r="O100" s="11"/>
      <c r="P100" s="11"/>
      <c r="Q100" s="11"/>
      <c r="R100" s="11"/>
      <c r="S100" s="11"/>
    </row>
    <row r="101" spans="2:19" ht="13.5" customHeight="1">
      <c r="B101" s="56" t="s">
        <v>785</v>
      </c>
      <c r="C101" s="11"/>
      <c r="D101" s="11"/>
      <c r="E101" s="116">
        <f>Sheet1!$S$357-Sheet1!$I$357</f>
        <v>1.01302177001358E-2</v>
      </c>
      <c r="F101" s="116">
        <f>MIN(J100,J100+E101)</f>
        <v>0.13338619833761084</v>
      </c>
      <c r="G101" s="116">
        <f>MAX(E101,0)</f>
        <v>1.01302177001358E-2</v>
      </c>
      <c r="H101" s="116">
        <f>MAX(-E101,0)</f>
        <v>0</v>
      </c>
      <c r="I101" s="86">
        <v>0</v>
      </c>
      <c r="J101" s="116">
        <f>J100+E101</f>
        <v>0.14351641603774665</v>
      </c>
      <c r="K101" s="11"/>
      <c r="L101" s="11"/>
      <c r="M101" s="11"/>
      <c r="N101" s="11"/>
      <c r="O101" s="11"/>
      <c r="P101" s="11"/>
      <c r="Q101" s="11"/>
      <c r="R101" s="11"/>
      <c r="S101" s="11"/>
    </row>
    <row r="102" spans="2:19" ht="13.5" customHeight="1">
      <c r="B102" s="56" t="s">
        <v>786</v>
      </c>
      <c r="C102" s="11"/>
      <c r="D102" s="11"/>
      <c r="E102" s="116">
        <f>Sheet1!$S$358-Sheet1!$I$358</f>
        <v>2.6807336980223945E-3</v>
      </c>
      <c r="F102" s="116">
        <f>MIN(J101,J101+E102)</f>
        <v>0.14351641603774665</v>
      </c>
      <c r="G102" s="116">
        <f>MAX(E102,0)</f>
        <v>2.6807336980223945E-3</v>
      </c>
      <c r="H102" s="116">
        <f>MAX(-E102,0)</f>
        <v>0</v>
      </c>
      <c r="I102" s="86">
        <v>0</v>
      </c>
      <c r="J102" s="116">
        <f>J101+E102</f>
        <v>0.14619714973576903</v>
      </c>
      <c r="K102" s="11"/>
      <c r="L102" s="11"/>
      <c r="M102" s="11"/>
      <c r="N102" s="11"/>
      <c r="O102" s="11"/>
      <c r="P102" s="11"/>
      <c r="Q102" s="11"/>
      <c r="R102" s="11"/>
      <c r="S102" s="11"/>
    </row>
    <row r="103" spans="2:19" ht="13.5" customHeight="1">
      <c r="B103" s="35" t="s">
        <v>787</v>
      </c>
      <c r="C103" s="35"/>
      <c r="D103" s="35"/>
      <c r="E103" s="126">
        <f>Sheet1!$S$359</f>
        <v>0.14619714973576903</v>
      </c>
      <c r="F103" s="126">
        <v>0</v>
      </c>
      <c r="G103" s="126">
        <v>0</v>
      </c>
      <c r="H103" s="126">
        <v>0</v>
      </c>
      <c r="I103" s="126">
        <f>E103</f>
        <v>0.14619714973576903</v>
      </c>
      <c r="J103" s="126">
        <f>E103</f>
        <v>0.14619714973576903</v>
      </c>
      <c r="K103" s="35"/>
      <c r="L103" s="35"/>
      <c r="M103" s="35"/>
      <c r="N103" s="35"/>
      <c r="O103" s="35"/>
      <c r="P103" s="35"/>
      <c r="Q103" s="35"/>
      <c r="R103" s="35"/>
      <c r="S103" s="35"/>
    </row>
    <row r="104" spans="2:19" ht="13.5" customHeight="1">
      <c r="B104" s="53" t="s">
        <v>767</v>
      </c>
      <c r="C104" s="11"/>
      <c r="D104" s="11"/>
      <c r="E104" s="106">
        <f>J102-E103</f>
        <v>0</v>
      </c>
      <c r="F104" s="11"/>
      <c r="G104" s="11"/>
      <c r="H104" s="11"/>
      <c r="I104" s="11"/>
      <c r="J104" s="11"/>
      <c r="K104" s="11"/>
      <c r="L104" s="11"/>
      <c r="M104" s="11"/>
      <c r="N104" s="11"/>
      <c r="O104" s="11"/>
      <c r="P104" s="11"/>
      <c r="Q104" s="11"/>
      <c r="R104" s="11"/>
      <c r="S104" s="11"/>
    </row>
    <row r="105" spans="2:19" ht="13.5" customHeight="1">
      <c r="B105" s="11"/>
      <c r="C105" s="11"/>
      <c r="D105" s="11"/>
      <c r="E105" s="11"/>
      <c r="F105" s="11"/>
      <c r="G105" s="11"/>
      <c r="H105" s="11"/>
      <c r="I105" s="11"/>
      <c r="J105" s="11"/>
      <c r="K105" s="11"/>
      <c r="L105" s="11"/>
      <c r="M105" s="11"/>
      <c r="N105" s="11"/>
      <c r="O105" s="11"/>
      <c r="P105" s="11"/>
      <c r="Q105" s="11"/>
      <c r="R105" s="11"/>
      <c r="S105" s="11"/>
    </row>
    <row r="106" spans="2:19" ht="13.5" customHeight="1">
      <c r="B106" s="11"/>
      <c r="C106" s="11"/>
      <c r="D106" s="11"/>
      <c r="E106" s="11"/>
      <c r="F106" s="11"/>
      <c r="G106" s="11"/>
      <c r="H106" s="11"/>
      <c r="I106" s="11"/>
      <c r="J106" s="11"/>
      <c r="K106" s="11"/>
      <c r="L106" s="11"/>
      <c r="M106" s="11"/>
      <c r="N106" s="11"/>
      <c r="O106" s="11"/>
      <c r="P106" s="11"/>
      <c r="Q106" s="11"/>
      <c r="R106" s="11"/>
      <c r="S106" s="11"/>
    </row>
    <row r="107" spans="2:19" ht="13.5" customHeight="1">
      <c r="B107" s="11"/>
      <c r="C107" s="11"/>
      <c r="D107" s="11"/>
      <c r="E107" s="11"/>
      <c r="F107" s="11"/>
      <c r="G107" s="11"/>
      <c r="H107" s="11"/>
      <c r="I107" s="11"/>
      <c r="J107" s="11"/>
      <c r="K107" s="11"/>
      <c r="L107" s="11"/>
      <c r="M107" s="11"/>
      <c r="N107" s="11"/>
      <c r="O107" s="11"/>
      <c r="P107" s="11"/>
      <c r="Q107" s="11"/>
      <c r="R107" s="11"/>
      <c r="S107" s="11"/>
    </row>
    <row r="108" spans="2:19" ht="13.5" customHeight="1">
      <c r="B108" s="11"/>
      <c r="C108" s="11"/>
      <c r="D108" s="11"/>
      <c r="E108" s="11"/>
      <c r="F108" s="11"/>
      <c r="G108" s="11"/>
      <c r="H108" s="11"/>
      <c r="I108" s="11"/>
      <c r="J108" s="11"/>
      <c r="K108" s="11"/>
      <c r="L108" s="11"/>
      <c r="M108" s="11"/>
      <c r="N108" s="11"/>
      <c r="O108" s="11"/>
      <c r="P108" s="11"/>
      <c r="Q108" s="11"/>
      <c r="R108" s="11"/>
      <c r="S108" s="11"/>
    </row>
    <row r="109" spans="2:19" ht="13.5" customHeight="1">
      <c r="B109" s="11"/>
      <c r="C109" s="11"/>
      <c r="D109" s="11"/>
      <c r="E109" s="11"/>
      <c r="F109" s="11"/>
      <c r="G109" s="11"/>
      <c r="H109" s="11"/>
      <c r="I109" s="11"/>
      <c r="J109" s="11"/>
      <c r="K109" s="11"/>
      <c r="L109" s="11"/>
      <c r="M109" s="11"/>
      <c r="N109" s="11"/>
      <c r="O109" s="11"/>
      <c r="P109" s="11"/>
      <c r="Q109" s="11"/>
      <c r="R109" s="11"/>
      <c r="S109" s="11"/>
    </row>
    <row r="110" spans="2:19" ht="13.5" customHeight="1">
      <c r="B110" s="11"/>
      <c r="C110" s="11"/>
      <c r="D110" s="11"/>
      <c r="E110" s="11"/>
      <c r="F110" s="11"/>
      <c r="G110" s="11"/>
      <c r="H110" s="11"/>
      <c r="I110" s="11"/>
      <c r="J110" s="11"/>
      <c r="K110" s="11"/>
      <c r="L110" s="11"/>
      <c r="M110" s="11"/>
      <c r="N110" s="11"/>
      <c r="O110" s="11"/>
      <c r="P110" s="11"/>
      <c r="Q110" s="11"/>
      <c r="R110" s="11"/>
      <c r="S110" s="11"/>
    </row>
    <row r="111" spans="2:19" ht="13.5" customHeight="1">
      <c r="B111" s="11"/>
      <c r="C111" s="11"/>
      <c r="D111" s="11"/>
      <c r="E111" s="11"/>
      <c r="F111" s="11"/>
      <c r="G111" s="11"/>
      <c r="H111" s="11"/>
      <c r="I111" s="11"/>
      <c r="J111" s="11"/>
      <c r="K111" s="11"/>
      <c r="L111" s="11"/>
      <c r="M111" s="11"/>
      <c r="N111" s="11"/>
      <c r="O111" s="11"/>
      <c r="P111" s="11"/>
      <c r="Q111" s="11"/>
      <c r="R111" s="11"/>
      <c r="S111" s="11"/>
    </row>
    <row r="112" spans="2:19" ht="13.5" customHeight="1">
      <c r="B112" s="11"/>
      <c r="C112" s="11"/>
      <c r="D112" s="11"/>
      <c r="E112" s="11"/>
      <c r="F112" s="11"/>
      <c r="G112" s="11"/>
      <c r="H112" s="11"/>
      <c r="I112" s="11"/>
      <c r="J112" s="11"/>
      <c r="K112" s="11"/>
      <c r="L112" s="11"/>
      <c r="M112" s="11"/>
      <c r="N112" s="11"/>
      <c r="O112" s="11"/>
      <c r="P112" s="11"/>
      <c r="Q112" s="11"/>
      <c r="R112" s="11"/>
      <c r="S112" s="11"/>
    </row>
    <row r="113" spans="2:19" ht="13.5" customHeight="1">
      <c r="B113" s="11"/>
      <c r="C113" s="11"/>
      <c r="D113" s="11"/>
      <c r="E113" s="11"/>
      <c r="F113" s="11"/>
      <c r="G113" s="11"/>
      <c r="H113" s="11"/>
      <c r="I113" s="11"/>
      <c r="J113" s="11"/>
      <c r="K113" s="11"/>
      <c r="L113" s="11"/>
      <c r="M113" s="11"/>
      <c r="N113" s="11"/>
      <c r="O113" s="11"/>
      <c r="P113" s="11"/>
      <c r="Q113" s="11"/>
      <c r="R113" s="11"/>
      <c r="S113" s="11"/>
    </row>
    <row r="114" spans="2:19" ht="13.5" customHeight="1">
      <c r="B114" s="11"/>
      <c r="C114" s="11"/>
      <c r="D114" s="11"/>
      <c r="E114" s="11"/>
      <c r="F114" s="11"/>
      <c r="G114" s="11"/>
      <c r="H114" s="11"/>
      <c r="I114" s="11"/>
      <c r="J114" s="11"/>
      <c r="K114" s="11"/>
      <c r="L114" s="11"/>
      <c r="M114" s="11"/>
      <c r="N114" s="11"/>
      <c r="O114" s="11"/>
      <c r="P114" s="11"/>
      <c r="Q114" s="11"/>
      <c r="R114" s="11"/>
      <c r="S114" s="11"/>
    </row>
    <row r="115" spans="2:19" ht="13.5" customHeight="1">
      <c r="B115" s="11"/>
      <c r="C115" s="11"/>
      <c r="D115" s="11"/>
      <c r="E115" s="11"/>
      <c r="F115" s="11"/>
      <c r="G115" s="11"/>
      <c r="H115" s="11"/>
      <c r="I115" s="11"/>
      <c r="J115" s="11"/>
      <c r="K115" s="11"/>
      <c r="L115" s="11"/>
      <c r="M115" s="11"/>
      <c r="N115" s="11"/>
      <c r="O115" s="11"/>
      <c r="P115" s="11"/>
      <c r="Q115" s="11"/>
      <c r="R115" s="11"/>
      <c r="S115" s="11"/>
    </row>
    <row r="116" spans="2:19" ht="13.5" customHeight="1">
      <c r="B116" s="11"/>
      <c r="C116" s="11"/>
      <c r="D116" s="11"/>
      <c r="E116" s="11"/>
      <c r="F116" s="11"/>
      <c r="G116" s="11"/>
      <c r="H116" s="11"/>
      <c r="I116" s="11"/>
      <c r="J116" s="11"/>
      <c r="K116" s="11"/>
      <c r="L116" s="11"/>
      <c r="M116" s="11"/>
      <c r="N116" s="11"/>
      <c r="O116" s="11"/>
      <c r="P116" s="11"/>
      <c r="Q116" s="11"/>
      <c r="R116" s="11"/>
      <c r="S116" s="11"/>
    </row>
    <row r="117" spans="2:19" ht="13.5" customHeight="1">
      <c r="B117" s="11"/>
      <c r="C117" s="11"/>
      <c r="D117" s="11"/>
      <c r="E117" s="11"/>
      <c r="F117" s="11"/>
      <c r="G117" s="11"/>
      <c r="H117" s="11"/>
      <c r="I117" s="11"/>
      <c r="J117" s="11"/>
      <c r="K117" s="11"/>
      <c r="L117" s="11"/>
      <c r="M117" s="11"/>
      <c r="N117" s="11"/>
      <c r="O117" s="11"/>
      <c r="P117" s="11"/>
      <c r="Q117" s="11"/>
      <c r="R117" s="11"/>
      <c r="S117" s="11"/>
    </row>
    <row r="118" spans="2:19" ht="13.5" customHeight="1">
      <c r="B118" s="11"/>
      <c r="C118" s="11"/>
      <c r="D118" s="11"/>
      <c r="E118" s="11"/>
      <c r="F118" s="11"/>
      <c r="G118" s="11"/>
      <c r="H118" s="11"/>
      <c r="I118" s="11"/>
      <c r="J118" s="11"/>
      <c r="K118" s="11"/>
      <c r="L118" s="11"/>
      <c r="M118" s="11"/>
      <c r="N118" s="11"/>
      <c r="O118" s="11"/>
      <c r="P118" s="11"/>
      <c r="Q118" s="11"/>
      <c r="R118" s="11"/>
      <c r="S118" s="11"/>
    </row>
    <row r="119" spans="2:19" ht="13.5" customHeight="1">
      <c r="B119" s="11"/>
      <c r="C119" s="11"/>
      <c r="D119" s="11"/>
      <c r="E119" s="11"/>
      <c r="F119" s="11"/>
      <c r="G119" s="11"/>
      <c r="H119" s="11"/>
      <c r="I119" s="11"/>
      <c r="J119" s="11"/>
      <c r="K119" s="11"/>
      <c r="L119" s="11"/>
      <c r="M119" s="11"/>
      <c r="N119" s="11"/>
      <c r="O119" s="11"/>
      <c r="P119" s="11"/>
      <c r="Q119" s="11"/>
      <c r="R119" s="11"/>
      <c r="S119" s="11"/>
    </row>
    <row r="120" spans="2:19" ht="13.5" customHeight="1">
      <c r="B120" s="11"/>
      <c r="C120" s="11"/>
      <c r="D120" s="11"/>
      <c r="E120" s="11"/>
      <c r="F120" s="11"/>
      <c r="G120" s="11"/>
      <c r="H120" s="11"/>
      <c r="I120" s="11"/>
      <c r="J120" s="11"/>
      <c r="K120" s="11"/>
      <c r="L120" s="11"/>
      <c r="M120" s="11"/>
      <c r="N120" s="11"/>
      <c r="O120" s="11"/>
      <c r="P120" s="11"/>
      <c r="Q120" s="11"/>
      <c r="R120" s="11"/>
      <c r="S120" s="11"/>
    </row>
    <row r="121" spans="2:19" ht="13.5" customHeight="1">
      <c r="B121" s="11"/>
      <c r="C121" s="11"/>
      <c r="D121" s="11"/>
      <c r="E121" s="11"/>
      <c r="F121" s="11"/>
      <c r="G121" s="11"/>
      <c r="H121" s="11"/>
      <c r="I121" s="11"/>
      <c r="J121" s="11"/>
      <c r="K121" s="11"/>
      <c r="L121" s="11"/>
      <c r="M121" s="11"/>
      <c r="N121" s="11"/>
      <c r="O121" s="11"/>
      <c r="P121" s="11"/>
      <c r="Q121" s="11"/>
      <c r="R121" s="11"/>
      <c r="S121" s="11"/>
    </row>
    <row r="122" spans="2:19" ht="13.5" customHeight="1">
      <c r="B122" s="11"/>
      <c r="C122" s="11"/>
      <c r="D122" s="11"/>
      <c r="E122" s="11"/>
      <c r="F122" s="11"/>
      <c r="G122" s="11"/>
      <c r="H122" s="11"/>
      <c r="I122" s="11"/>
      <c r="J122" s="11"/>
      <c r="K122" s="11"/>
      <c r="L122" s="11"/>
      <c r="M122" s="11"/>
      <c r="N122" s="11"/>
      <c r="O122" s="11"/>
      <c r="P122" s="11"/>
      <c r="Q122" s="11"/>
      <c r="R122" s="11"/>
      <c r="S122" s="11"/>
    </row>
    <row r="123" spans="2:19" ht="13.5" customHeight="1">
      <c r="B123" s="11"/>
      <c r="C123" s="11"/>
      <c r="D123" s="11"/>
      <c r="E123" s="11"/>
      <c r="F123" s="11"/>
      <c r="G123" s="11"/>
      <c r="H123" s="11"/>
      <c r="I123" s="11"/>
      <c r="J123" s="11"/>
      <c r="K123" s="11"/>
      <c r="L123" s="11"/>
      <c r="M123" s="11"/>
      <c r="N123" s="11"/>
      <c r="O123" s="11"/>
      <c r="P123" s="11"/>
      <c r="Q123" s="11"/>
      <c r="R123" s="11"/>
      <c r="S123" s="11"/>
    </row>
    <row r="124" spans="2:19" ht="13.5" customHeight="1">
      <c r="B124" s="11"/>
      <c r="C124" s="11"/>
      <c r="D124" s="11"/>
      <c r="E124" s="11"/>
      <c r="F124" s="11"/>
      <c r="G124" s="11"/>
      <c r="H124" s="11"/>
      <c r="I124" s="11"/>
      <c r="J124" s="11"/>
      <c r="K124" s="11"/>
      <c r="L124" s="11"/>
      <c r="M124" s="11"/>
      <c r="N124" s="11"/>
      <c r="O124" s="11"/>
      <c r="P124" s="11"/>
      <c r="Q124" s="11"/>
      <c r="R124" s="11"/>
      <c r="S124" s="11"/>
    </row>
    <row r="125" spans="2:19" ht="13.5" customHeight="1">
      <c r="B125" s="11"/>
      <c r="C125" s="11"/>
      <c r="D125" s="11"/>
      <c r="E125" s="11"/>
      <c r="F125" s="11"/>
      <c r="G125" s="11"/>
      <c r="H125" s="11"/>
      <c r="I125" s="11"/>
      <c r="J125" s="11"/>
      <c r="K125" s="11"/>
      <c r="L125" s="11"/>
      <c r="M125" s="11"/>
      <c r="N125" s="11"/>
      <c r="O125" s="11"/>
      <c r="P125" s="11"/>
      <c r="Q125" s="11"/>
      <c r="R125" s="11"/>
      <c r="S125" s="11"/>
    </row>
    <row r="126" spans="2:19" ht="13.5" customHeight="1">
      <c r="B126" s="73" t="s">
        <v>788</v>
      </c>
      <c r="C126" s="11"/>
      <c r="D126" s="11"/>
      <c r="E126" s="11"/>
      <c r="F126" s="11"/>
      <c r="G126" s="11"/>
      <c r="H126" s="11"/>
      <c r="I126" s="11"/>
      <c r="J126" s="11"/>
      <c r="K126" s="11"/>
      <c r="L126" s="11"/>
      <c r="M126" s="11"/>
      <c r="N126" s="11"/>
      <c r="O126" s="11"/>
      <c r="P126" s="11"/>
      <c r="Q126" s="11"/>
      <c r="R126" s="11"/>
      <c r="S126" s="11"/>
    </row>
    <row r="127" spans="2:19" ht="13.5" customHeight="1">
      <c r="B127" s="35"/>
      <c r="C127" s="35"/>
      <c r="D127" s="35"/>
      <c r="E127" s="35" t="s">
        <v>754</v>
      </c>
      <c r="F127" s="35" t="s">
        <v>755</v>
      </c>
      <c r="G127" s="35" t="s">
        <v>756</v>
      </c>
      <c r="H127" s="35" t="s">
        <v>757</v>
      </c>
      <c r="I127" s="35" t="s">
        <v>758</v>
      </c>
      <c r="J127" s="35" t="s">
        <v>759</v>
      </c>
      <c r="K127" s="35"/>
      <c r="L127" s="35"/>
      <c r="M127" s="35"/>
      <c r="N127" s="35"/>
      <c r="O127" s="35"/>
      <c r="P127" s="35"/>
      <c r="Q127" s="35"/>
      <c r="R127" s="35"/>
      <c r="S127" s="35"/>
    </row>
    <row r="128" spans="2:19" ht="13.5" customHeight="1">
      <c r="B128" s="35" t="s">
        <v>789</v>
      </c>
      <c r="C128" s="35"/>
      <c r="D128" s="35"/>
      <c r="E128" s="126">
        <f>Sheet1!$I$175/Sheet1!$E$21*1000</f>
        <v>1126.2455543401304</v>
      </c>
      <c r="F128" s="126">
        <v>0</v>
      </c>
      <c r="G128" s="126">
        <v>0</v>
      </c>
      <c r="H128" s="126">
        <v>0</v>
      </c>
      <c r="I128" s="126">
        <f>E128</f>
        <v>1126.2455543401304</v>
      </c>
      <c r="J128" s="126">
        <f>E128</f>
        <v>1126.2455543401304</v>
      </c>
      <c r="K128" s="35"/>
      <c r="L128" s="35"/>
      <c r="M128" s="35"/>
      <c r="N128" s="35"/>
      <c r="O128" s="35"/>
      <c r="P128" s="35"/>
      <c r="Q128" s="35"/>
      <c r="R128" s="35"/>
      <c r="S128" s="35"/>
    </row>
    <row r="129" spans="2:19" ht="13.5" customHeight="1">
      <c r="B129" s="35" t="s">
        <v>790</v>
      </c>
      <c r="C129" s="35"/>
      <c r="D129" s="35"/>
      <c r="E129" s="126">
        <f>Sheet1!$J$392/Sheet1!$E$21*1000</f>
        <v>50.421950252844574</v>
      </c>
      <c r="F129" s="126">
        <f t="shared" ref="F129:F135" si="0">MIN(J128,J128+E129)</f>
        <v>1126.2455543401304</v>
      </c>
      <c r="G129" s="126">
        <f t="shared" ref="G129:G135" si="1">MAX(E129,0)</f>
        <v>50.421950252844574</v>
      </c>
      <c r="H129" s="126">
        <f t="shared" ref="H129:H135" si="2">MAX(-E129,0)</f>
        <v>0</v>
      </c>
      <c r="I129" s="126">
        <v>0</v>
      </c>
      <c r="J129" s="126">
        <f t="shared" ref="J129:J135" si="3">J128+E129</f>
        <v>1176.6675045929751</v>
      </c>
      <c r="K129" s="35"/>
      <c r="L129" s="35"/>
      <c r="M129" s="35"/>
      <c r="N129" s="35"/>
      <c r="O129" s="35"/>
      <c r="P129" s="35"/>
      <c r="Q129" s="35"/>
      <c r="R129" s="35"/>
      <c r="S129" s="35"/>
    </row>
    <row r="130" spans="2:19" ht="13.5" customHeight="1">
      <c r="B130" s="35" t="s">
        <v>791</v>
      </c>
      <c r="C130" s="35"/>
      <c r="D130" s="35"/>
      <c r="E130" s="126">
        <f>Sheet1!$K$392/Sheet1!$E$21*1000</f>
        <v>64.855400507190367</v>
      </c>
      <c r="F130" s="126">
        <f t="shared" si="0"/>
        <v>1176.6675045929751</v>
      </c>
      <c r="G130" s="126">
        <f t="shared" si="1"/>
        <v>64.855400507190367</v>
      </c>
      <c r="H130" s="126">
        <f t="shared" si="2"/>
        <v>0</v>
      </c>
      <c r="I130" s="126">
        <v>0</v>
      </c>
      <c r="J130" s="126">
        <f t="shared" si="3"/>
        <v>1241.5229051001654</v>
      </c>
      <c r="K130" s="35"/>
      <c r="L130" s="35"/>
      <c r="M130" s="35"/>
      <c r="N130" s="35"/>
      <c r="O130" s="35"/>
      <c r="P130" s="35"/>
      <c r="Q130" s="35"/>
      <c r="R130" s="35"/>
      <c r="S130" s="35"/>
    </row>
    <row r="131" spans="2:19" ht="13.5" customHeight="1">
      <c r="B131" s="35" t="s">
        <v>792</v>
      </c>
      <c r="C131" s="35"/>
      <c r="D131" s="35"/>
      <c r="E131" s="126">
        <f>Sheet1!$L$392/Sheet1!$E$21*1000</f>
        <v>56.81322991751248</v>
      </c>
      <c r="F131" s="126">
        <f t="shared" si="0"/>
        <v>1241.5229051001654</v>
      </c>
      <c r="G131" s="126">
        <f t="shared" si="1"/>
        <v>56.81322991751248</v>
      </c>
      <c r="H131" s="126">
        <f t="shared" si="2"/>
        <v>0</v>
      </c>
      <c r="I131" s="126">
        <v>0</v>
      </c>
      <c r="J131" s="126">
        <f t="shared" si="3"/>
        <v>1298.3361350176779</v>
      </c>
      <c r="K131" s="35"/>
      <c r="L131" s="35"/>
      <c r="M131" s="35"/>
      <c r="N131" s="35"/>
      <c r="O131" s="35"/>
      <c r="P131" s="35"/>
      <c r="Q131" s="35"/>
      <c r="R131" s="35"/>
      <c r="S131" s="35"/>
    </row>
    <row r="132" spans="2:19" ht="13.5" customHeight="1">
      <c r="B132" s="35" t="s">
        <v>793</v>
      </c>
      <c r="C132" s="35"/>
      <c r="D132" s="35"/>
      <c r="E132" s="126">
        <f>Sheet1!$M$392/Sheet1!$E$21*1000</f>
        <v>55.939915877329334</v>
      </c>
      <c r="F132" s="126">
        <f t="shared" si="0"/>
        <v>1298.3361350176779</v>
      </c>
      <c r="G132" s="126">
        <f t="shared" si="1"/>
        <v>55.939915877329334</v>
      </c>
      <c r="H132" s="126">
        <f t="shared" si="2"/>
        <v>0</v>
      </c>
      <c r="I132" s="126">
        <v>0</v>
      </c>
      <c r="J132" s="126">
        <f t="shared" si="3"/>
        <v>1354.2760508950073</v>
      </c>
      <c r="K132" s="35"/>
      <c r="L132" s="35"/>
      <c r="M132" s="35"/>
      <c r="N132" s="35"/>
      <c r="O132" s="35"/>
      <c r="P132" s="35"/>
      <c r="Q132" s="35"/>
      <c r="R132" s="35"/>
      <c r="S132" s="35"/>
    </row>
    <row r="133" spans="2:19" ht="13.5" customHeight="1">
      <c r="B133" s="35" t="s">
        <v>794</v>
      </c>
      <c r="C133" s="35"/>
      <c r="D133" s="35"/>
      <c r="E133" s="126">
        <f>Sheet1!$N$392/Sheet1!$E$21*1000</f>
        <v>52.976266237331544</v>
      </c>
      <c r="F133" s="126">
        <f t="shared" si="0"/>
        <v>1354.2760508950073</v>
      </c>
      <c r="G133" s="126">
        <f t="shared" si="1"/>
        <v>52.976266237331544</v>
      </c>
      <c r="H133" s="126">
        <f t="shared" si="2"/>
        <v>0</v>
      </c>
      <c r="I133" s="126">
        <v>0</v>
      </c>
      <c r="J133" s="126">
        <f t="shared" si="3"/>
        <v>1407.2523171323389</v>
      </c>
      <c r="K133" s="35"/>
      <c r="L133" s="35"/>
      <c r="M133" s="35"/>
      <c r="N133" s="35"/>
      <c r="O133" s="35"/>
      <c r="P133" s="35"/>
      <c r="Q133" s="35"/>
      <c r="R133" s="35"/>
      <c r="S133" s="35"/>
    </row>
    <row r="134" spans="2:19" ht="13.5" customHeight="1">
      <c r="B134" s="35" t="s">
        <v>795</v>
      </c>
      <c r="C134" s="35"/>
      <c r="D134" s="35"/>
      <c r="E134" s="126">
        <f>SUM(Sheet1!$O$392:$S$392)/Sheet1!$E$21*1000</f>
        <v>190.63352854248504</v>
      </c>
      <c r="F134" s="126">
        <f t="shared" si="0"/>
        <v>1407.2523171323389</v>
      </c>
      <c r="G134" s="126">
        <f t="shared" si="1"/>
        <v>190.63352854248504</v>
      </c>
      <c r="H134" s="126">
        <f t="shared" si="2"/>
        <v>0</v>
      </c>
      <c r="I134" s="126">
        <v>0</v>
      </c>
      <c r="J134" s="126">
        <f t="shared" si="3"/>
        <v>1597.8858456748239</v>
      </c>
      <c r="K134" s="35"/>
      <c r="L134" s="35"/>
      <c r="M134" s="35"/>
      <c r="N134" s="35"/>
      <c r="O134" s="35"/>
      <c r="P134" s="35"/>
      <c r="Q134" s="35"/>
      <c r="R134" s="35"/>
      <c r="S134" s="35"/>
    </row>
    <row r="135" spans="2:19" ht="13.5" customHeight="1">
      <c r="B135" s="35" t="s">
        <v>796</v>
      </c>
      <c r="C135" s="35"/>
      <c r="D135" s="35"/>
      <c r="E135" s="126">
        <f>Sheet1!$E$394/Sheet1!$E$21*1000</f>
        <v>292.73485999013616</v>
      </c>
      <c r="F135" s="126">
        <f t="shared" si="0"/>
        <v>1597.8858456748239</v>
      </c>
      <c r="G135" s="126">
        <f t="shared" si="1"/>
        <v>292.73485999013616</v>
      </c>
      <c r="H135" s="126">
        <f t="shared" si="2"/>
        <v>0</v>
      </c>
      <c r="I135" s="126">
        <v>0</v>
      </c>
      <c r="J135" s="126">
        <f t="shared" si="3"/>
        <v>1890.62070566496</v>
      </c>
      <c r="K135" s="35"/>
      <c r="L135" s="35"/>
      <c r="M135" s="35"/>
      <c r="N135" s="35"/>
      <c r="O135" s="35"/>
      <c r="P135" s="35"/>
      <c r="Q135" s="35"/>
      <c r="R135" s="35"/>
      <c r="S135" s="35"/>
    </row>
    <row r="136" spans="2:19" ht="13.5" customHeight="1">
      <c r="B136" s="35" t="s">
        <v>797</v>
      </c>
      <c r="C136" s="35"/>
      <c r="D136" s="35"/>
      <c r="E136" s="126">
        <f>Sheet1!$E$396</f>
        <v>1890.62070566496</v>
      </c>
      <c r="F136" s="126">
        <v>0</v>
      </c>
      <c r="G136" s="126">
        <v>0</v>
      </c>
      <c r="H136" s="126">
        <v>0</v>
      </c>
      <c r="I136" s="126">
        <f>E136</f>
        <v>1890.62070566496</v>
      </c>
      <c r="J136" s="126">
        <f>E136</f>
        <v>1890.62070566496</v>
      </c>
      <c r="K136" s="35"/>
      <c r="L136" s="35"/>
      <c r="M136" s="35"/>
      <c r="N136" s="35"/>
      <c r="O136" s="35"/>
      <c r="P136" s="35"/>
      <c r="Q136" s="35"/>
      <c r="R136" s="35"/>
      <c r="S136" s="35"/>
    </row>
    <row r="137" spans="2:19" ht="13.5" customHeight="1">
      <c r="B137" s="53" t="s">
        <v>767</v>
      </c>
      <c r="C137" s="11"/>
      <c r="D137" s="11"/>
      <c r="E137" s="106">
        <f>J135-E136</f>
        <v>0</v>
      </c>
      <c r="F137" s="11"/>
      <c r="G137" s="11"/>
      <c r="H137" s="11"/>
      <c r="I137" s="11"/>
      <c r="J137" s="11"/>
      <c r="K137" s="11"/>
      <c r="L137" s="11"/>
      <c r="M137" s="11"/>
      <c r="N137" s="11"/>
      <c r="O137" s="11"/>
      <c r="P137" s="11"/>
      <c r="Q137" s="11"/>
      <c r="R137" s="11"/>
      <c r="S137" s="11"/>
    </row>
    <row r="138" spans="2:19" ht="13.5" customHeight="1">
      <c r="B138" s="11"/>
      <c r="C138" s="11"/>
      <c r="D138" s="11"/>
      <c r="E138" s="11"/>
      <c r="F138" s="11"/>
      <c r="G138" s="11"/>
      <c r="H138" s="11"/>
      <c r="I138" s="11"/>
      <c r="J138" s="11"/>
      <c r="K138" s="11"/>
      <c r="L138" s="11"/>
      <c r="M138" s="11"/>
      <c r="N138" s="11"/>
      <c r="O138" s="11"/>
      <c r="P138" s="11"/>
      <c r="Q138" s="11"/>
      <c r="R138" s="11"/>
      <c r="S138" s="11"/>
    </row>
    <row r="139" spans="2:19" ht="13.5" customHeight="1">
      <c r="B139" s="11"/>
      <c r="C139" s="11"/>
      <c r="D139" s="11"/>
      <c r="E139" s="11"/>
      <c r="F139" s="11"/>
      <c r="G139" s="11"/>
      <c r="H139" s="11"/>
      <c r="I139" s="11"/>
      <c r="J139" s="11"/>
      <c r="K139" s="11"/>
      <c r="L139" s="11"/>
      <c r="M139" s="11"/>
      <c r="N139" s="11"/>
      <c r="O139" s="11"/>
      <c r="P139" s="11"/>
      <c r="Q139" s="11"/>
      <c r="R139" s="11"/>
      <c r="S139" s="11"/>
    </row>
    <row r="140" spans="2:19" ht="13.5" customHeight="1">
      <c r="B140" s="11"/>
      <c r="C140" s="11"/>
      <c r="D140" s="11"/>
      <c r="E140" s="11"/>
      <c r="F140" s="11"/>
      <c r="G140" s="11"/>
      <c r="H140" s="11"/>
      <c r="I140" s="11"/>
      <c r="J140" s="11"/>
      <c r="K140" s="11"/>
      <c r="L140" s="11"/>
      <c r="M140" s="11"/>
      <c r="N140" s="11"/>
      <c r="O140" s="11"/>
      <c r="P140" s="11"/>
      <c r="Q140" s="11"/>
      <c r="R140" s="11"/>
      <c r="S140" s="11"/>
    </row>
    <row r="141" spans="2:19" ht="13.5" customHeight="1">
      <c r="B141" s="11"/>
      <c r="C141" s="11"/>
      <c r="D141" s="11"/>
      <c r="E141" s="11"/>
      <c r="F141" s="11"/>
      <c r="G141" s="11"/>
      <c r="H141" s="11"/>
      <c r="I141" s="11"/>
      <c r="J141" s="11"/>
      <c r="K141" s="11"/>
      <c r="L141" s="11"/>
      <c r="M141" s="11"/>
      <c r="N141" s="11"/>
      <c r="O141" s="11"/>
      <c r="P141" s="11"/>
      <c r="Q141" s="11"/>
      <c r="R141" s="11"/>
      <c r="S141" s="11"/>
    </row>
    <row r="142" spans="2:19" ht="13.5" customHeight="1">
      <c r="B142" s="11"/>
      <c r="C142" s="11"/>
      <c r="D142" s="11"/>
      <c r="E142" s="11"/>
      <c r="F142" s="11"/>
      <c r="G142" s="11"/>
      <c r="H142" s="11"/>
      <c r="I142" s="11"/>
      <c r="J142" s="11"/>
      <c r="K142" s="11"/>
      <c r="L142" s="11"/>
      <c r="M142" s="11"/>
      <c r="N142" s="11"/>
      <c r="O142" s="11"/>
      <c r="P142" s="11"/>
      <c r="Q142" s="11"/>
      <c r="R142" s="11"/>
      <c r="S142" s="11"/>
    </row>
    <row r="143" spans="2:19" ht="13.5" customHeight="1">
      <c r="B143" s="11"/>
      <c r="C143" s="11"/>
      <c r="D143" s="11"/>
      <c r="E143" s="11"/>
      <c r="F143" s="11"/>
      <c r="G143" s="11"/>
      <c r="H143" s="11"/>
      <c r="I143" s="11"/>
      <c r="J143" s="11"/>
      <c r="K143" s="11"/>
      <c r="L143" s="11"/>
      <c r="M143" s="11"/>
      <c r="N143" s="11"/>
      <c r="O143" s="11"/>
      <c r="P143" s="11"/>
      <c r="Q143" s="11"/>
      <c r="R143" s="11"/>
      <c r="S143" s="11"/>
    </row>
    <row r="144" spans="2:19" ht="13.5" customHeight="1">
      <c r="B144" s="11"/>
      <c r="C144" s="11"/>
      <c r="D144" s="11"/>
      <c r="E144" s="11"/>
      <c r="F144" s="11"/>
      <c r="G144" s="11"/>
      <c r="H144" s="11"/>
      <c r="I144" s="11"/>
      <c r="J144" s="11"/>
      <c r="K144" s="11"/>
      <c r="L144" s="11"/>
      <c r="M144" s="11"/>
      <c r="N144" s="11"/>
      <c r="O144" s="11"/>
      <c r="P144" s="11"/>
      <c r="Q144" s="11"/>
      <c r="R144" s="11"/>
      <c r="S144" s="11"/>
    </row>
    <row r="145" spans="2:19" ht="13.5" customHeight="1">
      <c r="B145" s="11"/>
      <c r="C145" s="11"/>
      <c r="D145" s="11"/>
      <c r="E145" s="11"/>
      <c r="F145" s="11"/>
      <c r="G145" s="11"/>
      <c r="H145" s="11"/>
      <c r="I145" s="11"/>
      <c r="J145" s="11"/>
      <c r="K145" s="11"/>
      <c r="L145" s="11"/>
      <c r="M145" s="11"/>
      <c r="N145" s="11"/>
      <c r="O145" s="11"/>
      <c r="P145" s="11"/>
      <c r="Q145" s="11"/>
      <c r="R145" s="11"/>
      <c r="S145" s="11"/>
    </row>
    <row r="146" spans="2:19" ht="13.5" customHeight="1">
      <c r="B146" s="11"/>
      <c r="C146" s="11"/>
      <c r="D146" s="11"/>
      <c r="E146" s="11"/>
      <c r="F146" s="11"/>
      <c r="G146" s="11"/>
      <c r="H146" s="11"/>
      <c r="I146" s="11"/>
      <c r="J146" s="11"/>
      <c r="K146" s="11"/>
      <c r="L146" s="11"/>
      <c r="M146" s="11"/>
      <c r="N146" s="11"/>
      <c r="O146" s="11"/>
      <c r="P146" s="11"/>
      <c r="Q146" s="11"/>
      <c r="R146" s="11"/>
      <c r="S146" s="11"/>
    </row>
    <row r="147" spans="2:19" ht="13.5" customHeight="1">
      <c r="B147" s="11"/>
      <c r="C147" s="11"/>
      <c r="D147" s="11"/>
      <c r="E147" s="11"/>
      <c r="F147" s="11"/>
      <c r="G147" s="11"/>
      <c r="H147" s="11"/>
      <c r="I147" s="11"/>
      <c r="J147" s="11"/>
      <c r="K147" s="11"/>
      <c r="L147" s="11"/>
      <c r="M147" s="11"/>
      <c r="N147" s="11"/>
      <c r="O147" s="11"/>
      <c r="P147" s="11"/>
      <c r="Q147" s="11"/>
      <c r="R147" s="11"/>
      <c r="S147" s="11"/>
    </row>
    <row r="148" spans="2:19" ht="13.5" customHeight="1">
      <c r="B148" s="11"/>
      <c r="C148" s="11"/>
      <c r="D148" s="11"/>
      <c r="E148" s="11"/>
      <c r="F148" s="11"/>
      <c r="G148" s="11"/>
      <c r="H148" s="11"/>
      <c r="I148" s="11"/>
      <c r="J148" s="11"/>
      <c r="K148" s="11"/>
      <c r="L148" s="11"/>
      <c r="M148" s="11"/>
      <c r="N148" s="11"/>
      <c r="O148" s="11"/>
      <c r="P148" s="11"/>
      <c r="Q148" s="11"/>
      <c r="R148" s="11"/>
      <c r="S148" s="11"/>
    </row>
    <row r="149" spans="2:19" ht="13.5" customHeight="1">
      <c r="B149" s="11"/>
      <c r="C149" s="11"/>
      <c r="D149" s="11"/>
      <c r="E149" s="11"/>
      <c r="F149" s="11"/>
      <c r="G149" s="11"/>
      <c r="H149" s="11"/>
      <c r="I149" s="11"/>
      <c r="J149" s="11"/>
      <c r="K149" s="11"/>
      <c r="L149" s="11"/>
      <c r="M149" s="11"/>
      <c r="N149" s="11"/>
      <c r="O149" s="11"/>
      <c r="P149" s="11"/>
      <c r="Q149" s="11"/>
      <c r="R149" s="11"/>
      <c r="S149" s="11"/>
    </row>
    <row r="150" spans="2:19" ht="13.5" customHeight="1">
      <c r="B150" s="11"/>
      <c r="C150" s="11"/>
      <c r="D150" s="11"/>
      <c r="E150" s="11"/>
      <c r="F150" s="11"/>
      <c r="G150" s="11"/>
      <c r="H150" s="11"/>
      <c r="I150" s="11"/>
      <c r="J150" s="11"/>
      <c r="K150" s="11"/>
      <c r="L150" s="11"/>
      <c r="M150" s="11"/>
      <c r="N150" s="11"/>
      <c r="O150" s="11"/>
      <c r="P150" s="11"/>
      <c r="Q150" s="11"/>
      <c r="R150" s="11"/>
      <c r="S150" s="11"/>
    </row>
    <row r="151" spans="2:19" ht="13.5" customHeight="1">
      <c r="B151" s="11"/>
      <c r="C151" s="11"/>
      <c r="D151" s="11"/>
      <c r="E151" s="11"/>
      <c r="F151" s="11"/>
      <c r="G151" s="11"/>
      <c r="H151" s="11"/>
      <c r="I151" s="11"/>
      <c r="J151" s="11"/>
      <c r="K151" s="11"/>
      <c r="L151" s="11"/>
      <c r="M151" s="11"/>
      <c r="N151" s="11"/>
      <c r="O151" s="11"/>
      <c r="P151" s="11"/>
      <c r="Q151" s="11"/>
      <c r="R151" s="11"/>
      <c r="S151" s="11"/>
    </row>
    <row r="152" spans="2:19" ht="13.5" customHeight="1">
      <c r="B152" s="11"/>
      <c r="C152" s="11"/>
      <c r="D152" s="11"/>
      <c r="E152" s="11"/>
      <c r="F152" s="11"/>
      <c r="G152" s="11"/>
      <c r="H152" s="11"/>
      <c r="I152" s="11"/>
      <c r="J152" s="11"/>
      <c r="K152" s="11"/>
      <c r="L152" s="11"/>
      <c r="M152" s="11"/>
      <c r="N152" s="11"/>
      <c r="O152" s="11"/>
      <c r="P152" s="11"/>
      <c r="Q152" s="11"/>
      <c r="R152" s="11"/>
      <c r="S152" s="11"/>
    </row>
    <row r="153" spans="2:19" ht="13.5" customHeight="1">
      <c r="B153" s="11"/>
      <c r="C153" s="11"/>
      <c r="D153" s="11"/>
      <c r="E153" s="11"/>
      <c r="F153" s="11"/>
      <c r="G153" s="11"/>
      <c r="H153" s="11"/>
      <c r="I153" s="11"/>
      <c r="J153" s="11"/>
      <c r="K153" s="11"/>
      <c r="L153" s="11"/>
      <c r="M153" s="11"/>
      <c r="N153" s="11"/>
      <c r="O153" s="11"/>
      <c r="P153" s="11"/>
      <c r="Q153" s="11"/>
      <c r="R153" s="11"/>
      <c r="S153" s="11"/>
    </row>
    <row r="154" spans="2:19" ht="13.5" customHeight="1">
      <c r="B154" s="11"/>
      <c r="C154" s="11"/>
      <c r="D154" s="11"/>
      <c r="E154" s="11"/>
      <c r="F154" s="11"/>
      <c r="G154" s="11"/>
      <c r="H154" s="11"/>
      <c r="I154" s="11"/>
      <c r="J154" s="11"/>
      <c r="K154" s="11"/>
      <c r="L154" s="11"/>
      <c r="M154" s="11"/>
      <c r="N154" s="11"/>
      <c r="O154" s="11"/>
      <c r="P154" s="11"/>
      <c r="Q154" s="11"/>
      <c r="R154" s="11"/>
      <c r="S154" s="11"/>
    </row>
    <row r="155" spans="2:19" ht="13.5" customHeight="1">
      <c r="B155" s="11"/>
      <c r="C155" s="11"/>
      <c r="D155" s="11"/>
      <c r="E155" s="11"/>
      <c r="F155" s="11"/>
      <c r="G155" s="11"/>
      <c r="H155" s="11"/>
      <c r="I155" s="11"/>
      <c r="J155" s="11"/>
      <c r="K155" s="11"/>
      <c r="L155" s="11"/>
      <c r="M155" s="11"/>
      <c r="N155" s="11"/>
      <c r="O155" s="11"/>
      <c r="P155" s="11"/>
      <c r="Q155" s="11"/>
      <c r="R155" s="11"/>
      <c r="S155" s="11"/>
    </row>
    <row r="156" spans="2:19" ht="13.5" customHeight="1">
      <c r="B156" s="11"/>
      <c r="C156" s="11"/>
      <c r="D156" s="11"/>
      <c r="E156" s="11"/>
      <c r="F156" s="11"/>
      <c r="G156" s="11"/>
      <c r="H156" s="11"/>
      <c r="I156" s="11"/>
      <c r="J156" s="11"/>
      <c r="K156" s="11"/>
      <c r="L156" s="11"/>
      <c r="M156" s="11"/>
      <c r="N156" s="11"/>
      <c r="O156" s="11"/>
      <c r="P156" s="11"/>
      <c r="Q156" s="11"/>
      <c r="R156" s="11"/>
      <c r="S156" s="11"/>
    </row>
    <row r="157" spans="2:19" ht="13.5" customHeight="1">
      <c r="B157" s="11"/>
      <c r="C157" s="11"/>
      <c r="D157" s="11"/>
      <c r="E157" s="11"/>
      <c r="F157" s="11"/>
      <c r="G157" s="11"/>
      <c r="H157" s="11"/>
      <c r="I157" s="11"/>
      <c r="J157" s="11"/>
      <c r="K157" s="11"/>
      <c r="L157" s="11"/>
      <c r="M157" s="11"/>
      <c r="N157" s="11"/>
      <c r="O157" s="11"/>
      <c r="P157" s="11"/>
      <c r="Q157" s="11"/>
      <c r="R157" s="11"/>
      <c r="S157" s="11"/>
    </row>
    <row r="158" spans="2:19" ht="13.5" customHeight="1">
      <c r="B158" s="11"/>
      <c r="C158" s="11"/>
      <c r="D158" s="11"/>
      <c r="E158" s="11"/>
      <c r="F158" s="11"/>
      <c r="G158" s="11"/>
      <c r="H158" s="11"/>
      <c r="I158" s="11"/>
      <c r="J158" s="11"/>
      <c r="K158" s="11"/>
      <c r="L158" s="11"/>
      <c r="M158" s="11"/>
      <c r="N158" s="11"/>
      <c r="O158" s="11"/>
      <c r="P158" s="11"/>
      <c r="Q158" s="11"/>
      <c r="R158" s="11"/>
      <c r="S158" s="11"/>
    </row>
    <row r="159" spans="2:19" ht="13.5" customHeight="1">
      <c r="B159" s="73" t="s">
        <v>798</v>
      </c>
      <c r="C159" s="11"/>
      <c r="D159" s="11"/>
      <c r="E159" s="11"/>
      <c r="F159" s="11"/>
      <c r="G159" s="11"/>
      <c r="H159" s="11"/>
      <c r="I159" s="11"/>
      <c r="J159" s="11"/>
      <c r="K159" s="11"/>
      <c r="L159" s="11"/>
      <c r="M159" s="11"/>
      <c r="N159" s="11"/>
      <c r="O159" s="11"/>
      <c r="P159" s="11"/>
      <c r="Q159" s="11"/>
      <c r="R159" s="11"/>
      <c r="S159" s="11"/>
    </row>
    <row r="160" spans="2:19" ht="13.5" customHeight="1">
      <c r="B160" s="11"/>
      <c r="C160" s="11"/>
      <c r="D160" s="11"/>
      <c r="E160" s="73" t="s">
        <v>799</v>
      </c>
      <c r="F160" s="73" t="s">
        <v>800</v>
      </c>
      <c r="G160" s="73" t="s">
        <v>801</v>
      </c>
      <c r="H160" s="11"/>
      <c r="I160" s="11"/>
      <c r="J160" s="11"/>
      <c r="K160" s="11"/>
      <c r="L160" s="11"/>
      <c r="M160" s="11"/>
      <c r="N160" s="11"/>
      <c r="O160" s="11"/>
      <c r="P160" s="11"/>
      <c r="Q160" s="11"/>
      <c r="R160" s="11"/>
      <c r="S160" s="11"/>
    </row>
    <row r="161" spans="2:19" ht="13.5" customHeight="1">
      <c r="B161" s="35" t="s">
        <v>802</v>
      </c>
      <c r="C161" s="35"/>
      <c r="D161" s="35"/>
      <c r="E161" s="88">
        <f>Sheet1!E437</f>
        <v>1368.08407237864</v>
      </c>
      <c r="F161" s="88">
        <f t="shared" ref="F161:F168" si="4">MAX(G161-E161,0)</f>
        <v>1820.3939251225802</v>
      </c>
      <c r="G161" s="88">
        <f>Sheet1!G437</f>
        <v>3188.4779975012202</v>
      </c>
      <c r="H161" s="35"/>
      <c r="I161" s="35"/>
      <c r="J161" s="35"/>
      <c r="K161" s="35"/>
      <c r="L161" s="35"/>
      <c r="M161" s="35"/>
      <c r="N161" s="35"/>
      <c r="O161" s="35"/>
      <c r="P161" s="35"/>
      <c r="Q161" s="35"/>
      <c r="R161" s="35"/>
      <c r="S161" s="35"/>
    </row>
    <row r="162" spans="2:19" ht="13.5" customHeight="1">
      <c r="B162" s="35" t="s">
        <v>803</v>
      </c>
      <c r="C162" s="35"/>
      <c r="D162" s="35"/>
      <c r="E162" s="88">
        <f>Sheet1!E438</f>
        <v>1368.08407237864</v>
      </c>
      <c r="F162" s="88">
        <f t="shared" si="4"/>
        <v>1820.3939251225802</v>
      </c>
      <c r="G162" s="88">
        <f>Sheet1!G438</f>
        <v>3188.4779975012202</v>
      </c>
      <c r="H162" s="35"/>
      <c r="I162" s="35"/>
      <c r="J162" s="35"/>
      <c r="K162" s="35"/>
      <c r="L162" s="35"/>
      <c r="M162" s="35"/>
      <c r="N162" s="35"/>
      <c r="O162" s="35"/>
      <c r="P162" s="35"/>
      <c r="Q162" s="35"/>
      <c r="R162" s="35"/>
      <c r="S162" s="35"/>
    </row>
    <row r="163" spans="2:19" ht="13.5" customHeight="1">
      <c r="B163" s="35" t="s">
        <v>804</v>
      </c>
      <c r="C163" s="35"/>
      <c r="D163" s="35"/>
      <c r="E163" s="88">
        <f>Sheet1!E439</f>
        <v>1325.1816488269901</v>
      </c>
      <c r="F163" s="88">
        <f t="shared" si="4"/>
        <v>1206.9308131292</v>
      </c>
      <c r="G163" s="88">
        <f>Sheet1!G439</f>
        <v>2532.1124619561901</v>
      </c>
      <c r="H163" s="35"/>
      <c r="I163" s="35"/>
      <c r="J163" s="35"/>
      <c r="K163" s="35"/>
      <c r="L163" s="35"/>
      <c r="M163" s="35"/>
      <c r="N163" s="35"/>
      <c r="O163" s="35"/>
      <c r="P163" s="35"/>
      <c r="Q163" s="35"/>
      <c r="R163" s="35"/>
      <c r="S163" s="35"/>
    </row>
    <row r="164" spans="2:19" ht="13.5" customHeight="1">
      <c r="B164" s="56" t="s">
        <v>805</v>
      </c>
      <c r="C164" s="11"/>
      <c r="D164" s="11"/>
      <c r="E164" s="101">
        <f>IFERROR(Sheet1!$E$473*0.9,0)</f>
        <v>1012.9126602496556</v>
      </c>
      <c r="F164" s="101">
        <f t="shared" si="4"/>
        <v>225.09170227770142</v>
      </c>
      <c r="G164" s="101">
        <f>IFERROR(Sheet1!$E$473*1.1,0)</f>
        <v>1238.004362527357</v>
      </c>
      <c r="H164" s="11"/>
      <c r="I164" s="11"/>
      <c r="J164" s="11"/>
      <c r="K164" s="11"/>
      <c r="L164" s="11"/>
      <c r="M164" s="11"/>
      <c r="N164" s="11"/>
      <c r="O164" s="11"/>
      <c r="P164" s="11"/>
      <c r="Q164" s="11"/>
      <c r="R164" s="11"/>
      <c r="S164" s="11"/>
    </row>
    <row r="165" spans="2:19" ht="13.5" customHeight="1">
      <c r="B165" s="56" t="s">
        <v>806</v>
      </c>
      <c r="C165" s="11"/>
      <c r="D165" s="11"/>
      <c r="E165" s="101">
        <f>IFERROR(Sheet1!$E$474*0.9,0)</f>
        <v>1107.1172536169447</v>
      </c>
      <c r="F165" s="101">
        <f t="shared" si="4"/>
        <v>246.02605635932105</v>
      </c>
      <c r="G165" s="101">
        <f>IFERROR(Sheet1!$E$474*1.1,0)</f>
        <v>1353.1433099762658</v>
      </c>
      <c r="H165" s="11"/>
      <c r="I165" s="11"/>
      <c r="J165" s="11"/>
      <c r="K165" s="11"/>
      <c r="L165" s="11"/>
      <c r="M165" s="11"/>
      <c r="N165" s="11"/>
      <c r="O165" s="11"/>
      <c r="P165" s="11"/>
      <c r="Q165" s="11"/>
      <c r="R165" s="11"/>
      <c r="S165" s="11"/>
    </row>
    <row r="166" spans="2:19" ht="13.5" customHeight="1">
      <c r="B166" s="56" t="s">
        <v>807</v>
      </c>
      <c r="C166" s="11"/>
      <c r="D166" s="11"/>
      <c r="E166" s="101">
        <f>Sheet1!$E$475</f>
        <v>1095</v>
      </c>
      <c r="F166" s="101">
        <f t="shared" si="4"/>
        <v>1645</v>
      </c>
      <c r="G166" s="101">
        <f>Sheet1!$E$476</f>
        <v>2740</v>
      </c>
      <c r="H166" s="11"/>
      <c r="I166" s="11"/>
      <c r="J166" s="11"/>
      <c r="K166" s="11"/>
      <c r="L166" s="11"/>
      <c r="M166" s="11"/>
      <c r="N166" s="11"/>
      <c r="O166" s="11"/>
      <c r="P166" s="11"/>
      <c r="Q166" s="11"/>
      <c r="R166" s="11"/>
      <c r="S166" s="11"/>
    </row>
    <row r="167" spans="2:19" ht="13.5" customHeight="1">
      <c r="B167" s="56" t="s">
        <v>808</v>
      </c>
      <c r="C167" s="11"/>
      <c r="D167" s="11"/>
      <c r="E167" s="101">
        <f>Sheet1!$E$477</f>
        <v>2460</v>
      </c>
      <c r="F167" s="101">
        <f t="shared" si="4"/>
        <v>1340</v>
      </c>
      <c r="G167" s="101">
        <f>Sheet1!$E$478</f>
        <v>3800</v>
      </c>
      <c r="H167" s="11"/>
      <c r="I167" s="11"/>
      <c r="J167" s="11"/>
      <c r="K167" s="11"/>
      <c r="L167" s="11"/>
      <c r="M167" s="11"/>
      <c r="N167" s="11"/>
      <c r="O167" s="11"/>
      <c r="P167" s="11"/>
      <c r="Q167" s="11"/>
      <c r="R167" s="11"/>
      <c r="S167" s="11"/>
    </row>
    <row r="168" spans="2:19" ht="13.5" customHeight="1">
      <c r="B168" s="56" t="s">
        <v>809</v>
      </c>
      <c r="C168" s="11"/>
      <c r="D168" s="11"/>
      <c r="E168" s="101">
        <f>Sheet1!$E$20*0.995</f>
        <v>1089.5250000000001</v>
      </c>
      <c r="F168" s="101">
        <f t="shared" si="4"/>
        <v>10.949999999999818</v>
      </c>
      <c r="G168" s="101">
        <f>Sheet1!$E$20*1.005</f>
        <v>1100.4749999999999</v>
      </c>
      <c r="H168" s="11"/>
      <c r="I168" s="11"/>
      <c r="J168" s="11"/>
      <c r="K168" s="11"/>
      <c r="L168" s="11"/>
      <c r="M168" s="11"/>
      <c r="N168" s="11"/>
      <c r="O168" s="11"/>
      <c r="P168" s="11"/>
      <c r="Q168" s="11"/>
      <c r="R168" s="11"/>
      <c r="S168" s="11"/>
    </row>
    <row r="169" spans="2:19" ht="13.5" customHeight="1">
      <c r="B169" s="11"/>
      <c r="C169" s="11"/>
      <c r="D169" s="11"/>
      <c r="E169" s="11"/>
      <c r="F169" s="11"/>
      <c r="G169" s="11"/>
      <c r="H169" s="11"/>
      <c r="I169" s="11"/>
      <c r="J169" s="11"/>
      <c r="K169" s="11"/>
      <c r="L169" s="11"/>
      <c r="M169" s="11"/>
      <c r="N169" s="11"/>
      <c r="O169" s="11"/>
      <c r="P169" s="11"/>
      <c r="Q169" s="11"/>
      <c r="R169" s="11"/>
      <c r="S169" s="11"/>
    </row>
    <row r="170" spans="2:19" ht="13.5" customHeight="1">
      <c r="B170" s="11"/>
      <c r="C170" s="11"/>
      <c r="D170" s="11"/>
      <c r="E170" s="11"/>
      <c r="F170" s="11"/>
      <c r="G170" s="11"/>
      <c r="H170" s="11"/>
      <c r="I170" s="11"/>
      <c r="J170" s="11"/>
      <c r="K170" s="11"/>
      <c r="L170" s="11"/>
      <c r="M170" s="11"/>
      <c r="N170" s="11"/>
      <c r="O170" s="11"/>
      <c r="P170" s="11"/>
      <c r="Q170" s="11"/>
      <c r="R170" s="11"/>
      <c r="S170" s="11"/>
    </row>
    <row r="171" spans="2:19" ht="13.5" customHeight="1">
      <c r="B171" s="11"/>
      <c r="C171" s="11"/>
      <c r="D171" s="11"/>
      <c r="E171" s="11"/>
      <c r="F171" s="11"/>
      <c r="G171" s="11"/>
      <c r="H171" s="11"/>
      <c r="I171" s="11"/>
      <c r="J171" s="11"/>
      <c r="K171" s="11"/>
      <c r="L171" s="11"/>
      <c r="M171" s="11"/>
      <c r="N171" s="11"/>
      <c r="O171" s="11"/>
      <c r="P171" s="11"/>
      <c r="Q171" s="11"/>
      <c r="R171" s="11"/>
      <c r="S171" s="11"/>
    </row>
    <row r="172" spans="2:19" ht="13.5" customHeight="1">
      <c r="B172" s="11"/>
      <c r="C172" s="11"/>
      <c r="D172" s="11"/>
      <c r="E172" s="11"/>
      <c r="F172" s="11"/>
      <c r="G172" s="11"/>
      <c r="H172" s="11"/>
      <c r="I172" s="11"/>
      <c r="J172" s="11"/>
      <c r="K172" s="11"/>
      <c r="L172" s="11"/>
      <c r="M172" s="11"/>
      <c r="N172" s="11"/>
      <c r="O172" s="11"/>
      <c r="P172" s="11"/>
      <c r="Q172" s="11"/>
      <c r="R172" s="11"/>
      <c r="S172" s="11"/>
    </row>
    <row r="173" spans="2:19" ht="13.5" customHeight="1">
      <c r="B173" s="11"/>
      <c r="C173" s="11"/>
      <c r="D173" s="11"/>
      <c r="E173" s="11"/>
      <c r="F173" s="11"/>
      <c r="G173" s="11"/>
      <c r="H173" s="11"/>
      <c r="I173" s="11"/>
      <c r="J173" s="11"/>
      <c r="K173" s="11"/>
      <c r="L173" s="11"/>
      <c r="M173" s="11"/>
      <c r="N173" s="11"/>
      <c r="O173" s="11"/>
      <c r="P173" s="11"/>
      <c r="Q173" s="11"/>
      <c r="R173" s="11"/>
      <c r="S173" s="11"/>
    </row>
    <row r="174" spans="2:19" ht="13.5" customHeight="1">
      <c r="B174" s="11"/>
      <c r="C174" s="11"/>
      <c r="D174" s="11"/>
      <c r="E174" s="11"/>
      <c r="F174" s="11"/>
      <c r="G174" s="11"/>
      <c r="H174" s="11"/>
      <c r="I174" s="11"/>
      <c r="J174" s="11"/>
      <c r="K174" s="11"/>
      <c r="L174" s="11"/>
      <c r="M174" s="11"/>
      <c r="N174" s="11"/>
      <c r="O174" s="11"/>
      <c r="P174" s="11"/>
      <c r="Q174" s="11"/>
      <c r="R174" s="11"/>
      <c r="S174" s="11"/>
    </row>
    <row r="175" spans="2:19" ht="13.5" customHeight="1">
      <c r="B175" s="11"/>
      <c r="C175" s="11"/>
      <c r="D175" s="11"/>
      <c r="E175" s="11"/>
      <c r="F175" s="11"/>
      <c r="G175" s="11"/>
      <c r="H175" s="11"/>
      <c r="I175" s="11"/>
      <c r="J175" s="11"/>
      <c r="K175" s="11"/>
      <c r="L175" s="11"/>
      <c r="M175" s="11"/>
      <c r="N175" s="11"/>
      <c r="O175" s="11"/>
      <c r="P175" s="11"/>
      <c r="Q175" s="11"/>
      <c r="R175" s="11"/>
      <c r="S175" s="11"/>
    </row>
    <row r="176" spans="2:19" ht="13.5" customHeight="1">
      <c r="B176" s="11"/>
      <c r="C176" s="11"/>
      <c r="D176" s="11"/>
      <c r="E176" s="11"/>
      <c r="F176" s="11"/>
      <c r="G176" s="11"/>
      <c r="H176" s="11"/>
      <c r="I176" s="11"/>
      <c r="J176" s="11"/>
      <c r="K176" s="11"/>
      <c r="L176" s="11"/>
      <c r="M176" s="11"/>
      <c r="N176" s="11"/>
      <c r="O176" s="11"/>
      <c r="P176" s="11"/>
      <c r="Q176" s="11"/>
      <c r="R176" s="11"/>
      <c r="S176" s="11"/>
    </row>
    <row r="177" spans="2:19" ht="13.5" customHeight="1">
      <c r="B177" s="11"/>
      <c r="C177" s="11"/>
      <c r="D177" s="11"/>
      <c r="E177" s="11"/>
      <c r="F177" s="11"/>
      <c r="G177" s="11"/>
      <c r="H177" s="11"/>
      <c r="I177" s="11"/>
      <c r="J177" s="11"/>
      <c r="K177" s="11"/>
      <c r="L177" s="11"/>
      <c r="M177" s="11"/>
      <c r="N177" s="11"/>
      <c r="O177" s="11"/>
      <c r="P177" s="11"/>
      <c r="Q177" s="11"/>
      <c r="R177" s="11"/>
      <c r="S177" s="11"/>
    </row>
    <row r="178" spans="2:19" ht="13.5" customHeight="1">
      <c r="B178" s="11"/>
      <c r="C178" s="11"/>
      <c r="D178" s="11"/>
      <c r="E178" s="11"/>
      <c r="F178" s="11"/>
      <c r="G178" s="11"/>
      <c r="H178" s="11"/>
      <c r="I178" s="11"/>
      <c r="J178" s="11"/>
      <c r="K178" s="11"/>
      <c r="L178" s="11"/>
      <c r="M178" s="11"/>
      <c r="N178" s="11"/>
      <c r="O178" s="11"/>
      <c r="P178" s="11"/>
      <c r="Q178" s="11"/>
      <c r="R178" s="11"/>
      <c r="S178" s="11"/>
    </row>
    <row r="179" spans="2:19" ht="13.5" customHeight="1">
      <c r="B179" s="11"/>
      <c r="C179" s="11"/>
      <c r="D179" s="11"/>
      <c r="E179" s="11"/>
      <c r="F179" s="11"/>
      <c r="G179" s="11"/>
      <c r="H179" s="11"/>
      <c r="I179" s="11"/>
      <c r="J179" s="11"/>
      <c r="K179" s="11"/>
      <c r="L179" s="11"/>
      <c r="M179" s="11"/>
      <c r="N179" s="11"/>
      <c r="O179" s="11"/>
      <c r="P179" s="11"/>
      <c r="Q179" s="11"/>
      <c r="R179" s="11"/>
      <c r="S179" s="11"/>
    </row>
    <row r="180" spans="2:19" ht="13.5" customHeight="1">
      <c r="B180" s="11"/>
      <c r="C180" s="11"/>
      <c r="D180" s="11"/>
      <c r="E180" s="11"/>
      <c r="F180" s="11"/>
      <c r="G180" s="11"/>
      <c r="H180" s="11"/>
      <c r="I180" s="11"/>
      <c r="J180" s="11"/>
      <c r="K180" s="11"/>
      <c r="L180" s="11"/>
      <c r="M180" s="11"/>
      <c r="N180" s="11"/>
      <c r="O180" s="11"/>
      <c r="P180" s="11"/>
      <c r="Q180" s="11"/>
      <c r="R180" s="11"/>
      <c r="S180" s="11"/>
    </row>
    <row r="181" spans="2:19" ht="13.5" customHeight="1">
      <c r="B181" s="11"/>
      <c r="C181" s="11"/>
      <c r="D181" s="11"/>
      <c r="E181" s="11"/>
      <c r="F181" s="11"/>
      <c r="G181" s="11"/>
      <c r="H181" s="11"/>
      <c r="I181" s="11"/>
      <c r="J181" s="11"/>
      <c r="K181" s="11"/>
      <c r="L181" s="11"/>
      <c r="M181" s="11"/>
      <c r="N181" s="11"/>
      <c r="O181" s="11"/>
      <c r="P181" s="11"/>
      <c r="Q181" s="11"/>
      <c r="R181" s="11"/>
      <c r="S181" s="11"/>
    </row>
    <row r="182" spans="2:19" ht="13.5" customHeight="1">
      <c r="B182" s="11"/>
      <c r="C182" s="11"/>
      <c r="D182" s="11"/>
      <c r="E182" s="11"/>
      <c r="F182" s="11"/>
      <c r="G182" s="11"/>
      <c r="H182" s="11"/>
      <c r="I182" s="11"/>
      <c r="J182" s="11"/>
      <c r="K182" s="11"/>
      <c r="L182" s="11"/>
      <c r="M182" s="11"/>
      <c r="N182" s="11"/>
      <c r="O182" s="11"/>
      <c r="P182" s="11"/>
      <c r="Q182" s="11"/>
      <c r="R182" s="11"/>
      <c r="S182" s="11"/>
    </row>
    <row r="183" spans="2:19" ht="13.5" customHeight="1">
      <c r="B183" s="11"/>
      <c r="C183" s="11"/>
      <c r="D183" s="11"/>
      <c r="E183" s="11"/>
      <c r="F183" s="11"/>
      <c r="G183" s="11"/>
      <c r="H183" s="11"/>
      <c r="I183" s="11"/>
      <c r="J183" s="11"/>
      <c r="K183" s="11"/>
      <c r="L183" s="11"/>
      <c r="M183" s="11"/>
      <c r="N183" s="11"/>
      <c r="O183" s="11"/>
      <c r="P183" s="11"/>
      <c r="Q183" s="11"/>
      <c r="R183" s="11"/>
      <c r="S183" s="11"/>
    </row>
    <row r="184" spans="2:19" ht="13.5" customHeight="1">
      <c r="B184" s="11"/>
      <c r="C184" s="11"/>
      <c r="D184" s="11"/>
      <c r="E184" s="11"/>
      <c r="F184" s="11"/>
      <c r="G184" s="11"/>
      <c r="H184" s="11"/>
      <c r="I184" s="11"/>
      <c r="J184" s="11"/>
      <c r="K184" s="11"/>
      <c r="L184" s="11"/>
      <c r="M184" s="11"/>
      <c r="N184" s="11"/>
      <c r="O184" s="11"/>
      <c r="P184" s="11"/>
      <c r="Q184" s="11"/>
      <c r="R184" s="11"/>
      <c r="S184" s="11"/>
    </row>
    <row r="185" spans="2:19" ht="13.5" customHeight="1">
      <c r="B185" s="11"/>
      <c r="C185" s="11"/>
      <c r="D185" s="11"/>
      <c r="E185" s="11"/>
      <c r="F185" s="11"/>
      <c r="G185" s="11"/>
      <c r="H185" s="11"/>
      <c r="I185" s="11"/>
      <c r="J185" s="11"/>
      <c r="K185" s="11"/>
      <c r="L185" s="11"/>
      <c r="M185" s="11"/>
      <c r="N185" s="11"/>
      <c r="O185" s="11"/>
      <c r="P185" s="11"/>
      <c r="Q185" s="11"/>
      <c r="R185" s="11"/>
      <c r="S185" s="11"/>
    </row>
    <row r="186" spans="2:19" ht="13.5" customHeight="1">
      <c r="B186" s="11"/>
      <c r="C186" s="11"/>
      <c r="D186" s="11"/>
      <c r="E186" s="11"/>
      <c r="F186" s="11"/>
      <c r="G186" s="11"/>
      <c r="H186" s="11"/>
      <c r="I186" s="11"/>
      <c r="J186" s="11"/>
      <c r="K186" s="11"/>
      <c r="L186" s="11"/>
      <c r="M186" s="11"/>
      <c r="N186" s="11"/>
      <c r="O186" s="11"/>
      <c r="P186" s="11"/>
      <c r="Q186" s="11"/>
      <c r="R186" s="11"/>
      <c r="S186" s="11"/>
    </row>
    <row r="187" spans="2:19" ht="13.5" customHeight="1">
      <c r="B187" s="11"/>
      <c r="C187" s="11"/>
      <c r="D187" s="11"/>
      <c r="E187" s="11"/>
      <c r="F187" s="11"/>
      <c r="G187" s="11"/>
      <c r="H187" s="11"/>
      <c r="I187" s="11"/>
      <c r="J187" s="11"/>
      <c r="K187" s="11"/>
      <c r="L187" s="11"/>
      <c r="M187" s="11"/>
      <c r="N187" s="11"/>
      <c r="O187" s="11"/>
      <c r="P187" s="11"/>
      <c r="Q187" s="11"/>
      <c r="R187" s="11"/>
      <c r="S187" s="11"/>
    </row>
    <row r="188" spans="2:19" ht="13.5" customHeight="1">
      <c r="B188" s="11"/>
      <c r="C188" s="11"/>
      <c r="D188" s="11"/>
      <c r="E188" s="11"/>
      <c r="F188" s="11"/>
      <c r="G188" s="11"/>
      <c r="H188" s="11"/>
      <c r="I188" s="11"/>
      <c r="J188" s="11"/>
      <c r="K188" s="11"/>
      <c r="L188" s="11"/>
      <c r="M188" s="11"/>
      <c r="N188" s="11"/>
      <c r="O188" s="11"/>
      <c r="P188" s="11"/>
      <c r="Q188" s="11"/>
      <c r="R188" s="11"/>
      <c r="S188" s="11"/>
    </row>
    <row r="189" spans="2:19" ht="13.5" customHeight="1">
      <c r="B189" s="11"/>
      <c r="C189" s="11"/>
      <c r="D189" s="11"/>
      <c r="E189" s="11"/>
      <c r="F189" s="11"/>
      <c r="G189" s="11"/>
      <c r="H189" s="11"/>
      <c r="I189" s="11"/>
      <c r="J189" s="11"/>
      <c r="K189" s="11"/>
      <c r="L189" s="11"/>
      <c r="M189" s="11"/>
      <c r="N189" s="11"/>
      <c r="O189" s="11"/>
      <c r="P189" s="11"/>
      <c r="Q189" s="11"/>
      <c r="R189" s="11"/>
      <c r="S189" s="11"/>
    </row>
    <row r="190" spans="2:19" ht="13.5" customHeight="1">
      <c r="B190" s="73" t="s">
        <v>810</v>
      </c>
      <c r="C190" s="11"/>
      <c r="D190" s="11"/>
      <c r="E190" s="11"/>
      <c r="F190" s="11"/>
      <c r="G190" s="11"/>
      <c r="H190" s="11"/>
      <c r="I190" s="11"/>
      <c r="J190" s="11"/>
      <c r="K190" s="11"/>
      <c r="L190" s="11"/>
      <c r="M190" s="11"/>
      <c r="N190" s="11"/>
      <c r="O190" s="11"/>
      <c r="P190" s="11"/>
      <c r="Q190" s="11"/>
      <c r="R190" s="11"/>
      <c r="S190" s="11"/>
    </row>
    <row r="191" spans="2:19" ht="13.5" customHeight="1">
      <c r="B191" s="11"/>
      <c r="C191" s="11"/>
      <c r="D191" s="11"/>
      <c r="E191" s="11"/>
      <c r="F191" s="11"/>
      <c r="G191" s="11"/>
      <c r="H191" s="11"/>
      <c r="I191" s="11"/>
      <c r="J191" s="11"/>
      <c r="K191" s="11"/>
      <c r="L191" s="11"/>
      <c r="M191" s="11"/>
      <c r="N191" s="11"/>
      <c r="O191" s="11"/>
      <c r="P191" s="11"/>
      <c r="Q191" s="11"/>
      <c r="R191" s="11"/>
      <c r="S191" s="11"/>
    </row>
    <row r="192" spans="2:19" ht="13.5" customHeight="1">
      <c r="B192" s="11"/>
      <c r="C192" s="11"/>
      <c r="D192" s="11"/>
      <c r="E192" s="11"/>
      <c r="F192" s="11"/>
      <c r="G192" s="11"/>
      <c r="H192" s="11"/>
      <c r="I192" s="11"/>
      <c r="J192" s="11"/>
      <c r="K192" s="11"/>
      <c r="L192" s="11"/>
      <c r="M192" s="11"/>
      <c r="N192" s="11"/>
      <c r="O192" s="11"/>
      <c r="P192" s="11"/>
      <c r="Q192" s="11"/>
      <c r="R192" s="11"/>
      <c r="S192" s="11"/>
    </row>
    <row r="193" spans="2:19" ht="13.5" customHeight="1">
      <c r="B193" s="11"/>
      <c r="C193" s="11"/>
      <c r="D193" s="11"/>
      <c r="E193" s="11"/>
      <c r="F193" s="11"/>
      <c r="G193" s="11"/>
      <c r="H193" s="11"/>
      <c r="I193" s="11"/>
      <c r="J193" s="11"/>
      <c r="K193" s="11"/>
      <c r="L193" s="11"/>
      <c r="M193" s="11"/>
      <c r="N193" s="11"/>
      <c r="O193" s="11"/>
      <c r="P193" s="11"/>
      <c r="Q193" s="11"/>
      <c r="R193" s="11"/>
      <c r="S193" s="11"/>
    </row>
    <row r="194" spans="2:19" ht="13.5" customHeight="1">
      <c r="B194" s="11"/>
      <c r="C194" s="11"/>
      <c r="D194" s="11"/>
      <c r="E194" s="11"/>
      <c r="F194" s="11"/>
      <c r="G194" s="11"/>
      <c r="H194" s="11"/>
      <c r="I194" s="11"/>
      <c r="J194" s="11"/>
      <c r="K194" s="11"/>
      <c r="L194" s="11"/>
      <c r="M194" s="11"/>
      <c r="N194" s="11"/>
      <c r="O194" s="11"/>
      <c r="P194" s="11"/>
      <c r="Q194" s="11"/>
      <c r="R194" s="11"/>
      <c r="S194" s="11"/>
    </row>
    <row r="195" spans="2:19" ht="13.5" customHeight="1">
      <c r="B195" s="11"/>
      <c r="C195" s="11"/>
      <c r="D195" s="11"/>
      <c r="E195" s="11"/>
      <c r="F195" s="11"/>
      <c r="G195" s="11"/>
      <c r="H195" s="11"/>
      <c r="I195" s="11"/>
      <c r="J195" s="11"/>
      <c r="K195" s="11"/>
      <c r="L195" s="11"/>
      <c r="M195" s="11"/>
      <c r="N195" s="11"/>
      <c r="O195" s="11"/>
      <c r="P195" s="11"/>
      <c r="Q195" s="11"/>
      <c r="R195" s="11"/>
      <c r="S195" s="11"/>
    </row>
    <row r="196" spans="2:19" ht="13.5" customHeight="1">
      <c r="B196" s="11"/>
      <c r="C196" s="11"/>
      <c r="D196" s="11"/>
      <c r="E196" s="11"/>
      <c r="F196" s="11"/>
      <c r="G196" s="11"/>
      <c r="H196" s="11"/>
      <c r="I196" s="11"/>
      <c r="J196" s="11"/>
      <c r="K196" s="11"/>
      <c r="L196" s="11"/>
      <c r="M196" s="11"/>
      <c r="N196" s="11"/>
      <c r="O196" s="11"/>
      <c r="P196" s="11"/>
      <c r="Q196" s="11"/>
      <c r="R196" s="11"/>
      <c r="S196" s="11"/>
    </row>
    <row r="197" spans="2:19" ht="13.5" customHeight="1">
      <c r="B197" s="11"/>
      <c r="C197" s="11"/>
      <c r="D197" s="11"/>
      <c r="E197" s="11"/>
      <c r="F197" s="11"/>
      <c r="G197" s="11"/>
      <c r="H197" s="11"/>
      <c r="I197" s="11"/>
      <c r="J197" s="11"/>
      <c r="K197" s="11"/>
      <c r="L197" s="11"/>
      <c r="M197" s="11"/>
      <c r="N197" s="11"/>
      <c r="O197" s="11"/>
      <c r="P197" s="11"/>
      <c r="Q197" s="11"/>
      <c r="R197" s="11"/>
      <c r="S197" s="11"/>
    </row>
    <row r="198" spans="2:19" ht="13.5" customHeight="1">
      <c r="B198" s="11"/>
      <c r="C198" s="11"/>
      <c r="D198" s="11"/>
      <c r="E198" s="11"/>
      <c r="F198" s="11"/>
      <c r="G198" s="11"/>
      <c r="H198" s="11"/>
      <c r="I198" s="11"/>
      <c r="J198" s="11"/>
      <c r="K198" s="11"/>
      <c r="L198" s="11"/>
      <c r="M198" s="11"/>
      <c r="N198" s="11"/>
      <c r="O198" s="11"/>
      <c r="P198" s="11"/>
      <c r="Q198" s="11"/>
      <c r="R198" s="11"/>
      <c r="S198" s="11"/>
    </row>
    <row r="199" spans="2:19" ht="13.5" customHeight="1">
      <c r="B199" s="11"/>
      <c r="C199" s="11"/>
      <c r="D199" s="11"/>
      <c r="E199" s="11"/>
      <c r="F199" s="11"/>
      <c r="G199" s="11"/>
      <c r="H199" s="11"/>
      <c r="I199" s="11"/>
      <c r="J199" s="11"/>
      <c r="K199" s="11"/>
      <c r="L199" s="11"/>
      <c r="M199" s="11"/>
      <c r="N199" s="11"/>
      <c r="O199" s="11"/>
      <c r="P199" s="11"/>
      <c r="Q199" s="11"/>
      <c r="R199" s="11"/>
      <c r="S199" s="11"/>
    </row>
    <row r="200" spans="2:19" ht="13.5" customHeight="1">
      <c r="B200" s="11"/>
      <c r="C200" s="11"/>
      <c r="D200" s="11"/>
      <c r="E200" s="11"/>
      <c r="F200" s="11"/>
      <c r="G200" s="11"/>
      <c r="H200" s="11"/>
      <c r="I200" s="11"/>
      <c r="J200" s="11"/>
      <c r="K200" s="11"/>
      <c r="L200" s="11"/>
      <c r="M200" s="11"/>
      <c r="N200" s="11"/>
      <c r="O200" s="11"/>
      <c r="P200" s="11"/>
      <c r="Q200" s="11"/>
      <c r="R200" s="11"/>
      <c r="S200" s="11"/>
    </row>
    <row r="201" spans="2:19" ht="13.5" customHeight="1">
      <c r="B201" s="11"/>
      <c r="C201" s="11"/>
      <c r="D201" s="11"/>
      <c r="E201" s="11"/>
      <c r="F201" s="11"/>
      <c r="G201" s="11"/>
      <c r="H201" s="11"/>
      <c r="I201" s="11"/>
      <c r="J201" s="11"/>
      <c r="K201" s="11"/>
      <c r="L201" s="11"/>
      <c r="M201" s="11"/>
      <c r="N201" s="11"/>
      <c r="O201" s="11"/>
      <c r="P201" s="11"/>
      <c r="Q201" s="11"/>
      <c r="R201" s="11"/>
      <c r="S201" s="11"/>
    </row>
    <row r="202" spans="2:19" ht="13.5" customHeight="1">
      <c r="B202" s="11"/>
      <c r="C202" s="11"/>
      <c r="D202" s="11"/>
      <c r="E202" s="11"/>
      <c r="F202" s="11"/>
      <c r="G202" s="11"/>
      <c r="H202" s="11"/>
      <c r="I202" s="11"/>
      <c r="J202" s="11"/>
      <c r="K202" s="11"/>
      <c r="L202" s="11"/>
      <c r="M202" s="11"/>
      <c r="N202" s="11"/>
      <c r="O202" s="11"/>
      <c r="P202" s="11"/>
      <c r="Q202" s="11"/>
      <c r="R202" s="11"/>
      <c r="S202" s="11"/>
    </row>
    <row r="203" spans="2:19" ht="13.5" customHeight="1">
      <c r="B203" s="11"/>
      <c r="C203" s="11"/>
      <c r="D203" s="11"/>
      <c r="E203" s="11"/>
      <c r="F203" s="11"/>
      <c r="G203" s="11"/>
      <c r="H203" s="11"/>
      <c r="I203" s="11"/>
      <c r="J203" s="11"/>
      <c r="K203" s="11"/>
      <c r="L203" s="11"/>
      <c r="M203" s="11"/>
      <c r="N203" s="11"/>
      <c r="O203" s="11"/>
      <c r="P203" s="11"/>
      <c r="Q203" s="11"/>
      <c r="R203" s="11"/>
      <c r="S203" s="11"/>
    </row>
    <row r="204" spans="2:19" ht="13.5" customHeight="1">
      <c r="B204" s="11"/>
      <c r="C204" s="11"/>
      <c r="D204" s="11"/>
      <c r="E204" s="11"/>
      <c r="F204" s="11"/>
      <c r="G204" s="11"/>
      <c r="H204" s="11"/>
      <c r="I204" s="11"/>
      <c r="J204" s="11"/>
      <c r="K204" s="11"/>
      <c r="L204" s="11"/>
      <c r="M204" s="11"/>
      <c r="N204" s="11"/>
      <c r="O204" s="11"/>
      <c r="P204" s="11"/>
      <c r="Q204" s="11"/>
      <c r="R204" s="11"/>
      <c r="S204" s="11"/>
    </row>
    <row r="205" spans="2:19" ht="13.5" customHeight="1">
      <c r="B205" s="11"/>
      <c r="C205" s="11"/>
      <c r="D205" s="11"/>
      <c r="E205" s="11"/>
      <c r="F205" s="11"/>
      <c r="G205" s="11"/>
      <c r="H205" s="11"/>
      <c r="I205" s="11"/>
      <c r="J205" s="11"/>
      <c r="K205" s="11"/>
      <c r="L205" s="11"/>
      <c r="M205" s="11"/>
      <c r="N205" s="11"/>
      <c r="O205" s="11"/>
      <c r="P205" s="11"/>
      <c r="Q205" s="11"/>
      <c r="R205" s="11"/>
      <c r="S205" s="11"/>
    </row>
    <row r="206" spans="2:19" ht="13.5" customHeight="1">
      <c r="B206" s="11"/>
      <c r="C206" s="11"/>
      <c r="D206" s="11"/>
      <c r="E206" s="11"/>
      <c r="F206" s="11"/>
      <c r="G206" s="11"/>
      <c r="H206" s="11"/>
      <c r="I206" s="11"/>
      <c r="J206" s="11"/>
      <c r="K206" s="11"/>
      <c r="L206" s="11"/>
      <c r="M206" s="11"/>
      <c r="N206" s="11"/>
      <c r="O206" s="11"/>
      <c r="P206" s="11"/>
      <c r="Q206" s="11"/>
      <c r="R206" s="11"/>
      <c r="S206" s="11"/>
    </row>
    <row r="207" spans="2:19" ht="13.5" customHeight="1">
      <c r="B207" s="11"/>
      <c r="C207" s="11"/>
      <c r="D207" s="11"/>
      <c r="E207" s="11"/>
      <c r="F207" s="11"/>
      <c r="G207" s="11"/>
      <c r="H207" s="11"/>
      <c r="I207" s="11"/>
      <c r="J207" s="11"/>
      <c r="K207" s="11"/>
      <c r="L207" s="11"/>
      <c r="M207" s="11"/>
      <c r="N207" s="11"/>
      <c r="O207" s="11"/>
      <c r="P207" s="11"/>
      <c r="Q207" s="11"/>
      <c r="R207" s="11"/>
      <c r="S207" s="11"/>
    </row>
    <row r="208" spans="2:19" ht="13.5" customHeight="1">
      <c r="B208" s="11"/>
      <c r="C208" s="11"/>
      <c r="D208" s="11"/>
      <c r="E208" s="11"/>
      <c r="F208" s="11"/>
      <c r="G208" s="11"/>
      <c r="H208" s="11"/>
      <c r="I208" s="11"/>
      <c r="J208" s="11"/>
      <c r="K208" s="11"/>
      <c r="L208" s="11"/>
      <c r="M208" s="11"/>
      <c r="N208" s="11"/>
      <c r="O208" s="11"/>
      <c r="P208" s="11"/>
      <c r="Q208" s="11"/>
      <c r="R208" s="11"/>
      <c r="S208" s="11"/>
    </row>
    <row r="209" spans="2:19" ht="13.5" customHeight="1">
      <c r="B209" s="11"/>
      <c r="C209" s="11"/>
      <c r="D209" s="11"/>
      <c r="E209" s="11"/>
      <c r="F209" s="11"/>
      <c r="G209" s="11"/>
      <c r="H209" s="11"/>
      <c r="I209" s="11"/>
      <c r="J209" s="11"/>
      <c r="K209" s="11"/>
      <c r="L209" s="11"/>
      <c r="M209" s="11"/>
      <c r="N209" s="11"/>
      <c r="O209" s="11"/>
      <c r="P209" s="11"/>
      <c r="Q209" s="11"/>
      <c r="R209" s="11"/>
      <c r="S209" s="11"/>
    </row>
    <row r="210" spans="2:19" ht="13.5" customHeight="1">
      <c r="B210" s="11"/>
      <c r="C210" s="11"/>
      <c r="D210" s="11"/>
      <c r="E210" s="11"/>
      <c r="F210" s="11"/>
      <c r="G210" s="11"/>
      <c r="H210" s="11"/>
      <c r="I210" s="11"/>
      <c r="J210" s="11"/>
      <c r="K210" s="11"/>
      <c r="L210" s="11"/>
      <c r="M210" s="11"/>
      <c r="N210" s="11"/>
      <c r="O210" s="11"/>
      <c r="P210" s="11"/>
      <c r="Q210" s="11"/>
      <c r="R210" s="11"/>
      <c r="S210" s="11"/>
    </row>
    <row r="211" spans="2:19" ht="13.5" customHeight="1">
      <c r="B211" s="11"/>
      <c r="C211" s="11"/>
      <c r="D211" s="11"/>
      <c r="E211" s="11"/>
      <c r="F211" s="11"/>
      <c r="G211" s="11"/>
      <c r="H211" s="11"/>
      <c r="I211" s="11"/>
      <c r="J211" s="11"/>
      <c r="K211" s="11"/>
      <c r="L211" s="11"/>
      <c r="M211" s="11"/>
      <c r="N211" s="11"/>
      <c r="O211" s="11"/>
      <c r="P211" s="11"/>
      <c r="Q211" s="11"/>
      <c r="R211" s="11"/>
      <c r="S211" s="11"/>
    </row>
    <row r="212" spans="2:19" ht="13.5" customHeight="1">
      <c r="B212" s="53" t="s">
        <v>811</v>
      </c>
      <c r="C212" s="11"/>
      <c r="D212" s="11"/>
      <c r="E212" s="11"/>
      <c r="F212" s="11"/>
      <c r="G212" s="11"/>
      <c r="H212" s="11"/>
      <c r="I212" s="11"/>
      <c r="J212" s="11"/>
      <c r="K212" s="11"/>
      <c r="L212" s="11"/>
      <c r="M212" s="11"/>
      <c r="N212" s="11"/>
      <c r="O212" s="11"/>
      <c r="P212" s="11"/>
      <c r="Q212" s="11"/>
      <c r="R212" s="11"/>
      <c r="S212" s="11"/>
    </row>
    <row r="213" spans="2:19" ht="13.5" customHeight="1">
      <c r="B213" s="56" t="s">
        <v>812</v>
      </c>
      <c r="C213" s="56" t="s">
        <v>168</v>
      </c>
      <c r="D213" s="57"/>
      <c r="E213" s="70">
        <f>Sheet1!$E$35</f>
        <v>0.2</v>
      </c>
      <c r="F213" s="70">
        <f>Sheet1!$E$35</f>
        <v>0.2</v>
      </c>
      <c r="G213" s="70">
        <f>Sheet1!$E$35</f>
        <v>0.2</v>
      </c>
      <c r="H213" s="70">
        <f>Sheet1!$E$35</f>
        <v>0.2</v>
      </c>
      <c r="I213" s="70">
        <f>Sheet1!$E$35</f>
        <v>0.2</v>
      </c>
      <c r="J213" s="103">
        <f>Sheet1!$E$35</f>
        <v>0.2</v>
      </c>
      <c r="K213" s="103">
        <f>Sheet1!$E$35</f>
        <v>0.2</v>
      </c>
      <c r="L213" s="103">
        <f>Sheet1!$E$35</f>
        <v>0.2</v>
      </c>
      <c r="M213" s="103">
        <f>Sheet1!$E$35</f>
        <v>0.2</v>
      </c>
      <c r="N213" s="103">
        <f>Sheet1!$E$35</f>
        <v>0.2</v>
      </c>
      <c r="O213" s="103">
        <f>Sheet1!$E$35</f>
        <v>0.2</v>
      </c>
      <c r="P213" s="103">
        <f>Sheet1!$E$35</f>
        <v>0.2</v>
      </c>
      <c r="Q213" s="103">
        <f>Sheet1!$E$35</f>
        <v>0.2</v>
      </c>
      <c r="R213" s="103">
        <f>Sheet1!$E$35</f>
        <v>0.2</v>
      </c>
      <c r="S213" s="103">
        <f>Sheet1!$E$35</f>
        <v>0.2</v>
      </c>
    </row>
    <row r="214" spans="2:19" ht="13.5" customHeight="1">
      <c r="B214" s="56" t="s">
        <v>813</v>
      </c>
      <c r="C214" s="56" t="s">
        <v>168</v>
      </c>
      <c r="D214" s="57"/>
      <c r="E214" s="70">
        <f>Sheet1!$E$36</f>
        <v>0.13489999999999999</v>
      </c>
      <c r="F214" s="70">
        <f>Sheet1!$E$36</f>
        <v>0.13489999999999999</v>
      </c>
      <c r="G214" s="70">
        <f>Sheet1!$E$36</f>
        <v>0.13489999999999999</v>
      </c>
      <c r="H214" s="70">
        <f>Sheet1!$E$36</f>
        <v>0.13489999999999999</v>
      </c>
      <c r="I214" s="70">
        <f>Sheet1!$E$36</f>
        <v>0.13489999999999999</v>
      </c>
      <c r="J214" s="103">
        <f>Sheet1!$E$36</f>
        <v>0.13489999999999999</v>
      </c>
      <c r="K214" s="103">
        <f>Sheet1!$E$36</f>
        <v>0.13489999999999999</v>
      </c>
      <c r="L214" s="103">
        <f>Sheet1!$E$36</f>
        <v>0.13489999999999999</v>
      </c>
      <c r="M214" s="103">
        <f>Sheet1!$E$36</f>
        <v>0.13489999999999999</v>
      </c>
      <c r="N214" s="103">
        <f>Sheet1!$E$36</f>
        <v>0.13489999999999999</v>
      </c>
      <c r="O214" s="103">
        <f>Sheet1!$E$36</f>
        <v>0.13489999999999999</v>
      </c>
      <c r="P214" s="103">
        <f>Sheet1!$E$36</f>
        <v>0.13489999999999999</v>
      </c>
      <c r="Q214" s="103">
        <f>Sheet1!$E$36</f>
        <v>0.13489999999999999</v>
      </c>
      <c r="R214" s="103">
        <f>Sheet1!$E$36</f>
        <v>0.13489999999999999</v>
      </c>
      <c r="S214" s="103">
        <f>Sheet1!$E$36</f>
        <v>0.13489999999999999</v>
      </c>
    </row>
    <row r="215" spans="2:19" ht="13.5" customHeight="1">
      <c r="B215" s="11" t="s">
        <v>814</v>
      </c>
      <c r="C215" s="11" t="s">
        <v>168</v>
      </c>
      <c r="D215" s="11"/>
      <c r="E215" s="146">
        <f>Sheet1!$J$378</f>
        <v>0.11229724000000002</v>
      </c>
      <c r="F215" s="146">
        <f>Sheet1!$J$378</f>
        <v>0.11229724000000002</v>
      </c>
      <c r="G215" s="146">
        <f>Sheet1!$J$378</f>
        <v>0.11229724000000002</v>
      </c>
      <c r="H215" s="146">
        <f>Sheet1!$J$378</f>
        <v>0.11229724000000002</v>
      </c>
      <c r="I215" s="146">
        <f>Sheet1!$J$378</f>
        <v>0.11229724000000002</v>
      </c>
      <c r="J215" s="146">
        <f>Sheet1!J378</f>
        <v>0.11229724000000002</v>
      </c>
      <c r="K215" s="146">
        <f>Sheet1!K378</f>
        <v>0.11343088000000001</v>
      </c>
      <c r="L215" s="146">
        <f>Sheet1!L378</f>
        <v>0.11456452</v>
      </c>
      <c r="M215" s="146">
        <f>Sheet1!M378</f>
        <v>0.11569816000000002</v>
      </c>
      <c r="N215" s="146">
        <f>Sheet1!N378</f>
        <v>0.11683180000000001</v>
      </c>
      <c r="O215" s="146">
        <f>Sheet1!O378</f>
        <v>0.11796544</v>
      </c>
      <c r="P215" s="146">
        <f>Sheet1!P378</f>
        <v>0.11909908</v>
      </c>
      <c r="Q215" s="146">
        <f>Sheet1!Q378</f>
        <v>0.12023272000000002</v>
      </c>
      <c r="R215" s="146">
        <f>Sheet1!R378</f>
        <v>0.12136636000000001</v>
      </c>
      <c r="S215" s="146">
        <f>Sheet1!S378</f>
        <v>0.1225</v>
      </c>
    </row>
    <row r="216" spans="2:19" ht="13.5" customHeight="1">
      <c r="B216" s="11"/>
      <c r="C216" s="11"/>
      <c r="D216" s="11"/>
      <c r="E216" s="11"/>
      <c r="F216" s="11"/>
      <c r="G216" s="11"/>
      <c r="H216" s="11"/>
      <c r="I216" s="11"/>
      <c r="J216" s="11"/>
      <c r="K216" s="11"/>
      <c r="L216" s="11"/>
      <c r="M216" s="11"/>
      <c r="N216" s="11"/>
      <c r="O216" s="11"/>
      <c r="P216" s="11"/>
      <c r="Q216" s="11"/>
      <c r="R216" s="11"/>
      <c r="S216" s="11"/>
    </row>
    <row r="217" spans="2:19" ht="13.5" customHeight="1">
      <c r="B217" s="11"/>
      <c r="C217" s="11"/>
      <c r="D217" s="11"/>
      <c r="E217" s="11"/>
      <c r="F217" s="11"/>
      <c r="G217" s="11"/>
      <c r="H217" s="11"/>
      <c r="I217" s="11"/>
      <c r="J217" s="11"/>
      <c r="K217" s="11"/>
      <c r="L217" s="11"/>
      <c r="M217" s="11"/>
      <c r="N217" s="11"/>
      <c r="O217" s="11"/>
      <c r="P217" s="11"/>
      <c r="Q217" s="11"/>
      <c r="R217" s="11"/>
      <c r="S217" s="11"/>
    </row>
    <row r="218" spans="2:19" ht="13.5" customHeight="1">
      <c r="B218" s="11"/>
      <c r="C218" s="11"/>
      <c r="D218" s="11"/>
      <c r="E218" s="11"/>
      <c r="F218" s="11"/>
      <c r="G218" s="11"/>
      <c r="H218" s="11"/>
      <c r="I218" s="11"/>
      <c r="J218" s="11"/>
      <c r="K218" s="11"/>
      <c r="L218" s="11"/>
      <c r="M218" s="11"/>
      <c r="N218" s="11"/>
      <c r="O218" s="11"/>
      <c r="P218" s="11"/>
      <c r="Q218" s="11"/>
      <c r="R218" s="11"/>
      <c r="S218" s="11"/>
    </row>
    <row r="219" spans="2:19" ht="13.5" customHeight="1">
      <c r="B219" s="11"/>
      <c r="C219" s="11"/>
      <c r="D219" s="11"/>
      <c r="E219" s="11"/>
      <c r="F219" s="11"/>
      <c r="G219" s="11"/>
      <c r="H219" s="11"/>
      <c r="I219" s="11"/>
      <c r="J219" s="11"/>
      <c r="K219" s="11"/>
      <c r="L219" s="11"/>
      <c r="M219" s="11"/>
      <c r="N219" s="11"/>
      <c r="O219" s="11"/>
      <c r="P219" s="11"/>
      <c r="Q219" s="11"/>
      <c r="R219" s="11"/>
      <c r="S219" s="11"/>
    </row>
    <row r="220" spans="2:19" ht="13.5" customHeight="1">
      <c r="B220" s="11"/>
      <c r="C220" s="11"/>
      <c r="D220" s="11"/>
      <c r="E220" s="11"/>
      <c r="F220" s="11"/>
      <c r="G220" s="11"/>
      <c r="H220" s="11"/>
      <c r="I220" s="11"/>
      <c r="J220" s="11"/>
      <c r="K220" s="11"/>
      <c r="L220" s="11"/>
      <c r="M220" s="11"/>
      <c r="N220" s="11"/>
      <c r="O220" s="11"/>
      <c r="P220" s="11"/>
      <c r="Q220" s="11"/>
      <c r="R220" s="11"/>
      <c r="S220" s="11"/>
    </row>
    <row r="221" spans="2:19" ht="13.5" customHeight="1">
      <c r="B221" s="11"/>
      <c r="C221" s="11"/>
      <c r="D221" s="11"/>
      <c r="E221" s="11"/>
      <c r="F221" s="11"/>
      <c r="G221" s="11"/>
      <c r="H221" s="11"/>
      <c r="I221" s="11"/>
      <c r="J221" s="11"/>
      <c r="K221" s="11"/>
      <c r="L221" s="11"/>
      <c r="M221" s="11"/>
      <c r="N221" s="11"/>
      <c r="O221" s="11"/>
      <c r="P221" s="11"/>
      <c r="Q221" s="11"/>
      <c r="R221" s="11"/>
      <c r="S221" s="11"/>
    </row>
    <row r="222" spans="2:19" ht="13.5" customHeight="1">
      <c r="B222" s="11"/>
      <c r="C222" s="11"/>
      <c r="D222" s="11"/>
      <c r="E222" s="11"/>
      <c r="F222" s="11"/>
      <c r="G222" s="11"/>
      <c r="H222" s="11"/>
      <c r="I222" s="11"/>
      <c r="J222" s="11"/>
      <c r="K222" s="11"/>
      <c r="L222" s="11"/>
      <c r="M222" s="11"/>
      <c r="N222" s="11"/>
      <c r="O222" s="11"/>
      <c r="P222" s="11"/>
      <c r="Q222" s="11"/>
      <c r="R222" s="11"/>
      <c r="S222" s="11"/>
    </row>
    <row r="223" spans="2:19" ht="13.5" customHeight="1">
      <c r="B223" s="11"/>
      <c r="C223" s="11"/>
      <c r="D223" s="11"/>
      <c r="E223" s="11"/>
      <c r="F223" s="11"/>
      <c r="G223" s="11"/>
      <c r="H223" s="11"/>
      <c r="I223" s="11"/>
      <c r="J223" s="11"/>
      <c r="K223" s="11"/>
      <c r="L223" s="11"/>
      <c r="M223" s="11"/>
      <c r="N223" s="11"/>
      <c r="O223" s="11"/>
      <c r="P223" s="11"/>
      <c r="Q223" s="11"/>
      <c r="R223" s="11"/>
      <c r="S223" s="11"/>
    </row>
    <row r="224" spans="2:19" ht="13.5" customHeight="1">
      <c r="B224" s="11"/>
      <c r="C224" s="11"/>
      <c r="D224" s="11"/>
      <c r="E224" s="11"/>
      <c r="F224" s="11"/>
      <c r="G224" s="11"/>
      <c r="H224" s="11"/>
      <c r="I224" s="11"/>
      <c r="J224" s="11"/>
      <c r="K224" s="11"/>
      <c r="L224" s="11"/>
      <c r="M224" s="11"/>
      <c r="N224" s="11"/>
      <c r="O224" s="11"/>
      <c r="P224" s="11"/>
      <c r="Q224" s="11"/>
      <c r="R224" s="11"/>
      <c r="S224" s="11"/>
    </row>
    <row r="225" spans="2:19" ht="13.5" customHeight="1">
      <c r="B225" s="11"/>
      <c r="C225" s="11"/>
      <c r="D225" s="11"/>
      <c r="E225" s="11"/>
      <c r="F225" s="11"/>
      <c r="G225" s="11"/>
      <c r="H225" s="11"/>
      <c r="I225" s="11"/>
      <c r="J225" s="11"/>
      <c r="K225" s="11"/>
      <c r="L225" s="11"/>
      <c r="M225" s="11"/>
      <c r="N225" s="11"/>
      <c r="O225" s="11"/>
      <c r="P225" s="11"/>
      <c r="Q225" s="11"/>
      <c r="R225" s="11"/>
      <c r="S225" s="11"/>
    </row>
    <row r="226" spans="2:19" ht="13.5" customHeight="1">
      <c r="B226" s="11"/>
      <c r="C226" s="11"/>
      <c r="D226" s="11"/>
      <c r="E226" s="11"/>
      <c r="F226" s="11"/>
      <c r="G226" s="11"/>
      <c r="H226" s="11"/>
      <c r="I226" s="11"/>
      <c r="J226" s="11"/>
      <c r="K226" s="11"/>
      <c r="L226" s="11"/>
      <c r="M226" s="11"/>
      <c r="N226" s="11"/>
      <c r="O226" s="11"/>
      <c r="P226" s="11"/>
      <c r="Q226" s="11"/>
      <c r="R226" s="11"/>
      <c r="S226" s="11"/>
    </row>
    <row r="227" spans="2:19" ht="13.5" customHeight="1">
      <c r="B227" s="11"/>
      <c r="C227" s="11"/>
      <c r="D227" s="11"/>
      <c r="E227" s="11"/>
      <c r="F227" s="11"/>
      <c r="G227" s="11"/>
      <c r="H227" s="11"/>
      <c r="I227" s="11"/>
      <c r="J227" s="11"/>
      <c r="K227" s="11"/>
      <c r="L227" s="11"/>
      <c r="M227" s="11"/>
      <c r="N227" s="11"/>
      <c r="O227" s="11"/>
      <c r="P227" s="11"/>
      <c r="Q227" s="11"/>
      <c r="R227" s="11"/>
      <c r="S227" s="11"/>
    </row>
    <row r="228" spans="2:19" ht="13.5" customHeight="1">
      <c r="B228" s="11"/>
      <c r="C228" s="11"/>
      <c r="D228" s="11"/>
      <c r="E228" s="11"/>
      <c r="F228" s="11"/>
      <c r="G228" s="11"/>
      <c r="H228" s="11"/>
      <c r="I228" s="11"/>
      <c r="J228" s="11"/>
      <c r="K228" s="11"/>
      <c r="L228" s="11"/>
      <c r="M228" s="11"/>
      <c r="N228" s="11"/>
      <c r="O228" s="11"/>
      <c r="P228" s="11"/>
      <c r="Q228" s="11"/>
      <c r="R228" s="11"/>
      <c r="S228" s="11"/>
    </row>
    <row r="229" spans="2:19" ht="13.5" customHeight="1">
      <c r="B229" s="11"/>
      <c r="C229" s="11"/>
      <c r="D229" s="11"/>
      <c r="E229" s="11"/>
      <c r="F229" s="11"/>
      <c r="G229" s="11"/>
      <c r="H229" s="11"/>
      <c r="I229" s="11"/>
      <c r="J229" s="11"/>
      <c r="K229" s="11"/>
      <c r="L229" s="11"/>
      <c r="M229" s="11"/>
      <c r="N229" s="11"/>
      <c r="O229" s="11"/>
      <c r="P229" s="11"/>
      <c r="Q229" s="11"/>
      <c r="R229" s="11"/>
      <c r="S229" s="11"/>
    </row>
    <row r="230" spans="2:19" ht="13.5" customHeight="1">
      <c r="B230" s="11"/>
      <c r="C230" s="11"/>
      <c r="D230" s="11"/>
      <c r="E230" s="11"/>
      <c r="F230" s="11"/>
      <c r="G230" s="11"/>
      <c r="H230" s="11"/>
      <c r="I230" s="11"/>
      <c r="J230" s="11"/>
      <c r="K230" s="11"/>
      <c r="L230" s="11"/>
      <c r="M230" s="11"/>
      <c r="N230" s="11"/>
      <c r="O230" s="11"/>
      <c r="P230" s="11"/>
      <c r="Q230" s="11"/>
      <c r="R230" s="11"/>
      <c r="S230" s="11"/>
    </row>
    <row r="231" spans="2:19" ht="13.5" customHeight="1">
      <c r="B231" s="11"/>
      <c r="C231" s="11"/>
      <c r="D231" s="11"/>
      <c r="E231" s="11"/>
      <c r="F231" s="11"/>
      <c r="G231" s="11"/>
      <c r="H231" s="11"/>
      <c r="I231" s="11"/>
      <c r="J231" s="11"/>
      <c r="K231" s="11"/>
      <c r="L231" s="11"/>
      <c r="M231" s="11"/>
      <c r="N231" s="11"/>
      <c r="O231" s="11"/>
      <c r="P231" s="11"/>
      <c r="Q231" s="11"/>
      <c r="R231" s="11"/>
      <c r="S231" s="11"/>
    </row>
    <row r="232" spans="2:19" ht="13.5" customHeight="1">
      <c r="B232" s="11"/>
      <c r="C232" s="11"/>
      <c r="D232" s="11"/>
      <c r="E232" s="11"/>
      <c r="F232" s="11"/>
      <c r="G232" s="11"/>
      <c r="H232" s="11"/>
      <c r="I232" s="11"/>
      <c r="J232" s="11"/>
      <c r="K232" s="11"/>
      <c r="L232" s="11"/>
      <c r="M232" s="11"/>
      <c r="N232" s="11"/>
      <c r="O232" s="11"/>
      <c r="P232" s="11"/>
      <c r="Q232" s="11"/>
      <c r="R232" s="11"/>
      <c r="S232" s="11"/>
    </row>
    <row r="233" spans="2:19" ht="13.5" customHeight="1">
      <c r="B233" s="11"/>
      <c r="C233" s="11"/>
      <c r="D233" s="11"/>
      <c r="E233" s="11"/>
      <c r="F233" s="11"/>
      <c r="G233" s="11"/>
      <c r="H233" s="11"/>
      <c r="I233" s="11"/>
      <c r="J233" s="11"/>
      <c r="K233" s="11"/>
      <c r="L233" s="11"/>
      <c r="M233" s="11"/>
      <c r="N233" s="11"/>
      <c r="O233" s="11"/>
      <c r="P233" s="11"/>
      <c r="Q233" s="11"/>
      <c r="R233" s="11"/>
      <c r="S233" s="11"/>
    </row>
    <row r="234" spans="2:19" ht="13.5" customHeight="1">
      <c r="B234" s="11"/>
      <c r="C234" s="11"/>
      <c r="D234" s="11"/>
      <c r="E234" s="11"/>
      <c r="F234" s="11"/>
      <c r="G234" s="11"/>
      <c r="H234" s="11"/>
      <c r="I234" s="11"/>
      <c r="J234" s="11"/>
      <c r="K234" s="11"/>
      <c r="L234" s="11"/>
      <c r="M234" s="11"/>
      <c r="N234" s="11"/>
      <c r="O234" s="11"/>
      <c r="P234" s="11"/>
      <c r="Q234" s="11"/>
      <c r="R234" s="11"/>
      <c r="S234" s="11"/>
    </row>
    <row r="235" spans="2:19" ht="13.5" customHeight="1">
      <c r="B235" s="11"/>
      <c r="C235" s="11"/>
      <c r="D235" s="11"/>
      <c r="E235" s="11"/>
      <c r="F235" s="11"/>
      <c r="G235" s="11"/>
      <c r="H235" s="11"/>
      <c r="I235" s="11"/>
      <c r="J235" s="11"/>
      <c r="K235" s="11"/>
      <c r="L235" s="11"/>
      <c r="M235" s="11"/>
      <c r="N235" s="11"/>
      <c r="O235" s="11"/>
      <c r="P235" s="11"/>
      <c r="Q235" s="11"/>
      <c r="R235" s="11"/>
      <c r="S235" s="11"/>
    </row>
    <row r="236" spans="2:19" ht="13.5" customHeight="1">
      <c r="B236" s="11"/>
      <c r="C236" s="11"/>
      <c r="D236" s="11"/>
      <c r="E236" s="11"/>
      <c r="F236" s="11"/>
      <c r="G236" s="11"/>
      <c r="H236" s="11"/>
      <c r="I236" s="11"/>
      <c r="J236" s="11"/>
      <c r="K236" s="11"/>
      <c r="L236" s="11"/>
      <c r="M236" s="11"/>
      <c r="N236" s="11"/>
      <c r="O236" s="11"/>
      <c r="P236" s="11"/>
      <c r="Q236" s="11"/>
      <c r="R236" s="11"/>
      <c r="S236" s="11"/>
    </row>
    <row r="237" spans="2:19" ht="13.5" customHeight="1">
      <c r="B237" s="11"/>
      <c r="C237" s="11"/>
      <c r="D237" s="11"/>
      <c r="E237" s="11"/>
      <c r="F237" s="11"/>
      <c r="G237" s="11"/>
      <c r="H237" s="11"/>
      <c r="I237" s="11"/>
      <c r="J237" s="11"/>
      <c r="K237" s="11"/>
      <c r="L237" s="11"/>
      <c r="M237" s="11"/>
      <c r="N237" s="11"/>
      <c r="O237" s="11"/>
      <c r="P237" s="11"/>
      <c r="Q237" s="11"/>
      <c r="R237" s="11"/>
      <c r="S237" s="11"/>
    </row>
    <row r="238" spans="2:19" ht="13.5" customHeight="1">
      <c r="B238" s="11"/>
      <c r="C238" s="11"/>
      <c r="D238" s="11"/>
      <c r="E238" s="11"/>
      <c r="F238" s="11"/>
      <c r="G238" s="11"/>
      <c r="H238" s="11"/>
      <c r="I238" s="11"/>
      <c r="J238" s="11"/>
      <c r="K238" s="11"/>
      <c r="L238" s="11"/>
      <c r="M238" s="11"/>
      <c r="N238" s="11"/>
      <c r="O238" s="11"/>
      <c r="P238" s="11"/>
      <c r="Q238" s="11"/>
      <c r="R238" s="11"/>
      <c r="S238" s="11"/>
    </row>
    <row r="239" spans="2:19" ht="13.5" customHeight="1">
      <c r="B239" s="11"/>
      <c r="C239" s="11"/>
      <c r="D239" s="11"/>
      <c r="E239" s="11"/>
      <c r="F239" s="11"/>
      <c r="G239" s="11"/>
      <c r="H239" s="11"/>
      <c r="I239" s="11"/>
      <c r="J239" s="11"/>
      <c r="K239" s="11"/>
      <c r="L239" s="11"/>
      <c r="M239" s="11"/>
      <c r="N239" s="11"/>
      <c r="O239" s="11"/>
      <c r="P239" s="11"/>
      <c r="Q239" s="11"/>
      <c r="R239" s="11"/>
      <c r="S239" s="11"/>
    </row>
    <row r="240" spans="2:19" ht="13.5" customHeight="1">
      <c r="B240" s="11"/>
      <c r="C240" s="11"/>
      <c r="D240" s="11"/>
      <c r="E240" s="11"/>
      <c r="F240" s="11"/>
      <c r="G240" s="11"/>
      <c r="H240" s="11"/>
      <c r="I240" s="11"/>
      <c r="J240" s="11"/>
      <c r="K240" s="11"/>
      <c r="L240" s="11"/>
      <c r="M240" s="11"/>
      <c r="N240" s="11"/>
      <c r="O240" s="11"/>
      <c r="P240" s="11"/>
      <c r="Q240" s="11"/>
      <c r="R240" s="11"/>
      <c r="S240" s="11"/>
    </row>
    <row r="241" spans="2:19" ht="13.5" customHeight="1">
      <c r="B241" s="11"/>
      <c r="C241" s="11"/>
      <c r="D241" s="11"/>
      <c r="E241" s="11"/>
      <c r="F241" s="11"/>
      <c r="G241" s="11"/>
      <c r="H241" s="11"/>
      <c r="I241" s="11"/>
      <c r="J241" s="11"/>
      <c r="K241" s="11"/>
      <c r="L241" s="11"/>
      <c r="M241" s="11"/>
      <c r="N241" s="11"/>
      <c r="O241" s="11"/>
      <c r="P241" s="11"/>
      <c r="Q241" s="11"/>
      <c r="R241" s="11"/>
      <c r="S241" s="11"/>
    </row>
    <row r="242" spans="2:19" ht="13.5" customHeight="1">
      <c r="B242" s="11"/>
      <c r="C242" s="11"/>
      <c r="D242" s="11"/>
      <c r="E242" s="11"/>
      <c r="F242" s="11"/>
      <c r="G242" s="11"/>
      <c r="H242" s="11"/>
      <c r="I242" s="11"/>
      <c r="J242" s="11"/>
      <c r="K242" s="11"/>
      <c r="L242" s="11"/>
      <c r="M242" s="11"/>
      <c r="N242" s="11"/>
      <c r="O242" s="11"/>
      <c r="P242" s="11"/>
      <c r="Q242" s="11"/>
      <c r="R242" s="11"/>
      <c r="S242" s="11"/>
    </row>
    <row r="243" spans="2:19" ht="13.5" customHeight="1">
      <c r="B243" s="11"/>
      <c r="C243" s="11"/>
      <c r="D243" s="11"/>
      <c r="E243" s="11"/>
      <c r="F243" s="11"/>
      <c r="G243" s="11"/>
      <c r="H243" s="11"/>
      <c r="I243" s="11"/>
      <c r="J243" s="11"/>
      <c r="K243" s="11"/>
      <c r="L243" s="11"/>
      <c r="M243" s="11"/>
      <c r="N243" s="11"/>
      <c r="O243" s="11"/>
      <c r="P243" s="11"/>
      <c r="Q243" s="11"/>
      <c r="R243" s="11"/>
      <c r="S243" s="11"/>
    </row>
    <row r="244" spans="2:19" ht="13.5" customHeight="1">
      <c r="B244" s="11"/>
      <c r="C244" s="11"/>
      <c r="D244" s="11"/>
      <c r="E244" s="11"/>
      <c r="F244" s="11"/>
      <c r="G244" s="11"/>
      <c r="H244" s="11"/>
      <c r="I244" s="11"/>
      <c r="J244" s="11"/>
      <c r="K244" s="11"/>
      <c r="L244" s="11"/>
      <c r="M244" s="11"/>
      <c r="N244" s="11"/>
      <c r="O244" s="11"/>
      <c r="P244" s="11"/>
      <c r="Q244" s="11"/>
      <c r="R244" s="11"/>
      <c r="S244" s="11"/>
    </row>
    <row r="245" spans="2:19" ht="13.5" customHeight="1">
      <c r="B245" s="11"/>
      <c r="C245" s="11"/>
      <c r="D245" s="11"/>
      <c r="E245" s="11"/>
      <c r="F245" s="11"/>
      <c r="G245" s="11"/>
      <c r="H245" s="11"/>
      <c r="I245" s="11"/>
      <c r="J245" s="11"/>
      <c r="K245" s="11"/>
      <c r="L245" s="11"/>
      <c r="M245" s="11"/>
      <c r="N245" s="11"/>
      <c r="O245" s="11"/>
      <c r="P245" s="11"/>
      <c r="Q245" s="11"/>
      <c r="R245" s="11"/>
      <c r="S245" s="11"/>
    </row>
    <row r="246" spans="2:19" ht="13.5" customHeight="1">
      <c r="B246" s="11"/>
      <c r="C246" s="11"/>
      <c r="D246" s="11"/>
      <c r="E246" s="11"/>
      <c r="F246" s="11"/>
      <c r="G246" s="11"/>
      <c r="H246" s="11"/>
      <c r="I246" s="11"/>
      <c r="J246" s="11"/>
      <c r="K246" s="11"/>
      <c r="L246" s="11"/>
      <c r="M246" s="11"/>
      <c r="N246" s="11"/>
      <c r="O246" s="11"/>
      <c r="P246" s="11"/>
      <c r="Q246" s="11"/>
      <c r="R246" s="11"/>
      <c r="S246" s="11"/>
    </row>
    <row r="247" spans="2:19" ht="13.5" customHeight="1">
      <c r="B247" s="11"/>
      <c r="C247" s="11"/>
      <c r="D247" s="11"/>
      <c r="E247" s="11"/>
      <c r="F247" s="11"/>
      <c r="G247" s="11"/>
      <c r="H247" s="11"/>
      <c r="I247" s="11"/>
      <c r="J247" s="11"/>
      <c r="K247" s="11"/>
      <c r="L247" s="11"/>
      <c r="M247" s="11"/>
      <c r="N247" s="11"/>
      <c r="O247" s="11"/>
      <c r="P247" s="11"/>
      <c r="Q247" s="11"/>
      <c r="R247" s="11"/>
      <c r="S247" s="11"/>
    </row>
    <row r="248" spans="2:19" ht="13.5" customHeight="1">
      <c r="B248" s="11"/>
      <c r="C248" s="11"/>
      <c r="D248" s="11"/>
      <c r="E248" s="11"/>
      <c r="F248" s="11"/>
      <c r="G248" s="11"/>
      <c r="H248" s="11"/>
      <c r="I248" s="11"/>
      <c r="J248" s="11"/>
      <c r="K248" s="11"/>
      <c r="L248" s="11"/>
      <c r="M248" s="11"/>
      <c r="N248" s="11"/>
      <c r="O248" s="11"/>
      <c r="P248" s="11"/>
      <c r="Q248" s="11"/>
      <c r="R248" s="11"/>
      <c r="S248" s="11"/>
    </row>
    <row r="249" spans="2:19" ht="13.5" customHeight="1">
      <c r="B249" s="11"/>
      <c r="C249" s="11"/>
      <c r="D249" s="11"/>
      <c r="E249" s="11"/>
      <c r="F249" s="11"/>
      <c r="G249" s="11"/>
      <c r="H249" s="11"/>
      <c r="I249" s="11"/>
      <c r="J249" s="11"/>
      <c r="K249" s="11"/>
      <c r="L249" s="11"/>
      <c r="M249" s="11"/>
      <c r="N249" s="11"/>
      <c r="O249" s="11"/>
      <c r="P249" s="11"/>
      <c r="Q249" s="11"/>
      <c r="R249" s="11"/>
      <c r="S249" s="11"/>
    </row>
    <row r="250" spans="2:19" ht="13.5" customHeight="1">
      <c r="B250" s="11"/>
      <c r="C250" s="11"/>
      <c r="D250" s="11"/>
      <c r="E250" s="11"/>
      <c r="F250" s="11"/>
      <c r="G250" s="11"/>
      <c r="H250" s="11"/>
      <c r="I250" s="11"/>
      <c r="J250" s="11"/>
      <c r="K250" s="11"/>
      <c r="L250" s="11"/>
      <c r="M250" s="11"/>
      <c r="N250" s="11"/>
      <c r="O250" s="11"/>
      <c r="P250" s="11"/>
      <c r="Q250" s="11"/>
      <c r="R250" s="11"/>
      <c r="S250" s="11"/>
    </row>
    <row r="251" spans="2:19" ht="13.5" customHeight="1">
      <c r="B251" s="11"/>
      <c r="C251" s="11"/>
      <c r="D251" s="11"/>
      <c r="E251" s="11"/>
      <c r="F251" s="11"/>
      <c r="G251" s="11"/>
      <c r="H251" s="11"/>
      <c r="I251" s="11"/>
      <c r="J251" s="11"/>
      <c r="K251" s="11"/>
      <c r="L251" s="11"/>
      <c r="M251" s="11"/>
      <c r="N251" s="11"/>
      <c r="O251" s="11"/>
      <c r="P251" s="11"/>
      <c r="Q251" s="11"/>
      <c r="R251" s="11"/>
      <c r="S251" s="11"/>
    </row>
    <row r="252" spans="2:19" ht="13.5" customHeight="1">
      <c r="B252" s="11"/>
      <c r="C252" s="11"/>
      <c r="D252" s="11"/>
      <c r="E252" s="11"/>
      <c r="F252" s="11"/>
      <c r="G252" s="11"/>
      <c r="H252" s="11"/>
      <c r="I252" s="11"/>
      <c r="J252" s="11"/>
      <c r="K252" s="11"/>
      <c r="L252" s="11"/>
      <c r="M252" s="11"/>
      <c r="N252" s="11"/>
      <c r="O252" s="11"/>
      <c r="P252" s="11"/>
      <c r="Q252" s="11"/>
      <c r="R252" s="11"/>
      <c r="S252" s="11"/>
    </row>
    <row r="253" spans="2:19" ht="13.5" customHeight="1">
      <c r="B253" s="11"/>
      <c r="C253" s="11"/>
      <c r="D253" s="11"/>
      <c r="E253" s="11"/>
      <c r="F253" s="11"/>
      <c r="G253" s="11"/>
      <c r="H253" s="11"/>
      <c r="I253" s="11"/>
      <c r="J253" s="11"/>
      <c r="K253" s="11"/>
      <c r="L253" s="11"/>
      <c r="M253" s="11"/>
      <c r="N253" s="11"/>
      <c r="O253" s="11"/>
      <c r="P253" s="11"/>
      <c r="Q253" s="11"/>
      <c r="R253" s="11"/>
      <c r="S253" s="11"/>
    </row>
    <row r="254" spans="2:19" ht="13.5" customHeight="1">
      <c r="B254" s="11"/>
      <c r="C254" s="11"/>
      <c r="D254" s="11"/>
      <c r="E254" s="11"/>
      <c r="F254" s="11"/>
      <c r="G254" s="11"/>
      <c r="H254" s="11"/>
      <c r="I254" s="11"/>
      <c r="J254" s="11"/>
      <c r="K254" s="11"/>
      <c r="L254" s="11"/>
      <c r="M254" s="11"/>
      <c r="N254" s="11"/>
      <c r="O254" s="11"/>
      <c r="P254" s="11"/>
      <c r="Q254" s="11"/>
      <c r="R254" s="11"/>
      <c r="S254" s="11"/>
    </row>
    <row r="255" spans="2:19" ht="13.5" customHeight="1">
      <c r="B255" s="11"/>
      <c r="C255" s="11"/>
      <c r="D255" s="11"/>
      <c r="E255" s="11"/>
      <c r="F255" s="11"/>
      <c r="G255" s="11"/>
      <c r="H255" s="11"/>
      <c r="I255" s="11"/>
      <c r="J255" s="11"/>
      <c r="K255" s="11"/>
      <c r="L255" s="11"/>
      <c r="M255" s="11"/>
      <c r="N255" s="11"/>
      <c r="O255" s="11"/>
      <c r="P255" s="11"/>
      <c r="Q255" s="11"/>
      <c r="R255" s="11"/>
      <c r="S255" s="11"/>
    </row>
    <row r="256" spans="2:19" ht="13.5" customHeight="1">
      <c r="B256" s="11"/>
      <c r="C256" s="11"/>
      <c r="D256" s="11"/>
      <c r="E256" s="11"/>
      <c r="F256" s="11"/>
      <c r="G256" s="11"/>
      <c r="H256" s="11"/>
      <c r="I256" s="11"/>
      <c r="J256" s="11"/>
      <c r="K256" s="11"/>
      <c r="L256" s="11"/>
      <c r="M256" s="11"/>
      <c r="N256" s="11"/>
      <c r="O256" s="11"/>
      <c r="P256" s="11"/>
      <c r="Q256" s="11"/>
      <c r="R256" s="11"/>
      <c r="S256" s="11"/>
    </row>
    <row r="257" spans="2:19" ht="13.5" customHeight="1">
      <c r="B257" s="11"/>
      <c r="C257" s="11"/>
      <c r="D257" s="11"/>
      <c r="E257" s="11"/>
      <c r="F257" s="11"/>
      <c r="G257" s="11"/>
      <c r="H257" s="11"/>
      <c r="I257" s="11"/>
      <c r="J257" s="11"/>
      <c r="K257" s="11"/>
      <c r="L257" s="11"/>
      <c r="M257" s="11"/>
      <c r="N257" s="11"/>
      <c r="O257" s="11"/>
      <c r="P257" s="11"/>
      <c r="Q257" s="11"/>
      <c r="R257" s="11"/>
      <c r="S257" s="11"/>
    </row>
    <row r="258" spans="2:19" ht="13.5" customHeight="1">
      <c r="B258" s="11"/>
      <c r="C258" s="11"/>
      <c r="D258" s="11"/>
      <c r="E258" s="11"/>
      <c r="F258" s="11"/>
      <c r="G258" s="11"/>
      <c r="H258" s="11"/>
      <c r="I258" s="11"/>
      <c r="J258" s="11"/>
      <c r="K258" s="11"/>
      <c r="L258" s="11"/>
      <c r="M258" s="11"/>
      <c r="N258" s="11"/>
      <c r="O258" s="11"/>
      <c r="P258" s="11"/>
      <c r="Q258" s="11"/>
      <c r="R258" s="11"/>
      <c r="S258" s="11"/>
    </row>
    <row r="259" spans="2:19" ht="13.5" customHeight="1">
      <c r="B259" s="11"/>
      <c r="C259" s="11"/>
      <c r="D259" s="11"/>
      <c r="E259" s="11"/>
      <c r="F259" s="11"/>
      <c r="G259" s="11"/>
      <c r="H259" s="11"/>
      <c r="I259" s="11"/>
      <c r="J259" s="11"/>
      <c r="K259" s="11"/>
      <c r="L259" s="11"/>
      <c r="M259" s="11"/>
      <c r="N259" s="11"/>
      <c r="O259" s="11"/>
      <c r="P259" s="11"/>
      <c r="Q259" s="11"/>
      <c r="R259" s="11"/>
      <c r="S259" s="11"/>
    </row>
    <row r="260" spans="2:19" ht="13.5" customHeight="1">
      <c r="B260" s="11"/>
      <c r="C260" s="11"/>
      <c r="D260" s="11"/>
      <c r="E260" s="11"/>
      <c r="F260" s="11"/>
      <c r="G260" s="11"/>
      <c r="H260" s="11"/>
      <c r="I260" s="11"/>
      <c r="J260" s="11"/>
      <c r="K260" s="11"/>
      <c r="L260" s="11"/>
      <c r="M260" s="11"/>
      <c r="N260" s="11"/>
      <c r="O260" s="11"/>
      <c r="P260" s="11"/>
      <c r="Q260" s="11"/>
      <c r="R260" s="11"/>
      <c r="S260" s="11"/>
    </row>
    <row r="261" spans="2:19" ht="13.5" customHeight="1">
      <c r="B261" s="11"/>
      <c r="C261" s="11"/>
      <c r="D261" s="11"/>
      <c r="E261" s="11"/>
      <c r="F261" s="11"/>
      <c r="G261" s="11"/>
      <c r="H261" s="11"/>
      <c r="I261" s="11"/>
      <c r="J261" s="11"/>
      <c r="K261" s="11"/>
      <c r="L261" s="11"/>
      <c r="M261" s="11"/>
      <c r="N261" s="11"/>
      <c r="O261" s="11"/>
      <c r="P261" s="11"/>
      <c r="Q261" s="11"/>
      <c r="R261" s="11"/>
      <c r="S261" s="11"/>
    </row>
    <row r="262" spans="2:19" ht="13.5" customHeight="1">
      <c r="B262" s="11"/>
      <c r="C262" s="11"/>
      <c r="D262" s="11"/>
      <c r="E262" s="11"/>
      <c r="F262" s="11"/>
      <c r="G262" s="11"/>
      <c r="H262" s="11"/>
      <c r="I262" s="11"/>
      <c r="J262" s="11"/>
      <c r="K262" s="11"/>
      <c r="L262" s="11"/>
      <c r="M262" s="11"/>
      <c r="N262" s="11"/>
      <c r="O262" s="11"/>
      <c r="P262" s="11"/>
      <c r="Q262" s="11"/>
      <c r="R262" s="11"/>
      <c r="S262" s="11"/>
    </row>
    <row r="263" spans="2:19" ht="13.5" customHeight="1">
      <c r="B263" s="11"/>
      <c r="C263" s="11"/>
      <c r="D263" s="11"/>
      <c r="E263" s="11"/>
      <c r="F263" s="11"/>
      <c r="G263" s="11"/>
      <c r="H263" s="11"/>
      <c r="I263" s="11"/>
      <c r="J263" s="11"/>
      <c r="K263" s="11"/>
      <c r="L263" s="11"/>
      <c r="M263" s="11"/>
      <c r="N263" s="11"/>
      <c r="O263" s="11"/>
      <c r="P263" s="11"/>
      <c r="Q263" s="11"/>
      <c r="R263" s="11"/>
      <c r="S263" s="11"/>
    </row>
    <row r="264" spans="2:19" ht="13.5" customHeight="1">
      <c r="B264" s="11"/>
      <c r="C264" s="11"/>
      <c r="D264" s="11"/>
      <c r="E264" s="11"/>
      <c r="F264" s="11"/>
      <c r="G264" s="11"/>
      <c r="H264" s="11"/>
      <c r="I264" s="11"/>
      <c r="J264" s="11"/>
      <c r="K264" s="11"/>
      <c r="L264" s="11"/>
      <c r="M264" s="11"/>
      <c r="N264" s="11"/>
      <c r="O264" s="11"/>
      <c r="P264" s="11"/>
      <c r="Q264" s="11"/>
      <c r="R264" s="11"/>
      <c r="S264" s="11"/>
    </row>
    <row r="265" spans="2:19" ht="13.5" customHeight="1">
      <c r="B265" s="11"/>
      <c r="C265" s="11"/>
      <c r="D265" s="11"/>
      <c r="E265" s="11"/>
      <c r="F265" s="11"/>
      <c r="G265" s="11"/>
      <c r="H265" s="11"/>
      <c r="I265" s="11"/>
      <c r="J265" s="11"/>
      <c r="K265" s="11"/>
      <c r="L265" s="11"/>
      <c r="M265" s="11"/>
      <c r="N265" s="11"/>
      <c r="O265" s="11"/>
      <c r="P265" s="11"/>
      <c r="Q265" s="11"/>
      <c r="R265" s="11"/>
      <c r="S265" s="11"/>
    </row>
    <row r="266" spans="2:19" ht="13.5" customHeight="1">
      <c r="B266" s="11"/>
      <c r="C266" s="11"/>
      <c r="D266" s="11"/>
      <c r="E266" s="11"/>
      <c r="F266" s="11"/>
      <c r="G266" s="11"/>
      <c r="H266" s="11"/>
      <c r="I266" s="11"/>
      <c r="J266" s="11"/>
      <c r="K266" s="11"/>
      <c r="L266" s="11"/>
      <c r="M266" s="11"/>
      <c r="N266" s="11"/>
      <c r="O266" s="11"/>
      <c r="P266" s="11"/>
      <c r="Q266" s="11"/>
      <c r="R266" s="11"/>
      <c r="S266" s="11"/>
    </row>
    <row r="267" spans="2:19" ht="13.5" customHeight="1">
      <c r="B267" s="11"/>
      <c r="C267" s="11"/>
      <c r="D267" s="11"/>
      <c r="E267" s="11"/>
      <c r="F267" s="11"/>
      <c r="G267" s="11"/>
      <c r="H267" s="11"/>
      <c r="I267" s="11"/>
      <c r="J267" s="11"/>
      <c r="K267" s="11"/>
      <c r="L267" s="11"/>
      <c r="M267" s="11"/>
      <c r="N267" s="11"/>
      <c r="O267" s="11"/>
      <c r="P267" s="11"/>
      <c r="Q267" s="11"/>
      <c r="R267" s="11"/>
      <c r="S267" s="11"/>
    </row>
    <row r="268" spans="2:19" ht="13.5" customHeight="1">
      <c r="B268" s="11"/>
      <c r="C268" s="11"/>
      <c r="D268" s="11"/>
      <c r="E268" s="11"/>
      <c r="F268" s="11"/>
      <c r="G268" s="11"/>
      <c r="H268" s="11"/>
      <c r="I268" s="11"/>
      <c r="J268" s="11"/>
      <c r="K268" s="11"/>
      <c r="L268" s="11"/>
      <c r="M268" s="11"/>
      <c r="N268" s="11"/>
      <c r="O268" s="11"/>
      <c r="P268" s="11"/>
      <c r="Q268" s="11"/>
      <c r="R268" s="11"/>
      <c r="S268" s="11"/>
    </row>
    <row r="269" spans="2:19" ht="13.5" customHeight="1">
      <c r="B269" s="11"/>
      <c r="C269" s="11"/>
      <c r="D269" s="11"/>
      <c r="E269" s="11"/>
      <c r="F269" s="11"/>
      <c r="G269" s="11"/>
      <c r="H269" s="11"/>
      <c r="I269" s="11"/>
      <c r="J269" s="11"/>
      <c r="K269" s="11"/>
      <c r="L269" s="11"/>
      <c r="M269" s="11"/>
      <c r="N269" s="11"/>
      <c r="O269" s="11"/>
      <c r="P269" s="11"/>
      <c r="Q269" s="11"/>
      <c r="R269" s="11"/>
      <c r="S269" s="11"/>
    </row>
    <row r="270" spans="2:19" ht="13.5" customHeight="1">
      <c r="B270" s="11"/>
      <c r="C270" s="11"/>
      <c r="D270" s="11"/>
      <c r="E270" s="11"/>
      <c r="F270" s="11"/>
      <c r="G270" s="11"/>
      <c r="H270" s="11"/>
      <c r="I270" s="11"/>
      <c r="J270" s="11"/>
      <c r="K270" s="11"/>
      <c r="L270" s="11"/>
      <c r="M270" s="11"/>
      <c r="N270" s="11"/>
      <c r="O270" s="11"/>
      <c r="P270" s="11"/>
      <c r="Q270" s="11"/>
      <c r="R270" s="11"/>
      <c r="S270" s="11"/>
    </row>
    <row r="271" spans="2:19" ht="13.5" customHeight="1">
      <c r="B271" s="11"/>
      <c r="C271" s="11"/>
      <c r="D271" s="11"/>
      <c r="E271" s="11"/>
      <c r="F271" s="11"/>
      <c r="G271" s="11"/>
      <c r="H271" s="11"/>
      <c r="I271" s="11"/>
      <c r="J271" s="11"/>
      <c r="K271" s="11"/>
      <c r="L271" s="11"/>
      <c r="M271" s="11"/>
      <c r="N271" s="11"/>
      <c r="O271" s="11"/>
      <c r="P271" s="11"/>
      <c r="Q271" s="11"/>
      <c r="R271" s="11"/>
      <c r="S271" s="11"/>
    </row>
    <row r="272" spans="2:19" ht="13.5" customHeight="1">
      <c r="B272" s="11"/>
      <c r="C272" s="11"/>
      <c r="D272" s="11"/>
      <c r="E272" s="11"/>
      <c r="F272" s="11"/>
      <c r="G272" s="11"/>
      <c r="H272" s="11"/>
      <c r="I272" s="11"/>
      <c r="J272" s="11"/>
      <c r="K272" s="11"/>
      <c r="L272" s="11"/>
      <c r="M272" s="11"/>
      <c r="N272" s="11"/>
      <c r="O272" s="11"/>
      <c r="P272" s="11"/>
      <c r="Q272" s="11"/>
      <c r="R272" s="11"/>
      <c r="S272" s="11"/>
    </row>
    <row r="273" spans="2:19" ht="13.5" customHeight="1">
      <c r="B273" s="11"/>
      <c r="C273" s="11"/>
      <c r="D273" s="11"/>
      <c r="E273" s="11"/>
      <c r="F273" s="11"/>
      <c r="G273" s="11"/>
      <c r="H273" s="11"/>
      <c r="I273" s="11"/>
      <c r="J273" s="11"/>
      <c r="K273" s="11"/>
      <c r="L273" s="11"/>
      <c r="M273" s="11"/>
      <c r="N273" s="11"/>
      <c r="O273" s="11"/>
      <c r="P273" s="11"/>
      <c r="Q273" s="11"/>
      <c r="R273" s="11"/>
      <c r="S273" s="11"/>
    </row>
    <row r="274" spans="2:19" ht="13.5" customHeight="1">
      <c r="B274" s="11"/>
      <c r="C274" s="11"/>
      <c r="D274" s="11"/>
      <c r="E274" s="11"/>
      <c r="F274" s="11"/>
      <c r="G274" s="11"/>
      <c r="H274" s="11"/>
      <c r="I274" s="11"/>
      <c r="J274" s="11"/>
      <c r="K274" s="11"/>
      <c r="L274" s="11"/>
      <c r="M274" s="11"/>
      <c r="N274" s="11"/>
      <c r="O274" s="11"/>
      <c r="P274" s="11"/>
      <c r="Q274" s="11"/>
      <c r="R274" s="11"/>
      <c r="S274" s="11"/>
    </row>
    <row r="275" spans="2:19" ht="13.5" customHeight="1">
      <c r="B275" s="11"/>
      <c r="C275" s="11"/>
      <c r="D275" s="11"/>
      <c r="E275" s="11"/>
      <c r="F275" s="11"/>
      <c r="G275" s="11"/>
      <c r="H275" s="11"/>
      <c r="I275" s="11"/>
      <c r="J275" s="11"/>
      <c r="K275" s="11"/>
      <c r="L275" s="11"/>
      <c r="M275" s="11"/>
      <c r="N275" s="11"/>
      <c r="O275" s="11"/>
      <c r="P275" s="11"/>
      <c r="Q275" s="11"/>
      <c r="R275" s="11"/>
      <c r="S275" s="11"/>
    </row>
    <row r="276" spans="2:19" ht="13.5" customHeight="1">
      <c r="B276" s="11"/>
      <c r="C276" s="11"/>
      <c r="D276" s="11"/>
      <c r="E276" s="11"/>
      <c r="F276" s="11"/>
      <c r="G276" s="11"/>
      <c r="H276" s="11"/>
      <c r="I276" s="11"/>
      <c r="J276" s="11"/>
      <c r="K276" s="11"/>
      <c r="L276" s="11"/>
      <c r="M276" s="11"/>
      <c r="N276" s="11"/>
      <c r="O276" s="11"/>
      <c r="P276" s="11"/>
      <c r="Q276" s="11"/>
      <c r="R276" s="11"/>
      <c r="S276" s="11"/>
    </row>
    <row r="277" spans="2:19" ht="13.5" customHeight="1">
      <c r="B277" s="11"/>
      <c r="C277" s="11"/>
      <c r="D277" s="11"/>
      <c r="E277" s="11"/>
      <c r="F277" s="11"/>
      <c r="G277" s="11"/>
      <c r="H277" s="11"/>
      <c r="I277" s="11"/>
      <c r="J277" s="11"/>
      <c r="K277" s="11"/>
      <c r="L277" s="11"/>
      <c r="M277" s="11"/>
      <c r="N277" s="11"/>
      <c r="O277" s="11"/>
      <c r="P277" s="11"/>
      <c r="Q277" s="11"/>
      <c r="R277" s="11"/>
      <c r="S277" s="11"/>
    </row>
    <row r="278" spans="2:19" ht="13.5" customHeight="1">
      <c r="B278" s="11"/>
      <c r="C278" s="11"/>
      <c r="D278" s="11"/>
      <c r="E278" s="11"/>
      <c r="F278" s="11"/>
      <c r="G278" s="11"/>
      <c r="H278" s="11"/>
      <c r="I278" s="11"/>
      <c r="J278" s="11"/>
      <c r="K278" s="11"/>
      <c r="L278" s="11"/>
      <c r="M278" s="11"/>
      <c r="N278" s="11"/>
      <c r="O278" s="11"/>
      <c r="P278" s="11"/>
      <c r="Q278" s="11"/>
      <c r="R278" s="11"/>
      <c r="S278" s="11"/>
    </row>
    <row r="279" spans="2:19" ht="13.5" customHeight="1">
      <c r="B279" s="11"/>
      <c r="C279" s="11"/>
      <c r="D279" s="11"/>
      <c r="E279" s="11"/>
      <c r="F279" s="11"/>
      <c r="G279" s="11"/>
      <c r="H279" s="11"/>
      <c r="I279" s="11"/>
      <c r="J279" s="11"/>
      <c r="K279" s="11"/>
      <c r="L279" s="11"/>
      <c r="M279" s="11"/>
      <c r="N279" s="11"/>
      <c r="O279" s="11"/>
      <c r="P279" s="11"/>
      <c r="Q279" s="11"/>
      <c r="R279" s="11"/>
      <c r="S279" s="11"/>
    </row>
    <row r="280" spans="2:19" ht="13.5" customHeight="1">
      <c r="B280" s="11"/>
      <c r="C280" s="11"/>
      <c r="D280" s="11"/>
      <c r="E280" s="11"/>
      <c r="F280" s="11"/>
      <c r="G280" s="11"/>
      <c r="H280" s="11"/>
      <c r="I280" s="11"/>
      <c r="J280" s="11"/>
      <c r="K280" s="11"/>
      <c r="L280" s="11"/>
      <c r="M280" s="11"/>
      <c r="N280" s="11"/>
      <c r="O280" s="11"/>
      <c r="P280" s="11"/>
      <c r="Q280" s="11"/>
      <c r="R280" s="11"/>
      <c r="S280" s="11"/>
    </row>
    <row r="281" spans="2:19" ht="13.5" customHeight="1">
      <c r="B281" s="11"/>
      <c r="C281" s="11"/>
      <c r="D281" s="11"/>
      <c r="E281" s="11"/>
      <c r="F281" s="11"/>
      <c r="G281" s="11"/>
      <c r="H281" s="11"/>
      <c r="I281" s="11"/>
      <c r="J281" s="11"/>
      <c r="K281" s="11"/>
      <c r="L281" s="11"/>
      <c r="M281" s="11"/>
      <c r="N281" s="11"/>
      <c r="O281" s="11"/>
      <c r="P281" s="11"/>
      <c r="Q281" s="11"/>
      <c r="R281" s="11"/>
      <c r="S281" s="11"/>
    </row>
    <row r="282" spans="2:19" ht="13.5" customHeight="1">
      <c r="B282" s="11"/>
      <c r="C282" s="11"/>
      <c r="D282" s="11"/>
      <c r="E282" s="11"/>
      <c r="F282" s="11"/>
      <c r="G282" s="11"/>
      <c r="H282" s="11"/>
      <c r="I282" s="11"/>
      <c r="J282" s="11"/>
      <c r="K282" s="11"/>
      <c r="L282" s="11"/>
      <c r="M282" s="11"/>
      <c r="N282" s="11"/>
      <c r="O282" s="11"/>
      <c r="P282" s="11"/>
      <c r="Q282" s="11"/>
      <c r="R282" s="11"/>
      <c r="S282" s="11"/>
    </row>
    <row r="283" spans="2:19" ht="13.5" customHeight="1">
      <c r="B283" s="11"/>
      <c r="C283" s="11"/>
      <c r="D283" s="11"/>
      <c r="E283" s="11"/>
      <c r="F283" s="11"/>
      <c r="G283" s="11"/>
      <c r="H283" s="11"/>
      <c r="I283" s="11"/>
      <c r="J283" s="11"/>
      <c r="K283" s="11"/>
      <c r="L283" s="11"/>
      <c r="M283" s="11"/>
      <c r="N283" s="11"/>
      <c r="O283" s="11"/>
      <c r="P283" s="11"/>
      <c r="Q283" s="11"/>
      <c r="R283" s="11"/>
      <c r="S283" s="11"/>
    </row>
    <row r="284" spans="2:19" ht="13.5" customHeight="1">
      <c r="B284" s="11"/>
      <c r="C284" s="11"/>
      <c r="D284" s="11"/>
      <c r="E284" s="11"/>
      <c r="F284" s="11"/>
      <c r="G284" s="11"/>
      <c r="H284" s="11"/>
      <c r="I284" s="11"/>
      <c r="J284" s="11"/>
      <c r="K284" s="11"/>
      <c r="L284" s="11"/>
      <c r="M284" s="11"/>
      <c r="N284" s="11"/>
      <c r="O284" s="11"/>
      <c r="P284" s="11"/>
      <c r="Q284" s="11"/>
      <c r="R284" s="11"/>
      <c r="S284" s="11"/>
    </row>
    <row r="285" spans="2:19" ht="13.5" customHeight="1">
      <c r="B285" s="11"/>
      <c r="C285" s="11"/>
      <c r="D285" s="11"/>
      <c r="E285" s="11"/>
      <c r="F285" s="11"/>
      <c r="G285" s="11"/>
      <c r="H285" s="11"/>
      <c r="I285" s="11"/>
      <c r="J285" s="11"/>
      <c r="K285" s="11"/>
      <c r="L285" s="11"/>
      <c r="M285" s="11"/>
      <c r="N285" s="11"/>
      <c r="O285" s="11"/>
      <c r="P285" s="11"/>
      <c r="Q285" s="11"/>
      <c r="R285" s="11"/>
      <c r="S285" s="11"/>
    </row>
    <row r="286" spans="2:19" ht="13.5" customHeight="1">
      <c r="B286" s="11"/>
      <c r="C286" s="11"/>
      <c r="D286" s="11"/>
      <c r="E286" s="11"/>
      <c r="F286" s="11"/>
      <c r="G286" s="11"/>
      <c r="H286" s="11"/>
      <c r="I286" s="11"/>
      <c r="J286" s="11"/>
      <c r="K286" s="11"/>
      <c r="L286" s="11"/>
      <c r="M286" s="11"/>
      <c r="N286" s="11"/>
      <c r="O286" s="11"/>
      <c r="P286" s="11"/>
      <c r="Q286" s="11"/>
      <c r="R286" s="11"/>
      <c r="S286" s="11"/>
    </row>
    <row r="287" spans="2:19" ht="13.5" customHeight="1">
      <c r="B287" s="11"/>
      <c r="C287" s="11"/>
      <c r="D287" s="11"/>
      <c r="E287" s="11"/>
      <c r="F287" s="11"/>
      <c r="G287" s="11"/>
      <c r="H287" s="11"/>
      <c r="I287" s="11"/>
      <c r="J287" s="11"/>
      <c r="K287" s="11"/>
      <c r="L287" s="11"/>
      <c r="M287" s="11"/>
      <c r="N287" s="11"/>
      <c r="O287" s="11"/>
      <c r="P287" s="11"/>
      <c r="Q287" s="11"/>
      <c r="R287" s="11"/>
      <c r="S287" s="11"/>
    </row>
    <row r="288" spans="2:19" ht="13.5" customHeight="1">
      <c r="B288" s="11"/>
      <c r="C288" s="11"/>
      <c r="D288" s="11"/>
      <c r="E288" s="11"/>
      <c r="F288" s="11"/>
      <c r="G288" s="11"/>
      <c r="H288" s="11"/>
      <c r="I288" s="11"/>
      <c r="J288" s="11"/>
      <c r="K288" s="11"/>
      <c r="L288" s="11"/>
      <c r="M288" s="11"/>
      <c r="N288" s="11"/>
      <c r="O288" s="11"/>
      <c r="P288" s="11"/>
      <c r="Q288" s="11"/>
      <c r="R288" s="11"/>
      <c r="S288" s="11"/>
    </row>
    <row r="289" spans="2:19" ht="13.5" customHeight="1">
      <c r="B289" s="11"/>
      <c r="C289" s="11"/>
      <c r="D289" s="11"/>
      <c r="E289" s="11"/>
      <c r="F289" s="11"/>
      <c r="G289" s="11"/>
      <c r="H289" s="11"/>
      <c r="I289" s="11"/>
      <c r="J289" s="11"/>
      <c r="K289" s="11"/>
      <c r="L289" s="11"/>
      <c r="M289" s="11"/>
      <c r="N289" s="11"/>
      <c r="O289" s="11"/>
      <c r="P289" s="11"/>
      <c r="Q289" s="11"/>
      <c r="R289" s="11"/>
      <c r="S289" s="11"/>
    </row>
    <row r="290" spans="2:19" ht="13.5" customHeight="1">
      <c r="B290" s="11"/>
      <c r="C290" s="11"/>
      <c r="D290" s="11"/>
      <c r="E290" s="11"/>
      <c r="F290" s="11"/>
      <c r="G290" s="11"/>
      <c r="H290" s="11"/>
      <c r="I290" s="11"/>
      <c r="J290" s="11"/>
      <c r="K290" s="11"/>
      <c r="L290" s="11"/>
      <c r="M290" s="11"/>
      <c r="N290" s="11"/>
      <c r="O290" s="11"/>
      <c r="P290" s="11"/>
      <c r="Q290" s="11"/>
      <c r="R290" s="11"/>
      <c r="S290" s="11"/>
    </row>
    <row r="291" spans="2:19" ht="13.5" customHeight="1">
      <c r="B291" s="11"/>
      <c r="C291" s="11"/>
      <c r="D291" s="11"/>
      <c r="E291" s="11"/>
      <c r="F291" s="11"/>
      <c r="G291" s="11"/>
      <c r="H291" s="11"/>
      <c r="I291" s="11"/>
      <c r="J291" s="11"/>
      <c r="K291" s="11"/>
      <c r="L291" s="11"/>
      <c r="M291" s="11"/>
      <c r="N291" s="11"/>
      <c r="O291" s="11"/>
      <c r="P291" s="11"/>
      <c r="Q291" s="11"/>
      <c r="R291" s="11"/>
      <c r="S291" s="11"/>
    </row>
    <row r="292" spans="2:19" ht="13.5" customHeight="1">
      <c r="B292" s="11"/>
      <c r="C292" s="11"/>
      <c r="D292" s="11"/>
      <c r="E292" s="11"/>
      <c r="F292" s="11"/>
      <c r="G292" s="11"/>
      <c r="H292" s="11"/>
      <c r="I292" s="11"/>
      <c r="J292" s="11"/>
      <c r="K292" s="11"/>
      <c r="L292" s="11"/>
      <c r="M292" s="11"/>
      <c r="N292" s="11"/>
      <c r="O292" s="11"/>
      <c r="P292" s="11"/>
      <c r="Q292" s="11"/>
      <c r="R292" s="11"/>
      <c r="S292" s="11"/>
    </row>
    <row r="293" spans="2:19" ht="13.5" customHeight="1">
      <c r="B293" s="11"/>
      <c r="C293" s="11"/>
      <c r="D293" s="11"/>
      <c r="E293" s="11"/>
      <c r="F293" s="11"/>
      <c r="G293" s="11"/>
      <c r="H293" s="11"/>
      <c r="I293" s="11"/>
      <c r="J293" s="11"/>
      <c r="K293" s="11"/>
      <c r="L293" s="11"/>
      <c r="M293" s="11"/>
      <c r="N293" s="11"/>
      <c r="O293" s="11"/>
      <c r="P293" s="11"/>
      <c r="Q293" s="11"/>
      <c r="R293" s="11"/>
      <c r="S293" s="11"/>
    </row>
    <row r="294" spans="2:19" ht="13.5" customHeight="1">
      <c r="B294" s="11"/>
      <c r="C294" s="11"/>
      <c r="D294" s="11"/>
      <c r="E294" s="11"/>
      <c r="F294" s="11"/>
      <c r="G294" s="11"/>
      <c r="H294" s="11"/>
      <c r="I294" s="11"/>
      <c r="J294" s="11"/>
      <c r="K294" s="11"/>
      <c r="L294" s="11"/>
      <c r="M294" s="11"/>
      <c r="N294" s="11"/>
      <c r="O294" s="11"/>
      <c r="P294" s="11"/>
      <c r="Q294" s="11"/>
      <c r="R294" s="11"/>
      <c r="S294" s="11"/>
    </row>
    <row r="295" spans="2:19" ht="13.5" customHeight="1">
      <c r="B295" s="11"/>
      <c r="C295" s="11"/>
      <c r="D295" s="11"/>
      <c r="E295" s="11"/>
      <c r="F295" s="11"/>
      <c r="G295" s="11"/>
      <c r="H295" s="11"/>
      <c r="I295" s="11"/>
      <c r="J295" s="11"/>
      <c r="K295" s="11"/>
      <c r="L295" s="11"/>
      <c r="M295" s="11"/>
      <c r="N295" s="11"/>
      <c r="O295" s="11"/>
      <c r="P295" s="11"/>
      <c r="Q295" s="11"/>
      <c r="R295" s="11"/>
      <c r="S295" s="11"/>
    </row>
    <row r="296" spans="2:19" ht="13.5" customHeight="1">
      <c r="B296" s="11"/>
      <c r="C296" s="11"/>
      <c r="D296" s="11"/>
      <c r="E296" s="11"/>
      <c r="F296" s="11"/>
      <c r="G296" s="11"/>
      <c r="H296" s="11"/>
      <c r="I296" s="11"/>
      <c r="J296" s="11"/>
      <c r="K296" s="11"/>
      <c r="L296" s="11"/>
      <c r="M296" s="11"/>
      <c r="N296" s="11"/>
      <c r="O296" s="11"/>
      <c r="P296" s="11"/>
      <c r="Q296" s="11"/>
      <c r="R296" s="11"/>
      <c r="S296" s="11"/>
    </row>
    <row r="297" spans="2:19" ht="13.5" customHeight="1">
      <c r="B297" s="11"/>
      <c r="C297" s="11"/>
      <c r="D297" s="11"/>
      <c r="E297" s="11"/>
      <c r="F297" s="11"/>
      <c r="G297" s="11"/>
      <c r="H297" s="11"/>
      <c r="I297" s="11"/>
      <c r="J297" s="11"/>
      <c r="K297" s="11"/>
      <c r="L297" s="11"/>
      <c r="M297" s="11"/>
      <c r="N297" s="11"/>
      <c r="O297" s="11"/>
      <c r="P297" s="11"/>
      <c r="Q297" s="11"/>
      <c r="R297" s="11"/>
      <c r="S297" s="11"/>
    </row>
    <row r="298" spans="2:19" ht="13.5" customHeight="1">
      <c r="B298" s="11"/>
      <c r="C298" s="11"/>
      <c r="D298" s="11"/>
      <c r="E298" s="11"/>
      <c r="F298" s="11"/>
      <c r="G298" s="11"/>
      <c r="H298" s="11"/>
      <c r="I298" s="11"/>
      <c r="J298" s="11"/>
      <c r="K298" s="11"/>
      <c r="L298" s="11"/>
      <c r="M298" s="11"/>
      <c r="N298" s="11"/>
      <c r="O298" s="11"/>
      <c r="P298" s="11"/>
      <c r="Q298" s="11"/>
      <c r="R298" s="11"/>
      <c r="S298" s="11"/>
    </row>
    <row r="299" spans="2:19" ht="13.5" customHeight="1">
      <c r="B299" s="11"/>
      <c r="C299" s="11"/>
      <c r="D299" s="11"/>
      <c r="E299" s="11"/>
      <c r="F299" s="11"/>
      <c r="G299" s="11"/>
      <c r="H299" s="11"/>
      <c r="I299" s="11"/>
      <c r="J299" s="11"/>
      <c r="K299" s="11"/>
      <c r="L299" s="11"/>
      <c r="M299" s="11"/>
      <c r="N299" s="11"/>
      <c r="O299" s="11"/>
      <c r="P299" s="11"/>
      <c r="Q299" s="11"/>
      <c r="R299" s="11"/>
      <c r="S299" s="11"/>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F5597"/>
  </sheetPr>
  <dimension ref="A1:H37"/>
  <sheetViews>
    <sheetView showGridLines="0" workbookViewId="0">
      <pane ySplit="2" topLeftCell="A3" activePane="bottomLeft" state="frozen"/>
      <selection pane="bottomLeft"/>
    </sheetView>
  </sheetViews>
  <sheetFormatPr defaultColWidth="10.85546875" defaultRowHeight="15"/>
  <cols>
    <col min="1" max="1" width="32" style="11" customWidth="1"/>
    <col min="2" max="8" width="17.42578125" customWidth="1"/>
  </cols>
  <sheetData>
    <row r="1" spans="1:8" ht="27.95" customHeight="1">
      <c r="A1" s="228" t="s">
        <v>815</v>
      </c>
      <c r="B1" s="228"/>
      <c r="C1" s="228"/>
      <c r="D1" s="228"/>
      <c r="E1" s="228"/>
      <c r="F1" s="228"/>
      <c r="G1" s="228"/>
      <c r="H1" s="228"/>
    </row>
    <row r="2" spans="1:8" ht="23.1" customHeight="1">
      <c r="A2" s="8" t="s">
        <v>816</v>
      </c>
      <c r="B2" s="8"/>
      <c r="C2" s="8"/>
      <c r="D2" s="8"/>
      <c r="E2" s="8"/>
      <c r="F2" s="8"/>
      <c r="G2" s="8"/>
      <c r="H2" s="8"/>
    </row>
    <row r="3" spans="1:8" ht="21" customHeight="1"/>
    <row r="4" spans="1:8" ht="27" customHeight="1">
      <c r="A4" s="23" t="s">
        <v>817</v>
      </c>
      <c r="B4" s="138" t="s">
        <v>818</v>
      </c>
      <c r="C4" s="138" t="s">
        <v>819</v>
      </c>
      <c r="D4" s="24"/>
      <c r="E4" s="24"/>
      <c r="F4" s="24"/>
      <c r="G4" s="24"/>
      <c r="H4" s="24"/>
    </row>
    <row r="5" spans="1:8" ht="21" customHeight="1"/>
    <row r="6" spans="1:8" ht="22.5" customHeight="1">
      <c r="A6" s="148" t="s">
        <v>820</v>
      </c>
      <c r="B6" s="42">
        <f>Sheet1!S378</f>
        <v>0.1225</v>
      </c>
      <c r="C6" s="42">
        <f t="shared" ref="C6:C15" si="0">B6-$B$6</f>
        <v>0</v>
      </c>
      <c r="D6" s="33"/>
      <c r="E6" s="33"/>
      <c r="F6" s="33"/>
      <c r="G6" s="33"/>
      <c r="H6" s="149" t="s">
        <v>821</v>
      </c>
    </row>
    <row r="7" spans="1:8" ht="22.5" customHeight="1">
      <c r="A7" s="148" t="s">
        <v>120</v>
      </c>
      <c r="B7" s="42">
        <f>Sheet1!E414</f>
        <v>0.1203499089723121</v>
      </c>
      <c r="C7" s="42">
        <f t="shared" si="0"/>
        <v>-2.1500910276879004E-3</v>
      </c>
      <c r="D7" s="33"/>
      <c r="E7" s="33"/>
      <c r="F7" s="33"/>
      <c r="G7" s="33"/>
      <c r="H7" s="149" t="s">
        <v>822</v>
      </c>
    </row>
    <row r="8" spans="1:8" ht="21" customHeight="1">
      <c r="A8" s="150" t="s">
        <v>823</v>
      </c>
      <c r="B8" s="40">
        <f>Sheet1!J461</f>
        <v>0.12994860149988052</v>
      </c>
      <c r="C8" s="151">
        <f t="shared" si="0"/>
        <v>7.448601499880525E-3</v>
      </c>
      <c r="D8" s="31"/>
      <c r="E8" s="31"/>
      <c r="F8" s="31"/>
      <c r="G8" s="31"/>
      <c r="H8" s="152" t="s">
        <v>824</v>
      </c>
    </row>
    <row r="9" spans="1:8" ht="21" customHeight="1">
      <c r="A9" s="150" t="s">
        <v>825</v>
      </c>
      <c r="B9" s="40">
        <f>Sheet1!J464</f>
        <v>0.16139695036079707</v>
      </c>
      <c r="C9" s="151">
        <f t="shared" si="0"/>
        <v>3.8896950360797072E-2</v>
      </c>
      <c r="D9" s="31"/>
      <c r="E9" s="31"/>
      <c r="F9" s="31"/>
      <c r="G9" s="31"/>
      <c r="H9" s="152" t="s">
        <v>826</v>
      </c>
    </row>
    <row r="10" spans="1:8" ht="22.5" customHeight="1">
      <c r="A10" s="148" t="s">
        <v>827</v>
      </c>
      <c r="B10" s="42">
        <f>MAX(Sheet1!F347:I347)</f>
        <v>0.16724349606418271</v>
      </c>
      <c r="C10" s="42">
        <f t="shared" si="0"/>
        <v>4.4743496064182708E-2</v>
      </c>
      <c r="D10" s="33"/>
      <c r="E10" s="33"/>
      <c r="F10" s="33"/>
      <c r="G10" s="33"/>
      <c r="H10" s="149" t="s">
        <v>828</v>
      </c>
    </row>
    <row r="11" spans="1:8" ht="22.5" customHeight="1">
      <c r="A11" s="148" t="s">
        <v>829</v>
      </c>
      <c r="B11" s="42">
        <f>AVERAGE(B6,B14)</f>
        <v>0.13434857486788448</v>
      </c>
      <c r="C11" s="42">
        <f t="shared" si="0"/>
        <v>1.1848574867884487E-2</v>
      </c>
      <c r="D11" s="33"/>
      <c r="E11" s="33"/>
      <c r="F11" s="33"/>
      <c r="G11" s="33"/>
      <c r="H11" s="149" t="s">
        <v>830</v>
      </c>
    </row>
    <row r="12" spans="1:8" ht="22.5" customHeight="1">
      <c r="A12" s="148" t="s">
        <v>831</v>
      </c>
      <c r="B12" s="42">
        <f>Sheet1!J466</f>
        <v>0.18716950468151167</v>
      </c>
      <c r="C12" s="42">
        <f t="shared" si="0"/>
        <v>6.4669504681511669E-2</v>
      </c>
      <c r="D12" s="33"/>
      <c r="E12" s="33"/>
      <c r="F12" s="33"/>
      <c r="G12" s="33"/>
      <c r="H12" s="149" t="s">
        <v>832</v>
      </c>
    </row>
    <row r="13" spans="1:8" ht="22.5" customHeight="1">
      <c r="A13" s="148" t="s">
        <v>833</v>
      </c>
      <c r="B13" s="42">
        <f>MIN(Sheet1!F347:I347)</f>
        <v>0.1455914150552528</v>
      </c>
      <c r="C13" s="42">
        <f t="shared" si="0"/>
        <v>2.3091415055252806E-2</v>
      </c>
      <c r="D13" s="33"/>
      <c r="E13" s="33"/>
      <c r="F13" s="33"/>
      <c r="G13" s="33"/>
      <c r="H13" s="149" t="s">
        <v>828</v>
      </c>
    </row>
    <row r="14" spans="1:8" ht="22.5" customHeight="1">
      <c r="A14" s="148" t="s">
        <v>834</v>
      </c>
      <c r="B14" s="42">
        <f>Sheet1!S347</f>
        <v>0.146197149735769</v>
      </c>
      <c r="C14" s="42">
        <f t="shared" si="0"/>
        <v>2.3697149735769002E-2</v>
      </c>
      <c r="D14" s="33"/>
      <c r="E14" s="33"/>
      <c r="F14" s="33"/>
      <c r="G14" s="33"/>
      <c r="H14" s="149" t="s">
        <v>835</v>
      </c>
    </row>
    <row r="15" spans="1:8" ht="22.5" customHeight="1">
      <c r="A15" s="148" t="s">
        <v>836</v>
      </c>
      <c r="B15" s="42">
        <f>AVERAGE(Sheet1!F347:I347)</f>
        <v>0.15669374753963977</v>
      </c>
      <c r="C15" s="42">
        <f t="shared" si="0"/>
        <v>3.4193747539639774E-2</v>
      </c>
      <c r="D15" s="33"/>
      <c r="E15" s="33"/>
      <c r="F15" s="33"/>
      <c r="G15" s="33"/>
      <c r="H15" s="149" t="s">
        <v>828</v>
      </c>
    </row>
    <row r="16" spans="1:8" ht="21" customHeight="1"/>
    <row r="17" spans="1:8" ht="27" customHeight="1">
      <c r="A17" s="23" t="s">
        <v>837</v>
      </c>
      <c r="B17" s="138" t="s">
        <v>123</v>
      </c>
      <c r="C17" s="138" t="s">
        <v>124</v>
      </c>
      <c r="D17" s="138" t="s">
        <v>125</v>
      </c>
      <c r="E17" s="24"/>
      <c r="F17" s="24"/>
      <c r="G17" s="24"/>
      <c r="H17" s="24"/>
    </row>
    <row r="18" spans="1:8" ht="21" customHeight="1">
      <c r="A18" s="150" t="s">
        <v>838</v>
      </c>
      <c r="B18" s="45">
        <f>Sheet1!E39</f>
        <v>0</v>
      </c>
      <c r="C18" s="45">
        <f>Sheet1!F39</f>
        <v>0.02</v>
      </c>
      <c r="D18" s="45">
        <f>Sheet1!G39</f>
        <v>0.04</v>
      </c>
      <c r="E18" s="31"/>
      <c r="F18" s="31"/>
      <c r="G18" s="31"/>
      <c r="H18" s="31"/>
    </row>
    <row r="19" spans="1:8" ht="21" customHeight="1">
      <c r="A19" s="153" t="s">
        <v>839</v>
      </c>
      <c r="B19" s="154">
        <f>$B$6+B18</f>
        <v>0.1225</v>
      </c>
      <c r="C19" s="154">
        <f>$B$6+C18</f>
        <v>0.14249999999999999</v>
      </c>
      <c r="D19" s="154">
        <f>$B$6+D18</f>
        <v>0.16250000000000001</v>
      </c>
      <c r="E19" s="155"/>
      <c r="F19" s="155"/>
      <c r="G19" s="155"/>
      <c r="H19" s="155"/>
    </row>
    <row r="20" spans="1:8" ht="22.5" customHeight="1">
      <c r="A20" s="148" t="s">
        <v>840</v>
      </c>
      <c r="B20" s="156">
        <f>(B19-Sheet1!$F$30)/($B$6-Sheet1!$F$30)</f>
        <v>1</v>
      </c>
      <c r="C20" s="156">
        <f>(C19-Sheet1!$F$30)/($B$6-Sheet1!$F$30)</f>
        <v>1.258064516129032</v>
      </c>
      <c r="D20" s="156">
        <f>(D19-Sheet1!$F$30)/($B$6-Sheet1!$F$30)</f>
        <v>1.5161290322580647</v>
      </c>
      <c r="E20" s="33"/>
      <c r="F20" s="33"/>
      <c r="G20" s="33"/>
      <c r="H20" s="33"/>
    </row>
    <row r="21" spans="1:8" ht="22.5" customHeight="1">
      <c r="A21" s="148" t="s">
        <v>841</v>
      </c>
      <c r="B21" s="43">
        <f>1-Sheet1!$F$30/B19</f>
        <v>0.63265306122448983</v>
      </c>
      <c r="C21" s="43">
        <f>1-Sheet1!$F$30/C19</f>
        <v>0.68421052631578938</v>
      </c>
      <c r="D21" s="43">
        <f>1-Sheet1!$F$30/D19</f>
        <v>0.72307692307692317</v>
      </c>
      <c r="E21" s="33"/>
      <c r="F21" s="33"/>
      <c r="G21" s="33"/>
      <c r="H21" s="33"/>
    </row>
    <row r="22" spans="1:8" ht="21" customHeight="1"/>
    <row r="23" spans="1:8" ht="21" customHeight="1">
      <c r="A23" s="73" t="s">
        <v>842</v>
      </c>
    </row>
    <row r="24" spans="1:8" ht="21" customHeight="1">
      <c r="A24" s="7" t="s">
        <v>843</v>
      </c>
      <c r="B24" s="7"/>
      <c r="C24" s="7"/>
      <c r="D24" s="7"/>
      <c r="E24" s="7"/>
      <c r="F24" s="7"/>
      <c r="G24" s="7"/>
      <c r="H24" s="7"/>
    </row>
    <row r="25" spans="1:8" ht="21" customHeight="1">
      <c r="A25" s="7" t="s">
        <v>844</v>
      </c>
      <c r="B25" s="7"/>
      <c r="C25" s="7"/>
      <c r="D25" s="7"/>
      <c r="E25" s="7"/>
      <c r="F25" s="7"/>
      <c r="G25" s="7"/>
      <c r="H25" s="7"/>
    </row>
    <row r="26" spans="1:8" ht="21" customHeight="1">
      <c r="A26" s="7" t="s">
        <v>845</v>
      </c>
      <c r="B26" s="7"/>
      <c r="C26" s="7"/>
      <c r="D26" s="7"/>
      <c r="E26" s="7"/>
      <c r="F26" s="7"/>
      <c r="G26" s="7"/>
      <c r="H26" s="7"/>
    </row>
    <row r="27" spans="1:8" ht="21" customHeight="1">
      <c r="A27" s="7" t="s">
        <v>846</v>
      </c>
      <c r="B27" s="7"/>
      <c r="C27" s="7"/>
      <c r="D27" s="7"/>
      <c r="E27" s="7"/>
      <c r="F27" s="7"/>
      <c r="G27" s="7"/>
      <c r="H27" s="7"/>
    </row>
    <row r="28" spans="1:8" ht="21" customHeight="1"/>
    <row r="29" spans="1:8" ht="27" customHeight="1">
      <c r="A29" s="23" t="s">
        <v>847</v>
      </c>
      <c r="B29" s="138" t="s">
        <v>848</v>
      </c>
      <c r="C29" s="138" t="s">
        <v>849</v>
      </c>
      <c r="D29" s="138" t="s">
        <v>850</v>
      </c>
      <c r="E29" s="138" t="s">
        <v>851</v>
      </c>
      <c r="F29" s="138" t="s">
        <v>852</v>
      </c>
      <c r="G29" s="138" t="s">
        <v>853</v>
      </c>
      <c r="H29" s="24"/>
    </row>
    <row r="30" spans="1:8" ht="21" customHeight="1">
      <c r="A30" s="31"/>
      <c r="B30" s="158">
        <v>0</v>
      </c>
      <c r="C30" s="159">
        <f>(Sheet1!$S$378+B30)</f>
        <v>0.1225</v>
      </c>
      <c r="D30" s="160">
        <f>((Sheet1!$S$378+B30)-Sheet1!$E$31)/(Sheet1!$S$378-Sheet1!$E$31)</f>
        <v>1</v>
      </c>
      <c r="E30" s="161">
        <f>(Sheet1!$I$175+SUM(Sheet1!$J$392:$S$392)+Sheet1!$S$175*B30/(Sheet1!$S$378-Sheet1!$E$31)*Sheet1!$S$377)/Sheet1!$E$21*1000</f>
        <v>1597.8858456748239</v>
      </c>
      <c r="F30" s="161">
        <f>(E30*(1+Sheet1!$E$34)^Sheet1!$E$399-Sheet1!$E$400)*(1+Sheet1!$E$34)-Sheet1!$E$401</f>
        <v>1852.9855957528405</v>
      </c>
      <c r="G30" s="162">
        <f>F30/Sheet1!$E$20-1</f>
        <v>0.69222428835875838</v>
      </c>
    </row>
    <row r="31" spans="1:8" ht="21" customHeight="1">
      <c r="A31" s="31"/>
      <c r="B31" s="158">
        <v>0.01</v>
      </c>
      <c r="C31" s="159">
        <f>(Sheet1!$S$378+B31)</f>
        <v>0.13250000000000001</v>
      </c>
      <c r="D31" s="160">
        <f>((Sheet1!$S$378+B31)-Sheet1!$E$31)/(Sheet1!$S$378-Sheet1!$E$31)</f>
        <v>1.1290322580645162</v>
      </c>
      <c r="E31" s="161">
        <f>(Sheet1!$I$175+SUM(Sheet1!$J$392:$S$392)+Sheet1!$S$175*B31/(Sheet1!$S$378-Sheet1!$E$31)*Sheet1!$S$377)/Sheet1!$E$21*1000</f>
        <v>1744.253275669892</v>
      </c>
      <c r="F31" s="161">
        <f>(E31*(1+Sheet1!$E$34)^Sheet1!$E$399-Sheet1!$E$400)*(1+Sheet1!$E$34)-Sheet1!$E$401</f>
        <v>2029.7422081800198</v>
      </c>
      <c r="G31" s="162">
        <f>F31/Sheet1!$E$20-1</f>
        <v>0.85364585221919609</v>
      </c>
    </row>
    <row r="32" spans="1:8" ht="21" customHeight="1">
      <c r="A32" s="31"/>
      <c r="B32" s="158">
        <v>0.02</v>
      </c>
      <c r="C32" s="159">
        <f>(Sheet1!$S$378+B32)</f>
        <v>0.14249999999999999</v>
      </c>
      <c r="D32" s="160">
        <f>((Sheet1!$S$378+B32)-Sheet1!$E$31)/(Sheet1!$S$378-Sheet1!$E$31)</f>
        <v>1.258064516129032</v>
      </c>
      <c r="E32" s="161">
        <f>(Sheet1!$I$175+SUM(Sheet1!$J$392:$S$392)+Sheet1!$S$175*B32/(Sheet1!$S$378-Sheet1!$E$31)*Sheet1!$S$377)/Sheet1!$E$21*1000</f>
        <v>1890.6207056649605</v>
      </c>
      <c r="F32" s="161">
        <f>(E32*(1+Sheet1!$E$34)^Sheet1!$E$399-Sheet1!$E$400)*(1+Sheet1!$E$34)-Sheet1!$E$401</f>
        <v>2206.4988206072003</v>
      </c>
      <c r="G32" s="162">
        <f>F32/Sheet1!$E$20-1</f>
        <v>1.0150674160796349</v>
      </c>
    </row>
    <row r="33" spans="1:8" ht="21" customHeight="1">
      <c r="A33" s="31"/>
      <c r="B33" s="158">
        <v>0.03</v>
      </c>
      <c r="C33" s="159">
        <f>(Sheet1!$S$378+B33)</f>
        <v>0.1525</v>
      </c>
      <c r="D33" s="160">
        <f>((Sheet1!$S$378+B33)-Sheet1!$E$31)/(Sheet1!$S$378-Sheet1!$E$31)</f>
        <v>1.3870967741935483</v>
      </c>
      <c r="E33" s="161">
        <f>(Sheet1!$I$175+SUM(Sheet1!$J$392:$S$392)+Sheet1!$S$175*B33/(Sheet1!$S$378-Sheet1!$E$31)*Sheet1!$S$377)/Sheet1!$E$21*1000</f>
        <v>2036.9881356600281</v>
      </c>
      <c r="F33" s="161">
        <f>(E33*(1+Sheet1!$E$34)^Sheet1!$E$399-Sheet1!$E$400)*(1+Sheet1!$E$34)-Sheet1!$E$401</f>
        <v>2383.2554330343787</v>
      </c>
      <c r="G33" s="162">
        <f>F33/Sheet1!$E$20-1</f>
        <v>1.1764889799400717</v>
      </c>
    </row>
    <row r="34" spans="1:8" ht="21" customHeight="1">
      <c r="A34" s="31"/>
      <c r="B34" s="158">
        <v>0.04</v>
      </c>
      <c r="C34" s="159">
        <f>(Sheet1!$S$378+B34)</f>
        <v>0.16250000000000001</v>
      </c>
      <c r="D34" s="160">
        <f>((Sheet1!$S$378+B34)-Sheet1!$E$31)/(Sheet1!$S$378-Sheet1!$E$31)</f>
        <v>1.5161290322580647</v>
      </c>
      <c r="E34" s="161">
        <f>(Sheet1!$I$175+SUM(Sheet1!$J$392:$S$392)+Sheet1!$S$175*B34/(Sheet1!$S$378-Sheet1!$E$31)*Sheet1!$S$377)/Sheet1!$E$21*1000</f>
        <v>2183.3555656550966</v>
      </c>
      <c r="F34" s="161">
        <f>(E34*(1+Sheet1!$E$34)^Sheet1!$E$399-Sheet1!$E$400)*(1+Sheet1!$E$34)-Sheet1!$E$401</f>
        <v>2560.012045461559</v>
      </c>
      <c r="G34" s="162">
        <f>F34/Sheet1!$E$20-1</f>
        <v>1.3379105438005103</v>
      </c>
    </row>
    <row r="35" spans="1:8" ht="21" customHeight="1">
      <c r="A35" s="31"/>
      <c r="B35" s="158">
        <v>0.05</v>
      </c>
      <c r="C35" s="159">
        <f>(Sheet1!$S$378+B35)</f>
        <v>0.17249999999999999</v>
      </c>
      <c r="D35" s="160">
        <f>((Sheet1!$S$378+B35)-Sheet1!$E$31)/(Sheet1!$S$378-Sheet1!$E$31)</f>
        <v>1.6451612903225807</v>
      </c>
      <c r="E35" s="161">
        <f>(Sheet1!$I$175+SUM(Sheet1!$J$392:$S$392)+Sheet1!$S$175*B35/(Sheet1!$S$378-Sheet1!$E$31)*Sheet1!$S$377)/Sheet1!$E$21*1000</f>
        <v>2329.7229956501642</v>
      </c>
      <c r="F35" s="161">
        <f>(E35*(1+Sheet1!$E$34)^Sheet1!$E$399-Sheet1!$E$400)*(1+Sheet1!$E$34)-Sheet1!$E$401</f>
        <v>2736.7686578887374</v>
      </c>
      <c r="G35" s="162">
        <f>F35/Sheet1!$E$20-1</f>
        <v>1.4993321076609476</v>
      </c>
    </row>
    <row r="36" spans="1:8" ht="21" customHeight="1">
      <c r="A36" s="150" t="s">
        <v>854</v>
      </c>
      <c r="B36" s="51">
        <f>ROUND(((Sheet1!$I$175+SUM(Sheet1!$J$392:$S$392)+Sheet1!$S$175*(Sheet1!$E$382-Sheet1!$S$378)/(Sheet1!$S$378-Sheet1!$E$31)*Sheet1!$S$377)/Sheet1!$E$21*1000*(1+Sheet1!$E$34)^Sheet1!$E$399-Sheet1!$E$400)*(1+Sheet1!$E$34)-Sheet1!$E$401-AVERAGE(Sheet1!$E$404,Sheet1!$E$405),6)</f>
        <v>0</v>
      </c>
      <c r="C36" s="31"/>
      <c r="D36" s="31"/>
      <c r="E36" s="31"/>
      <c r="F36" s="31"/>
      <c r="G36" s="31"/>
      <c r="H36" s="31"/>
    </row>
    <row r="37" spans="1:8" ht="22.5" customHeight="1">
      <c r="A37" s="148"/>
      <c r="B37" s="34"/>
      <c r="C37" s="33"/>
      <c r="D37" s="33"/>
      <c r="E37" s="33"/>
      <c r="F37" s="33"/>
      <c r="G37" s="33"/>
      <c r="H37" s="149"/>
    </row>
  </sheetData>
  <mergeCells count="5">
    <mergeCell ref="A2:H2"/>
    <mergeCell ref="A24:H24"/>
    <mergeCell ref="A25:H25"/>
    <mergeCell ref="A26:H26"/>
    <mergeCell ref="A27:H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F5597"/>
  </sheetPr>
  <dimension ref="A1:G42"/>
  <sheetViews>
    <sheetView workbookViewId="0">
      <pane ySplit="2" topLeftCell="A3" activePane="bottomLeft" state="frozen"/>
      <selection pane="bottomLeft"/>
    </sheetView>
  </sheetViews>
  <sheetFormatPr defaultColWidth="10.85546875" defaultRowHeight="15"/>
  <cols>
    <col min="1" max="1" width="42" style="11" customWidth="1"/>
    <col min="2" max="3" width="17.42578125" style="11" customWidth="1"/>
    <col min="4" max="7" width="17.42578125" customWidth="1"/>
  </cols>
  <sheetData>
    <row r="1" spans="1:7" ht="27.95" customHeight="1">
      <c r="A1" s="228" t="s">
        <v>855</v>
      </c>
      <c r="B1" s="228"/>
      <c r="C1" s="228"/>
      <c r="D1" s="228"/>
      <c r="E1" s="228"/>
      <c r="F1" s="228"/>
      <c r="G1" s="228"/>
    </row>
    <row r="3" spans="1:7" ht="22.5" customHeight="1">
      <c r="A3" s="163" t="s">
        <v>856</v>
      </c>
      <c r="B3" s="163" t="s">
        <v>857</v>
      </c>
      <c r="C3" s="163" t="s">
        <v>858</v>
      </c>
      <c r="D3" s="35"/>
      <c r="E3" s="35"/>
      <c r="F3" s="35"/>
      <c r="G3" s="35"/>
    </row>
    <row r="4" spans="1:7" ht="22.5" customHeight="1">
      <c r="A4" s="163" t="s">
        <v>859</v>
      </c>
      <c r="B4" s="164">
        <v>0.64</v>
      </c>
      <c r="C4" s="165" t="s">
        <v>860</v>
      </c>
      <c r="D4" s="35"/>
      <c r="E4" s="35"/>
      <c r="F4" s="35"/>
      <c r="G4" s="35"/>
    </row>
    <row r="5" spans="1:7" ht="21" customHeight="1">
      <c r="A5" s="166" t="s">
        <v>861</v>
      </c>
      <c r="B5" s="167">
        <v>0.13</v>
      </c>
      <c r="C5" s="157" t="s">
        <v>862</v>
      </c>
    </row>
    <row r="6" spans="1:7" ht="21" customHeight="1">
      <c r="A6" s="166" t="s">
        <v>863</v>
      </c>
      <c r="B6" s="167">
        <v>-0.05</v>
      </c>
      <c r="C6" s="157" t="s">
        <v>864</v>
      </c>
    </row>
    <row r="7" spans="1:7" ht="22.5" customHeight="1">
      <c r="A7" s="163" t="s">
        <v>865</v>
      </c>
      <c r="B7" s="164">
        <v>0.51</v>
      </c>
      <c r="C7" s="165" t="s">
        <v>866</v>
      </c>
      <c r="D7" s="35"/>
      <c r="E7" s="35"/>
      <c r="F7" s="35"/>
      <c r="G7" s="35"/>
    </row>
    <row r="8" spans="1:7" ht="22.5" customHeight="1">
      <c r="A8" s="163" t="s">
        <v>867</v>
      </c>
      <c r="B8" s="164">
        <v>0.7</v>
      </c>
      <c r="C8" s="165" t="s">
        <v>868</v>
      </c>
      <c r="D8" s="35"/>
      <c r="E8" s="35"/>
      <c r="F8" s="35"/>
      <c r="G8" s="35"/>
    </row>
    <row r="9" spans="1:7" ht="22.5" customHeight="1">
      <c r="A9" s="163" t="s">
        <v>869</v>
      </c>
      <c r="B9" s="164">
        <v>0.76</v>
      </c>
      <c r="C9" s="165" t="s">
        <v>868</v>
      </c>
      <c r="D9" s="35"/>
      <c r="E9" s="35"/>
      <c r="F9" s="35"/>
      <c r="G9" s="35"/>
    </row>
    <row r="10" spans="1:7" ht="22.5" customHeight="1">
      <c r="A10" s="163" t="s">
        <v>870</v>
      </c>
      <c r="B10" s="164">
        <v>1.04</v>
      </c>
      <c r="C10" s="165" t="s">
        <v>868</v>
      </c>
      <c r="D10" s="35"/>
      <c r="E10" s="35"/>
      <c r="F10" s="35"/>
      <c r="G10" s="35"/>
    </row>
    <row r="11" spans="1:7" ht="21" customHeight="1">
      <c r="A11" s="166" t="s">
        <v>871</v>
      </c>
      <c r="B11" s="67">
        <f>Beta!B28</f>
        <v>0.69327187341183427</v>
      </c>
      <c r="C11" s="166" t="s">
        <v>872</v>
      </c>
    </row>
    <row r="12" spans="1:7" ht="21" customHeight="1">
      <c r="A12" s="166" t="s">
        <v>873</v>
      </c>
      <c r="B12" s="168">
        <f>0.67*B39+0.33</f>
        <v>0.75880000000000003</v>
      </c>
    </row>
    <row r="13" spans="1:7" ht="21" customHeight="1"/>
    <row r="14" spans="1:7" ht="21" customHeight="1">
      <c r="A14" s="169" t="s">
        <v>874</v>
      </c>
      <c r="B14" s="170"/>
      <c r="C14" s="170"/>
    </row>
    <row r="15" spans="1:7" ht="21" customHeight="1">
      <c r="A15" s="166" t="s">
        <v>875</v>
      </c>
      <c r="B15" s="171">
        <f>Sheet1!E24</f>
        <v>5.5600000000000004E-2</v>
      </c>
    </row>
    <row r="16" spans="1:7" ht="21" customHeight="1">
      <c r="A16" s="166" t="s">
        <v>876</v>
      </c>
      <c r="B16" s="171">
        <f>Sheet1!E25</f>
        <v>6.6900000000000001E-2</v>
      </c>
    </row>
    <row r="17" spans="1:7" ht="22.5" customHeight="1">
      <c r="A17" s="163" t="s">
        <v>877</v>
      </c>
      <c r="B17" s="172">
        <v>2.46E-2</v>
      </c>
      <c r="C17" s="163" t="s">
        <v>878</v>
      </c>
      <c r="D17" s="35"/>
      <c r="E17" s="35"/>
      <c r="F17" s="35"/>
      <c r="G17" s="35"/>
    </row>
    <row r="18" spans="1:7" ht="21" customHeight="1">
      <c r="A18" s="166" t="s">
        <v>879</v>
      </c>
      <c r="B18" s="173">
        <f>B16-B17</f>
        <v>4.2300000000000004E-2</v>
      </c>
    </row>
    <row r="19" spans="1:7" ht="21" customHeight="1">
      <c r="A19" s="166" t="s">
        <v>880</v>
      </c>
      <c r="B19" s="174">
        <f>Sheet1!E26</f>
        <v>0.75880000000000003</v>
      </c>
    </row>
    <row r="20" spans="1:7" ht="21" customHeight="1">
      <c r="A20" s="166" t="s">
        <v>881</v>
      </c>
      <c r="B20" s="171">
        <f>Sheet1!E28</f>
        <v>0.11229724000000002</v>
      </c>
    </row>
    <row r="21" spans="1:7" ht="21" customHeight="1">
      <c r="A21" s="166" t="s">
        <v>882</v>
      </c>
      <c r="B21" s="173">
        <f>B15+B17+B4*B18</f>
        <v>0.10727200000000001</v>
      </c>
    </row>
    <row r="22" spans="1:7" ht="21" customHeight="1">
      <c r="A22" s="166" t="s">
        <v>883</v>
      </c>
      <c r="B22" s="173">
        <f>B15+B17+B12*B18</f>
        <v>0.11229724000000002</v>
      </c>
    </row>
    <row r="23" spans="1:7" ht="21" customHeight="1">
      <c r="A23" s="166" t="s">
        <v>884</v>
      </c>
      <c r="B23" s="168">
        <f>(B22-B15)/B16</f>
        <v>0.84749237668161459</v>
      </c>
    </row>
    <row r="24" spans="1:7" ht="21" customHeight="1"/>
    <row r="25" spans="1:7" ht="23.1" customHeight="1">
      <c r="A25" s="232" t="s">
        <v>885</v>
      </c>
      <c r="B25" s="232"/>
      <c r="C25" s="232"/>
      <c r="D25" s="232"/>
      <c r="E25" s="232"/>
      <c r="F25" s="232"/>
      <c r="G25" s="232"/>
    </row>
    <row r="26" spans="1:7" ht="22.5" customHeight="1">
      <c r="A26" s="175" t="s">
        <v>886</v>
      </c>
      <c r="B26" s="175" t="s">
        <v>887</v>
      </c>
      <c r="C26" s="175" t="s">
        <v>888</v>
      </c>
      <c r="D26" s="175" t="s">
        <v>889</v>
      </c>
      <c r="E26" s="175" t="s">
        <v>890</v>
      </c>
      <c r="F26" s="175" t="s">
        <v>891</v>
      </c>
      <c r="G26" s="175" t="s">
        <v>892</v>
      </c>
    </row>
    <row r="27" spans="1:7" ht="27" customHeight="1">
      <c r="A27" s="24" t="s">
        <v>893</v>
      </c>
      <c r="B27" s="176">
        <v>0.11229724000000001</v>
      </c>
      <c r="C27" s="177">
        <v>1325.1816488269901</v>
      </c>
      <c r="D27" s="177">
        <v>1881.1248033402101</v>
      </c>
      <c r="E27" s="177">
        <v>2532.1124619561901</v>
      </c>
      <c r="F27" s="177">
        <f>Prob_Justification!$B$25*C27+Prob_Justification!$B$26*D27+Prob_Justification!$B$27*E27</f>
        <v>1854.5971454855166</v>
      </c>
      <c r="G27" s="178">
        <f>F27/Sheet1!$E$20-1</f>
        <v>0.69369602327444446</v>
      </c>
    </row>
    <row r="28" spans="1:7" ht="27" customHeight="1">
      <c r="A28" s="24" t="s">
        <v>894</v>
      </c>
      <c r="B28" s="176">
        <v>0.113807018164365</v>
      </c>
      <c r="C28" s="177">
        <v>1321.5690165256301</v>
      </c>
      <c r="D28" s="177">
        <v>1875.22190830676</v>
      </c>
      <c r="E28" s="177">
        <v>2523.4718164436099</v>
      </c>
      <c r="F28" s="177">
        <f>Prob_Justification!$B$25*C28+Prob_Justification!$B$26*D28+Prob_Justification!$B$27*E28</f>
        <v>1848.7918790657743</v>
      </c>
      <c r="G28" s="178">
        <f>F28/Sheet1!$E$20-1</f>
        <v>0.68839441010572999</v>
      </c>
    </row>
    <row r="29" spans="1:7" ht="27" customHeight="1">
      <c r="A29" s="24" t="s">
        <v>895</v>
      </c>
      <c r="B29" s="176">
        <v>0.12071451699999999</v>
      </c>
      <c r="C29" s="177">
        <v>1305.3054724599799</v>
      </c>
      <c r="D29" s="177">
        <v>1848.6232797743701</v>
      </c>
      <c r="E29" s="177">
        <v>2484.5206134520299</v>
      </c>
      <c r="F29" s="177">
        <f>Prob_Justification!$B$25*C29+Prob_Justification!$B$26*D29+Prob_Justification!$B$27*E29</f>
        <v>1822.6341971571856</v>
      </c>
      <c r="G29" s="178">
        <f>F29/Sheet1!$E$20-1</f>
        <v>0.66450611612528365</v>
      </c>
    </row>
    <row r="30" spans="1:7" ht="27" customHeight="1">
      <c r="A30" s="24" t="s">
        <v>896</v>
      </c>
      <c r="B30" s="176">
        <v>0.1225</v>
      </c>
      <c r="C30" s="177">
        <v>1301.1713908761401</v>
      </c>
      <c r="D30" s="177">
        <v>1841.855491517</v>
      </c>
      <c r="E30" s="177">
        <v>2474.6054890904702</v>
      </c>
      <c r="F30" s="177">
        <f>Prob_Justification!$B$25*C30+Prob_Justification!$B$26*D30+Prob_Justification!$B$27*E30</f>
        <v>1815.9788783245554</v>
      </c>
      <c r="G30" s="178">
        <f>F30/Sheet1!$E$20-1</f>
        <v>0.65842819938315555</v>
      </c>
    </row>
    <row r="31" spans="1:7" ht="21" customHeight="1">
      <c r="A31" s="179"/>
      <c r="B31" s="179"/>
      <c r="C31" s="179"/>
    </row>
    <row r="32" spans="1:7" ht="21" customHeight="1">
      <c r="A32" s="22" t="s">
        <v>897</v>
      </c>
    </row>
    <row r="33" spans="1:7" ht="21" customHeight="1">
      <c r="A33" s="73" t="s">
        <v>898</v>
      </c>
    </row>
    <row r="34" spans="1:7" ht="22.5" customHeight="1">
      <c r="A34" s="35" t="s">
        <v>899</v>
      </c>
      <c r="B34" s="35">
        <v>0.93700000000000006</v>
      </c>
      <c r="C34" s="35" t="s">
        <v>900</v>
      </c>
      <c r="D34" s="35"/>
      <c r="E34" s="35"/>
      <c r="F34" s="35"/>
      <c r="G34" s="35"/>
    </row>
    <row r="35" spans="1:7" ht="22.5" customHeight="1">
      <c r="A35" s="35" t="s">
        <v>901</v>
      </c>
      <c r="B35" s="35">
        <v>0.63</v>
      </c>
      <c r="C35" s="35" t="s">
        <v>902</v>
      </c>
      <c r="D35" s="35"/>
      <c r="E35" s="35"/>
      <c r="F35" s="35"/>
      <c r="G35" s="35"/>
    </row>
    <row r="36" spans="1:7" ht="21" customHeight="1"/>
    <row r="37" spans="1:7" ht="23.1" customHeight="1">
      <c r="A37" s="233" t="s">
        <v>903</v>
      </c>
      <c r="B37" s="233"/>
      <c r="C37" s="233"/>
      <c r="D37" s="233"/>
      <c r="E37" s="233"/>
      <c r="F37" s="233"/>
      <c r="G37" s="233"/>
    </row>
    <row r="38" spans="1:7" ht="21" customHeight="1">
      <c r="A38" s="16" t="s">
        <v>904</v>
      </c>
      <c r="B38" s="92">
        <v>1</v>
      </c>
      <c r="C38" s="147" t="s">
        <v>905</v>
      </c>
    </row>
    <row r="39" spans="1:7" ht="21" customHeight="1">
      <c r="A39" s="16" t="s">
        <v>906</v>
      </c>
      <c r="B39" s="180">
        <f>CHOOSE(B38,B4,B11,B34,B40)</f>
        <v>0.64</v>
      </c>
    </row>
    <row r="40" spans="1:7" ht="21" customHeight="1">
      <c r="A40" s="16" t="s">
        <v>907</v>
      </c>
      <c r="B40" s="181">
        <v>1</v>
      </c>
    </row>
    <row r="41" spans="1:7" ht="22.5" customHeight="1">
      <c r="A41" s="21" t="s">
        <v>908</v>
      </c>
      <c r="B41" s="55">
        <v>2</v>
      </c>
      <c r="C41" s="182" t="s">
        <v>909</v>
      </c>
      <c r="D41" s="35"/>
      <c r="E41" s="35"/>
      <c r="F41" s="35"/>
      <c r="G41" s="35"/>
    </row>
    <row r="42" spans="1:7" ht="22.5" customHeight="1">
      <c r="A42" s="21" t="s">
        <v>910</v>
      </c>
      <c r="B42" s="55">
        <v>1</v>
      </c>
      <c r="C42" s="182" t="s">
        <v>911</v>
      </c>
      <c r="D42" s="35"/>
      <c r="E42" s="35"/>
      <c r="F42" s="35"/>
      <c r="G42" s="3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F5597"/>
  </sheetPr>
  <dimension ref="A1:D30"/>
  <sheetViews>
    <sheetView workbookViewId="0">
      <pane ySplit="2" topLeftCell="A3" activePane="bottomLeft" state="frozen"/>
      <selection pane="bottomLeft"/>
    </sheetView>
  </sheetViews>
  <sheetFormatPr defaultColWidth="10.85546875" defaultRowHeight="15"/>
  <cols>
    <col min="1" max="1" width="42" style="11" customWidth="1"/>
    <col min="2" max="4" width="17.42578125" style="11" customWidth="1"/>
  </cols>
  <sheetData>
    <row r="1" spans="1:4" ht="27.95" customHeight="1">
      <c r="A1" s="239" t="s">
        <v>912</v>
      </c>
      <c r="B1" s="228"/>
      <c r="C1" s="228"/>
      <c r="D1" s="228"/>
    </row>
    <row r="2" spans="1:4" ht="23.1" customHeight="1">
      <c r="A2" s="238" t="s">
        <v>913</v>
      </c>
      <c r="B2" s="230"/>
      <c r="C2" s="230"/>
      <c r="D2" s="230"/>
    </row>
    <row r="3" spans="1:4" ht="21" customHeight="1"/>
    <row r="4" spans="1:4" ht="21" customHeight="1">
      <c r="A4" s="20" t="s">
        <v>914</v>
      </c>
      <c r="C4" s="20" t="s">
        <v>915</v>
      </c>
    </row>
    <row r="5" spans="1:4" ht="22.5" customHeight="1">
      <c r="A5" s="21" t="s">
        <v>916</v>
      </c>
      <c r="B5" s="183">
        <v>0.5</v>
      </c>
      <c r="C5" s="21" t="s">
        <v>917</v>
      </c>
      <c r="D5" s="35"/>
    </row>
    <row r="6" spans="1:4" ht="21" customHeight="1"/>
    <row r="7" spans="1:4" ht="21" customHeight="1">
      <c r="A7" s="20" t="s">
        <v>918</v>
      </c>
      <c r="B7" s="20" t="s">
        <v>919</v>
      </c>
      <c r="C7" s="20" t="s">
        <v>920</v>
      </c>
      <c r="D7" s="20" t="s">
        <v>921</v>
      </c>
    </row>
    <row r="8" spans="1:4" ht="21" customHeight="1">
      <c r="A8" s="16" t="s">
        <v>922</v>
      </c>
      <c r="B8" s="15">
        <v>1</v>
      </c>
      <c r="C8" s="16" t="s">
        <v>923</v>
      </c>
      <c r="D8" s="16" t="s">
        <v>924</v>
      </c>
    </row>
    <row r="9" spans="1:4" ht="22.5" customHeight="1">
      <c r="A9" s="21" t="s">
        <v>925</v>
      </c>
      <c r="B9" s="21">
        <v>1</v>
      </c>
      <c r="C9" s="21" t="s">
        <v>926</v>
      </c>
      <c r="D9" s="21" t="s">
        <v>924</v>
      </c>
    </row>
    <row r="10" spans="1:4" ht="22.5" customHeight="1">
      <c r="A10" s="21" t="s">
        <v>927</v>
      </c>
      <c r="B10" s="21">
        <v>1</v>
      </c>
      <c r="C10" s="21" t="s">
        <v>928</v>
      </c>
      <c r="D10" s="21" t="s">
        <v>924</v>
      </c>
    </row>
    <row r="11" spans="1:4" ht="21" customHeight="1">
      <c r="A11" s="16" t="s">
        <v>929</v>
      </c>
      <c r="B11" s="15">
        <v>1</v>
      </c>
      <c r="C11" s="16" t="s">
        <v>930</v>
      </c>
      <c r="D11" s="16" t="s">
        <v>924</v>
      </c>
    </row>
    <row r="12" spans="1:4" ht="22.5" customHeight="1">
      <c r="A12" s="21" t="s">
        <v>931</v>
      </c>
      <c r="B12" s="21">
        <v>1</v>
      </c>
      <c r="C12" s="21" t="s">
        <v>932</v>
      </c>
      <c r="D12" s="21" t="s">
        <v>924</v>
      </c>
    </row>
    <row r="13" spans="1:4" ht="21" customHeight="1">
      <c r="A13" s="16" t="s">
        <v>933</v>
      </c>
      <c r="B13" s="15">
        <v>1</v>
      </c>
      <c r="C13" s="16" t="s">
        <v>934</v>
      </c>
      <c r="D13" s="16" t="s">
        <v>924</v>
      </c>
    </row>
    <row r="14" spans="1:4" ht="22.5" customHeight="1">
      <c r="A14" s="21" t="s">
        <v>935</v>
      </c>
      <c r="B14" s="21">
        <v>1</v>
      </c>
      <c r="C14" s="21" t="s">
        <v>936</v>
      </c>
      <c r="D14" s="21" t="s">
        <v>924</v>
      </c>
    </row>
    <row r="15" spans="1:4" ht="22.5" customHeight="1">
      <c r="A15" s="21" t="s">
        <v>937</v>
      </c>
      <c r="B15" s="21">
        <v>1</v>
      </c>
      <c r="C15" s="21" t="s">
        <v>938</v>
      </c>
      <c r="D15" s="21" t="s">
        <v>939</v>
      </c>
    </row>
    <row r="16" spans="1:4" ht="21" customHeight="1">
      <c r="A16" s="16" t="s">
        <v>940</v>
      </c>
      <c r="B16" s="15">
        <v>1</v>
      </c>
      <c r="C16" s="16" t="s">
        <v>941</v>
      </c>
      <c r="D16" s="16" t="s">
        <v>939</v>
      </c>
    </row>
    <row r="17" spans="1:4" ht="21" customHeight="1">
      <c r="A17" s="16" t="s">
        <v>942</v>
      </c>
      <c r="B17" s="15">
        <v>1</v>
      </c>
      <c r="C17" s="16" t="s">
        <v>943</v>
      </c>
      <c r="D17" s="16" t="s">
        <v>939</v>
      </c>
    </row>
    <row r="18" spans="1:4" ht="22.5" customHeight="1">
      <c r="A18" s="21" t="s">
        <v>944</v>
      </c>
      <c r="B18" s="21">
        <v>1</v>
      </c>
      <c r="C18" s="21" t="s">
        <v>945</v>
      </c>
      <c r="D18" s="21" t="s">
        <v>939</v>
      </c>
    </row>
    <row r="19" spans="1:4" ht="22.5" customHeight="1">
      <c r="A19" s="21" t="s">
        <v>946</v>
      </c>
      <c r="B19" s="21">
        <v>1</v>
      </c>
      <c r="C19" s="21" t="s">
        <v>947</v>
      </c>
      <c r="D19" s="21" t="s">
        <v>939</v>
      </c>
    </row>
    <row r="20" spans="1:4" ht="21" customHeight="1"/>
    <row r="21" spans="1:4" ht="21" customHeight="1">
      <c r="A21" s="16" t="s">
        <v>948</v>
      </c>
      <c r="B21" s="16">
        <f>SUMIF(D8:D19,"Down",B8:B19)</f>
        <v>7</v>
      </c>
    </row>
    <row r="22" spans="1:4" ht="21" customHeight="1">
      <c r="A22" s="16" t="s">
        <v>949</v>
      </c>
      <c r="B22" s="16">
        <f>SUMIF(D8:D19,"Up",B8:B19)</f>
        <v>5</v>
      </c>
    </row>
    <row r="23" spans="1:4" ht="21" customHeight="1"/>
    <row r="24" spans="1:4" ht="21" customHeight="1">
      <c r="A24" s="20" t="s">
        <v>950</v>
      </c>
    </row>
    <row r="25" spans="1:4" ht="21" customHeight="1">
      <c r="A25" s="16" t="s">
        <v>951</v>
      </c>
      <c r="B25" s="184">
        <f>(1-B5)*B21/(B21+B22)</f>
        <v>0.29166666666666669</v>
      </c>
    </row>
    <row r="26" spans="1:4" ht="21" customHeight="1">
      <c r="A26" s="16" t="s">
        <v>124</v>
      </c>
      <c r="B26" s="184">
        <f>B5</f>
        <v>0.5</v>
      </c>
    </row>
    <row r="27" spans="1:4" ht="21" customHeight="1">
      <c r="A27" s="16" t="s">
        <v>952</v>
      </c>
      <c r="B27" s="184">
        <f>(1-B5)*B22/(B21+B22)</f>
        <v>0.20833333333333334</v>
      </c>
    </row>
    <row r="28" spans="1:4" ht="21" customHeight="1">
      <c r="A28" s="16" t="s">
        <v>953</v>
      </c>
      <c r="B28" s="185">
        <f>B25+B26+B27-1</f>
        <v>0</v>
      </c>
    </row>
    <row r="29" spans="1:4" ht="21" customHeight="1"/>
    <row r="30" spans="1:4" ht="21" customHeight="1">
      <c r="A30" s="16" t="s">
        <v>954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F6000"/>
  </sheetPr>
  <dimension ref="A1:G43"/>
  <sheetViews>
    <sheetView workbookViewId="0">
      <pane ySplit="2" topLeftCell="A3" activePane="bottomLeft" state="frozen"/>
      <selection pane="bottomLeft"/>
    </sheetView>
  </sheetViews>
  <sheetFormatPr defaultColWidth="10.85546875" defaultRowHeight="15"/>
  <cols>
    <col min="1" max="1" width="42" style="11" customWidth="1"/>
    <col min="2" max="6" width="17.42578125" customWidth="1"/>
    <col min="7" max="7" width="17.42578125" style="11" customWidth="1"/>
  </cols>
  <sheetData>
    <row r="1" spans="1:7" ht="27.95" customHeight="1">
      <c r="A1" s="228" t="s">
        <v>955</v>
      </c>
      <c r="B1" s="228"/>
      <c r="C1" s="228"/>
      <c r="D1" s="228"/>
      <c r="E1" s="228"/>
      <c r="F1" s="228"/>
      <c r="G1" s="228"/>
    </row>
    <row r="3" spans="1:7" ht="27" customHeight="1">
      <c r="A3" s="186" t="s">
        <v>956</v>
      </c>
      <c r="B3" s="186" t="s">
        <v>754</v>
      </c>
      <c r="C3" s="186"/>
      <c r="D3" s="186"/>
      <c r="E3" s="186"/>
      <c r="F3" s="186"/>
      <c r="G3" s="186" t="s">
        <v>957</v>
      </c>
    </row>
    <row r="4" spans="1:7" ht="22.5" customHeight="1">
      <c r="A4" s="35" t="s">
        <v>958</v>
      </c>
      <c r="B4" s="71">
        <f>Sheet1!E34</f>
        <v>0.11229724000000002</v>
      </c>
      <c r="C4" s="71">
        <f>Sheet1!S378</f>
        <v>0.1225</v>
      </c>
      <c r="D4" s="35"/>
      <c r="E4" s="35"/>
      <c r="F4" s="35"/>
      <c r="G4" s="21" t="s">
        <v>959</v>
      </c>
    </row>
    <row r="5" spans="1:7" ht="21" customHeight="1">
      <c r="A5" s="132" t="s">
        <v>960</v>
      </c>
      <c r="B5" s="187">
        <f>Sheet1!E24</f>
        <v>5.5600000000000004E-2</v>
      </c>
      <c r="G5" s="16" t="s">
        <v>961</v>
      </c>
    </row>
    <row r="6" spans="1:7" ht="21" customHeight="1">
      <c r="A6" s="132" t="s">
        <v>962</v>
      </c>
      <c r="B6" s="187">
        <f>Sheet1!E31</f>
        <v>4.4999999999999998E-2</v>
      </c>
      <c r="G6" s="16" t="str">
        <f>IF(B6&gt;B5,"g above rf: reduce","g does not exceed rf: OK")</f>
        <v>g does not exceed rf: OK</v>
      </c>
    </row>
    <row r="7" spans="1:7" ht="21" customHeight="1">
      <c r="A7" s="132" t="s">
        <v>963</v>
      </c>
      <c r="B7" s="188">
        <f>Sheet1!E382</f>
        <v>0.14249999999999999</v>
      </c>
      <c r="G7" s="16" t="s">
        <v>964</v>
      </c>
    </row>
    <row r="8" spans="1:7" ht="21" customHeight="1">
      <c r="A8" s="132" t="s">
        <v>965</v>
      </c>
      <c r="B8" s="189">
        <f>Sheet1!E382-Sheet1!S378</f>
        <v>1.999999999999999E-2</v>
      </c>
      <c r="G8" s="16" t="s">
        <v>966</v>
      </c>
    </row>
    <row r="9" spans="1:7" ht="21" customHeight="1">
      <c r="A9" s="132" t="s">
        <v>967</v>
      </c>
      <c r="B9" s="190">
        <f>(B7-B6)/(B4-B6)</f>
        <v>1.4487964142363039</v>
      </c>
      <c r="G9" s="16" t="s">
        <v>968</v>
      </c>
    </row>
    <row r="10" spans="1:7" ht="21" customHeight="1">
      <c r="A10" s="132" t="s">
        <v>969</v>
      </c>
      <c r="B10" s="191">
        <f>Sheet1!E394/Sheet1!E395</f>
        <v>0.15483531895794872</v>
      </c>
      <c r="G10" s="16" t="s">
        <v>970</v>
      </c>
    </row>
    <row r="11" spans="1:7" ht="22.5" customHeight="1">
      <c r="A11" s="35" t="s">
        <v>971</v>
      </c>
      <c r="B11" s="83">
        <f>Sheet1!E388</f>
        <v>0.75482217992000056</v>
      </c>
      <c r="C11" s="35"/>
      <c r="D11" s="35"/>
      <c r="E11" s="35"/>
      <c r="F11" s="35"/>
      <c r="G11" s="21" t="s">
        <v>972</v>
      </c>
    </row>
    <row r="12" spans="1:7" ht="21" customHeight="1">
      <c r="A12" s="132" t="s">
        <v>973</v>
      </c>
      <c r="B12" s="191">
        <f>Sheet1!E383</f>
        <v>0.68421052631578938</v>
      </c>
      <c r="G12" s="16" t="s">
        <v>974</v>
      </c>
    </row>
    <row r="13" spans="1:7" ht="22.5" customHeight="1">
      <c r="A13" s="35" t="s">
        <v>975</v>
      </c>
      <c r="B13" s="83">
        <f>Sheet1!S108</f>
        <v>0.65</v>
      </c>
      <c r="C13" s="35"/>
      <c r="D13" s="35"/>
      <c r="E13" s="35"/>
      <c r="F13" s="35"/>
      <c r="G13" s="21" t="str">
        <f>IF(B13&lt;B12,"Policy payout below sustainable payout: excess capital retained","Policy payout at or above sustainable payout")</f>
        <v>Policy payout below sustainable payout: excess capital retained</v>
      </c>
    </row>
    <row r="14" spans="1:7" ht="22.5" customHeight="1">
      <c r="A14" s="35" t="s">
        <v>976</v>
      </c>
      <c r="B14" s="59">
        <f>Sheet1!J328</f>
        <v>0.22000883624760575</v>
      </c>
      <c r="C14" s="35"/>
      <c r="D14" s="35"/>
      <c r="E14" s="35"/>
      <c r="F14" s="35"/>
      <c r="G14" s="21" t="s">
        <v>977</v>
      </c>
    </row>
    <row r="15" spans="1:7" ht="22.5" customHeight="1">
      <c r="A15" s="35" t="s">
        <v>978</v>
      </c>
      <c r="B15" s="59">
        <f>Sheet1!N328</f>
        <v>0.25651249954318212</v>
      </c>
      <c r="C15" s="35"/>
      <c r="D15" s="35"/>
      <c r="E15" s="35"/>
      <c r="F15" s="35"/>
      <c r="G15" s="21" t="s">
        <v>979</v>
      </c>
    </row>
    <row r="16" spans="1:7" ht="21" customHeight="1">
      <c r="A16" s="132" t="s">
        <v>654</v>
      </c>
      <c r="B16" s="188">
        <f>Sheet1!S328</f>
        <v>0.26696652662695464</v>
      </c>
      <c r="G16" s="16"/>
    </row>
    <row r="17" spans="1:7" ht="22.5" customHeight="1">
      <c r="A17" s="35" t="s">
        <v>980</v>
      </c>
      <c r="B17" s="88">
        <f>Sheet1!S329</f>
        <v>38820.2584853632</v>
      </c>
      <c r="C17" s="35"/>
      <c r="D17" s="35"/>
      <c r="E17" s="35"/>
      <c r="F17" s="35"/>
      <c r="G17" s="21" t="s">
        <v>981</v>
      </c>
    </row>
    <row r="18" spans="1:7" ht="21" customHeight="1">
      <c r="A18" s="132" t="s">
        <v>982</v>
      </c>
      <c r="B18" s="188">
        <f>Sheet1!E418</f>
        <v>0</v>
      </c>
      <c r="G18" s="16" t="str">
        <f>IF(ABS(B18)&gt;0.25,"Above the 25% model tolerance: master check flags it","Within tolerance")</f>
        <v>Within tolerance</v>
      </c>
    </row>
    <row r="19" spans="1:7" ht="21" customHeight="1"/>
    <row r="20" spans="1:7" ht="23.1" customHeight="1">
      <c r="A20" s="240" t="s">
        <v>983</v>
      </c>
      <c r="B20" s="240"/>
      <c r="C20" s="240"/>
      <c r="D20" s="240"/>
      <c r="E20" s="240"/>
      <c r="F20" s="240"/>
      <c r="G20" s="240"/>
    </row>
    <row r="21" spans="1:7" ht="21" customHeight="1">
      <c r="A21" s="73" t="s">
        <v>984</v>
      </c>
      <c r="B21" s="73" t="s">
        <v>985</v>
      </c>
      <c r="C21" s="73" t="s">
        <v>986</v>
      </c>
      <c r="D21" s="73" t="s">
        <v>987</v>
      </c>
      <c r="E21" s="73" t="s">
        <v>988</v>
      </c>
      <c r="F21" s="73" t="s">
        <v>989</v>
      </c>
    </row>
    <row r="22" spans="1:7" ht="22.5" customHeight="1">
      <c r="A22" s="35" t="s">
        <v>990</v>
      </c>
      <c r="B22" s="88">
        <v>1780</v>
      </c>
      <c r="C22" s="88">
        <v>608</v>
      </c>
      <c r="D22" s="131">
        <v>2.93</v>
      </c>
      <c r="E22" s="192">
        <v>24.2</v>
      </c>
      <c r="F22" s="59"/>
      <c r="G22" s="35"/>
    </row>
    <row r="23" spans="1:7" ht="22.5" customHeight="1">
      <c r="A23" s="35" t="s">
        <v>991</v>
      </c>
      <c r="B23" s="88">
        <v>1290</v>
      </c>
      <c r="C23" s="88">
        <v>726</v>
      </c>
      <c r="D23" s="131">
        <v>1.78</v>
      </c>
      <c r="E23" s="192">
        <v>14</v>
      </c>
      <c r="F23" s="59">
        <v>0.106</v>
      </c>
      <c r="G23" s="35"/>
    </row>
    <row r="24" spans="1:7" ht="22.5" customHeight="1">
      <c r="A24" s="35" t="s">
        <v>992</v>
      </c>
      <c r="B24" s="88">
        <v>1740</v>
      </c>
      <c r="C24" s="88">
        <v>840</v>
      </c>
      <c r="D24" s="131">
        <v>2.0699999999999998</v>
      </c>
      <c r="E24" s="192">
        <v>14.1</v>
      </c>
      <c r="F24" s="59">
        <v>0.1047</v>
      </c>
      <c r="G24" s="35"/>
    </row>
    <row r="25" spans="1:7" ht="22.5" customHeight="1">
      <c r="A25" s="35" t="s">
        <v>993</v>
      </c>
      <c r="B25" s="88">
        <v>2730</v>
      </c>
      <c r="C25" s="88">
        <v>976</v>
      </c>
      <c r="D25" s="131">
        <v>2.8</v>
      </c>
      <c r="E25" s="192">
        <v>18</v>
      </c>
      <c r="F25" s="59">
        <v>9.5100000000000004E-2</v>
      </c>
      <c r="G25" s="35"/>
    </row>
    <row r="26" spans="1:7" ht="22.5" customHeight="1">
      <c r="A26" s="35" t="s">
        <v>994</v>
      </c>
      <c r="B26" s="88">
        <v>2230</v>
      </c>
      <c r="C26" s="88">
        <v>1126</v>
      </c>
      <c r="D26" s="131">
        <v>1.98</v>
      </c>
      <c r="E26" s="192">
        <v>13.6</v>
      </c>
      <c r="F26" s="59">
        <v>0.106</v>
      </c>
      <c r="G26" s="35"/>
    </row>
    <row r="27" spans="1:7" ht="22.5" customHeight="1">
      <c r="A27" s="35" t="s">
        <v>995</v>
      </c>
      <c r="B27" s="88">
        <f>Sheet1!E20</f>
        <v>1095</v>
      </c>
      <c r="C27" s="88">
        <f>Sheet1!I464</f>
        <v>1106.4695379895538</v>
      </c>
      <c r="D27" s="131">
        <f>B27/C27</f>
        <v>0.98963411318996286</v>
      </c>
      <c r="E27" s="192">
        <f>B27/Sheet1!F464</f>
        <v>6.0773672675348553</v>
      </c>
      <c r="F27" s="59">
        <f>Sheet1!E31+(Sheet1!J464-Sheet1!E31)/D27</f>
        <v>0.16261614601744673</v>
      </c>
      <c r="G27" s="35"/>
    </row>
    <row r="28" spans="1:7" ht="21" customHeight="1"/>
    <row r="29" spans="1:7" ht="21" customHeight="1">
      <c r="A29" s="22" t="s">
        <v>996</v>
      </c>
    </row>
    <row r="30" spans="1:7" ht="21" customHeight="1">
      <c r="A30" s="22" t="s">
        <v>997</v>
      </c>
    </row>
    <row r="31" spans="1:7" ht="21" customHeight="1">
      <c r="A31" s="22" t="s">
        <v>998</v>
      </c>
    </row>
    <row r="32" spans="1:7" ht="21" customHeight="1"/>
    <row r="33" ht="21" customHeight="1"/>
    <row r="34" ht="21" customHeight="1"/>
    <row r="35" ht="21" customHeight="1"/>
    <row r="36" ht="21" customHeight="1"/>
    <row r="37" ht="21" customHeight="1"/>
    <row r="38" ht="21" customHeight="1"/>
    <row r="39" ht="21" customHeight="1"/>
    <row r="40" ht="21" customHeight="1"/>
    <row r="41" ht="21" customHeight="1"/>
    <row r="42" ht="21" customHeight="1"/>
    <row r="43" ht="21" customHeight="1"/>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F7F7F"/>
  </sheetPr>
  <dimension ref="A1:O13"/>
  <sheetViews>
    <sheetView workbookViewId="0">
      <pane xSplit="1" ySplit="2" topLeftCell="B3" activePane="bottomRight" state="frozen"/>
      <selection pane="topRight"/>
      <selection pane="bottomLeft"/>
      <selection pane="bottomRight" activeCell="B3" sqref="B3"/>
    </sheetView>
  </sheetViews>
  <sheetFormatPr defaultColWidth="10.85546875" defaultRowHeight="15"/>
  <cols>
    <col min="1" max="1" width="32" style="11" customWidth="1"/>
    <col min="2" max="15" width="17.42578125" customWidth="1"/>
  </cols>
  <sheetData>
    <row r="1" spans="1:15" ht="27.95" customHeight="1">
      <c r="A1" s="228" t="s">
        <v>999</v>
      </c>
      <c r="B1" s="228"/>
      <c r="C1" s="228"/>
      <c r="D1" s="228"/>
      <c r="E1" s="228"/>
      <c r="F1" s="228"/>
      <c r="G1" s="228"/>
      <c r="H1" s="228"/>
      <c r="I1" s="228"/>
      <c r="J1" s="228"/>
      <c r="K1" s="228"/>
      <c r="L1" s="228"/>
      <c r="M1" s="228"/>
      <c r="N1" s="228"/>
      <c r="O1" s="228"/>
    </row>
    <row r="2" spans="1:15" ht="23.1" customHeight="1">
      <c r="A2" s="229" t="s">
        <v>1000</v>
      </c>
      <c r="B2" s="230"/>
      <c r="C2" s="230"/>
      <c r="D2" s="230"/>
      <c r="E2" s="230"/>
      <c r="F2" s="230"/>
      <c r="G2" s="230"/>
      <c r="H2" s="230"/>
      <c r="I2" s="230"/>
      <c r="J2" s="230"/>
      <c r="K2" s="230"/>
      <c r="L2" s="230"/>
      <c r="M2" s="230"/>
      <c r="N2" s="230"/>
      <c r="O2" s="230"/>
    </row>
    <row r="3" spans="1:15" ht="21" customHeight="1"/>
    <row r="4" spans="1:15" ht="22.5" customHeight="1">
      <c r="A4" s="175" t="s">
        <v>1001</v>
      </c>
      <c r="B4" s="175" t="s">
        <v>224</v>
      </c>
      <c r="C4" s="175" t="s">
        <v>225</v>
      </c>
      <c r="D4" s="175" t="s">
        <v>226</v>
      </c>
      <c r="E4" s="175" t="s">
        <v>93</v>
      </c>
      <c r="F4" s="175" t="s">
        <v>1002</v>
      </c>
      <c r="G4" s="175" t="s">
        <v>1003</v>
      </c>
      <c r="H4" s="175" t="s">
        <v>1004</v>
      </c>
      <c r="I4" s="175" t="s">
        <v>1005</v>
      </c>
      <c r="J4" s="175" t="s">
        <v>1006</v>
      </c>
      <c r="K4" s="175" t="s">
        <v>1007</v>
      </c>
      <c r="L4" s="175" t="s">
        <v>957</v>
      </c>
      <c r="M4" s="175" t="s">
        <v>1008</v>
      </c>
      <c r="N4" s="175" t="s">
        <v>1009</v>
      </c>
      <c r="O4" s="175" t="s">
        <v>1010</v>
      </c>
    </row>
    <row r="5" spans="1:15" ht="21" customHeight="1">
      <c r="A5" s="132" t="s">
        <v>1011</v>
      </c>
      <c r="B5" s="188">
        <f>Sheet1!F169/Sheet1!E169-1</f>
        <v>0.15242999144329383</v>
      </c>
      <c r="C5" s="188">
        <f>Sheet1!G169/Sheet1!F169-1</f>
        <v>0.15666591436150545</v>
      </c>
      <c r="D5" s="188">
        <f>Sheet1!H169/Sheet1!G169-1</f>
        <v>0.15550132343958545</v>
      </c>
      <c r="E5" s="188">
        <f>Sheet1!I169/Sheet1!H169-1</f>
        <v>0.11644269761363435</v>
      </c>
      <c r="F5" s="82">
        <v>0.16</v>
      </c>
      <c r="G5" s="82">
        <v>0.13</v>
      </c>
      <c r="H5" s="188">
        <f>Sheet1!J169/Sheet1!I169-1</f>
        <v>0.12329860365283518</v>
      </c>
      <c r="I5" s="189">
        <f t="shared" ref="I5:I11" si="0">H5-G5</f>
        <v>-6.701396347164823E-3</v>
      </c>
      <c r="J5" s="82">
        <v>0.09</v>
      </c>
      <c r="K5" s="188">
        <f>Sheet1!N169/Sheet1!M169-1</f>
        <v>0.10098852981188466</v>
      </c>
      <c r="L5" s="16" t="str">
        <f>IF(ABS(I5)&gt;0.02,"Review FY26E: template "&amp;IF(I5&gt;0,"higher","lower")&amp;" than team evidence",IF(ABS(K5-J5)&gt;0.04,"Review FY30E: template "&amp;IF(K5&gt;J5,"higher","lower")&amp;" than team evidence","Within tolerance"))</f>
        <v>Within tolerance</v>
      </c>
      <c r="M5" s="16" t="s">
        <v>1012</v>
      </c>
      <c r="N5" s="16" t="s">
        <v>1013</v>
      </c>
      <c r="O5" s="16" t="s">
        <v>1014</v>
      </c>
    </row>
    <row r="6" spans="1:15" ht="21" customHeight="1">
      <c r="A6" s="132" t="s">
        <v>1015</v>
      </c>
      <c r="B6" s="187">
        <f>Sheet1!F143/AVERAGE(Sheet1!F169,Sheet1!E169)</f>
        <v>5.4606862154475536E-2</v>
      </c>
      <c r="C6" s="187">
        <f>Sheet1!G143/AVERAGE(Sheet1!G169,Sheet1!F169)</f>
        <v>4.9316904046554866E-2</v>
      </c>
      <c r="D6" s="187">
        <f>Sheet1!H143/AVERAGE(Sheet1!H169,Sheet1!G169)</f>
        <v>4.5679162780080211E-2</v>
      </c>
      <c r="E6" s="187">
        <f>Sheet1!I143/AVERAGE(Sheet1!I169,Sheet1!H169)</f>
        <v>4.4239022393461662E-2</v>
      </c>
      <c r="F6" s="60">
        <v>4.2178674177090598E-2</v>
      </c>
      <c r="G6" s="60">
        <v>4.2000000000000003E-2</v>
      </c>
      <c r="H6" s="187">
        <f>Sheet1!J143/AVERAGE(Sheet1!J169,Sheet1!I169)</f>
        <v>4.3622104452145094E-2</v>
      </c>
      <c r="I6" s="66">
        <f t="shared" si="0"/>
        <v>1.6221044521450914E-3</v>
      </c>
      <c r="J6" s="60">
        <v>4.1000000000000002E-2</v>
      </c>
      <c r="K6" s="187">
        <f>Sheet1!N143/AVERAGE(Sheet1!N169,Sheet1!M169)</f>
        <v>4.6963168581271142E-2</v>
      </c>
      <c r="L6" s="16" t="str">
        <f>IF(ABS(I6)&gt;0.0015,"Review FY26E: template "&amp;IF(I6&gt;0,"higher","lower")&amp;" than team evidence",IF(ABS(K6-J6)&gt;0.003,"Review FY30E: template "&amp;IF(K6&gt;J6,"higher","lower")&amp;" than team evidence","Within tolerance"))</f>
        <v>Review FY26E: template higher than team evidence</v>
      </c>
      <c r="M6" s="16" t="s">
        <v>1016</v>
      </c>
      <c r="N6" s="16" t="s">
        <v>1017</v>
      </c>
      <c r="O6" s="16" t="s">
        <v>1018</v>
      </c>
    </row>
    <row r="7" spans="1:15" ht="21" customHeight="1">
      <c r="A7" s="132" t="s">
        <v>1019</v>
      </c>
      <c r="B7" s="188">
        <f>Sheet1!F144/AVERAGE(Sheet1!F169,Sheet1!E169)</f>
        <v>1.2963247965030752E-2</v>
      </c>
      <c r="C7" s="188">
        <f>Sheet1!G144/AVERAGE(Sheet1!G169,Sheet1!F169)</f>
        <v>1.2753346851676877E-2</v>
      </c>
      <c r="D7" s="188">
        <f>Sheet1!H144/AVERAGE(Sheet1!H169,Sheet1!G169)</f>
        <v>1.4579399845454892E-2</v>
      </c>
      <c r="E7" s="188">
        <f>Sheet1!I144/AVERAGE(Sheet1!I169,Sheet1!H169)</f>
        <v>1.6041970106590378E-2</v>
      </c>
      <c r="F7" s="82">
        <v>1.7694858435079501E-2</v>
      </c>
      <c r="G7" s="82">
        <v>1.72E-2</v>
      </c>
      <c r="H7" s="188">
        <f>Sheet1!J144/AVERAGE(Sheet1!J169,Sheet1!I169)</f>
        <v>1.790303738871428E-2</v>
      </c>
      <c r="I7" s="189">
        <f t="shared" si="0"/>
        <v>7.0303738871427962E-4</v>
      </c>
      <c r="J7" s="82">
        <v>1.6199999999999999E-2</v>
      </c>
      <c r="K7" s="188">
        <f>Sheet1!N144/AVERAGE(Sheet1!N169,Sheet1!M169)</f>
        <v>1.8069785471446834E-2</v>
      </c>
      <c r="L7" s="16" t="str">
        <f>IF(ABS(I7)&gt;0.001,"Review FY26E: template "&amp;IF(I7&gt;0,"higher","lower")&amp;" than team evidence",IF(ABS(K7-J7)&gt;0.002,"Review FY30E: template "&amp;IF(K7&gt;J7,"higher","lower")&amp;" than team evidence","Within tolerance"))</f>
        <v>Within tolerance</v>
      </c>
      <c r="M7" s="16" t="s">
        <v>1020</v>
      </c>
      <c r="N7" s="16" t="s">
        <v>1021</v>
      </c>
      <c r="O7" s="16" t="s">
        <v>1022</v>
      </c>
    </row>
    <row r="8" spans="1:15" ht="21" customHeight="1">
      <c r="A8" s="132" t="s">
        <v>1023</v>
      </c>
      <c r="B8" s="188">
        <f>Sheet1!F149/Sheet1!F145</f>
        <v>0.51292945238359466</v>
      </c>
      <c r="C8" s="188">
        <f>Sheet1!G149/Sheet1!G145</f>
        <v>0.50086416774515585</v>
      </c>
      <c r="D8" s="188">
        <f>Sheet1!H149/Sheet1!H145</f>
        <v>0.51353392825364041</v>
      </c>
      <c r="E8" s="188">
        <f>Sheet1!I149/Sheet1!I145</f>
        <v>0.52562269423834751</v>
      </c>
      <c r="F8" s="82">
        <v>0.52624585156352399</v>
      </c>
      <c r="G8" s="82">
        <v>0.54500000000000004</v>
      </c>
      <c r="H8" s="188">
        <f>Sheet1!J149/Sheet1!J145</f>
        <v>0.54500000000000004</v>
      </c>
      <c r="I8" s="189">
        <f t="shared" si="0"/>
        <v>0</v>
      </c>
      <c r="J8" s="82">
        <v>0.52</v>
      </c>
      <c r="K8" s="188">
        <f>Sheet1!N149/Sheet1!N145</f>
        <v>0.505</v>
      </c>
      <c r="L8" s="16" t="str">
        <f>IF(ABS(I8)&gt;0.01,"Review FY26E: template "&amp;IF(I8&gt;0,"higher","lower")&amp;" than team evidence",IF(ABS(K8-J8)&gt;0.02,"Review FY30E: template "&amp;IF(K8&gt;J8,"higher","lower")&amp;" than team evidence","Within tolerance"))</f>
        <v>Within tolerance</v>
      </c>
      <c r="M8" s="16" t="s">
        <v>1024</v>
      </c>
      <c r="N8" s="16" t="s">
        <v>1025</v>
      </c>
      <c r="O8" s="16" t="s">
        <v>1026</v>
      </c>
    </row>
    <row r="9" spans="1:15" ht="22.5" customHeight="1">
      <c r="A9" s="35" t="s">
        <v>1027</v>
      </c>
      <c r="B9" s="59">
        <f>Sheet1!F151/AVERAGE(Sheet1!F212,Sheet1!E212)</f>
        <v>1.9782830908059473E-2</v>
      </c>
      <c r="C9" s="59">
        <f>Sheet1!G151/AVERAGE(Sheet1!G212,Sheet1!F212)</f>
        <v>1.1706972902995402E-2</v>
      </c>
      <c r="D9" s="59">
        <f>Sheet1!H151/AVERAGE(Sheet1!H212,Sheet1!G212)</f>
        <v>7.3009944159276169E-3</v>
      </c>
      <c r="E9" s="59">
        <f>Sheet1!I151/AVERAGE(Sheet1!I212,Sheet1!H212)</f>
        <v>7.8916871050098356E-3</v>
      </c>
      <c r="F9" s="59">
        <v>6.4439790199207602E-3</v>
      </c>
      <c r="G9" s="59">
        <v>7.0000000000000001E-3</v>
      </c>
      <c r="H9" s="59">
        <f>Sheet1!J151/AVERAGE(Sheet1!J212,Sheet1!I212)</f>
        <v>7.000000000000001E-3</v>
      </c>
      <c r="I9" s="59">
        <f t="shared" si="0"/>
        <v>0</v>
      </c>
      <c r="J9" s="59">
        <v>8.0000000000000002E-3</v>
      </c>
      <c r="K9" s="59">
        <f>Sheet1!N151/AVERAGE(Sheet1!N212,Sheet1!M212)</f>
        <v>7.4999999999999997E-3</v>
      </c>
      <c r="L9" s="21" t="str">
        <f>IF(ABS(I9)&gt;0.001,"Review FY26E: template "&amp;IF(I9&gt;0,"higher","lower")&amp;" than team evidence",IF(ABS(K9-J9)&gt;0.002,"Review FY30E: template "&amp;IF(K9&gt;J9,"higher","lower")&amp;" than team evidence","Within tolerance"))</f>
        <v>Within tolerance</v>
      </c>
      <c r="M9" s="21" t="s">
        <v>1028</v>
      </c>
      <c r="N9" s="21" t="s">
        <v>1029</v>
      </c>
      <c r="O9" s="21" t="s">
        <v>1030</v>
      </c>
    </row>
    <row r="10" spans="1:15" ht="21" customHeight="1">
      <c r="A10" s="132" t="s">
        <v>1031</v>
      </c>
      <c r="B10" s="188">
        <f>IFERROR(Sheet1!F339/Sheet1!E154,"")</f>
        <v>0.25</v>
      </c>
      <c r="C10" s="188">
        <f>IFERROR(Sheet1!G339/Sheet1!F154,"")</f>
        <v>0.1</v>
      </c>
      <c r="D10" s="188">
        <f>IFERROR(Sheet1!H339/Sheet1!G154,"")</f>
        <v>0.15</v>
      </c>
      <c r="E10" s="188">
        <f>IFERROR(Sheet1!I339/Sheet1!H154,"")</f>
        <v>0.15</v>
      </c>
      <c r="F10" s="82">
        <v>0.2</v>
      </c>
      <c r="G10" s="82">
        <v>0.2</v>
      </c>
      <c r="H10" s="188">
        <f>IFERROR(Sheet1!J339/Sheet1!I154,"")</f>
        <v>0.2</v>
      </c>
      <c r="I10" s="189">
        <f t="shared" si="0"/>
        <v>0</v>
      </c>
      <c r="J10" s="82">
        <v>0.3</v>
      </c>
      <c r="K10" s="188">
        <f>IFERROR(Sheet1!N339/Sheet1!M154,"")</f>
        <v>0.3</v>
      </c>
      <c r="L10" s="16" t="str">
        <f>IF(ABS(I10)&gt;0.03,"Review FY26E: template "&amp;IF(I10&gt;0,"higher","lower")&amp;" than team evidence",IF(ABS(K10-J10)&gt;0.06,"Review FY30E: template "&amp;IF(K10&gt;J10,"higher","lower")&amp;" than team evidence","Within tolerance"))</f>
        <v>Within tolerance</v>
      </c>
      <c r="M10" s="16" t="s">
        <v>1032</v>
      </c>
      <c r="N10" s="16" t="s">
        <v>1033</v>
      </c>
      <c r="O10" s="16" t="s">
        <v>1034</v>
      </c>
    </row>
    <row r="11" spans="1:15" ht="21" customHeight="1">
      <c r="A11" s="132" t="s">
        <v>1035</v>
      </c>
      <c r="B11" s="188">
        <f>Sheet1!F347</f>
        <v>0.1455914150552528</v>
      </c>
      <c r="C11" s="188">
        <f>Sheet1!G347</f>
        <v>0.15789974246150132</v>
      </c>
      <c r="D11" s="188">
        <f>Sheet1!H347</f>
        <v>0.16724349606418271</v>
      </c>
      <c r="E11" s="188">
        <f>Sheet1!I347</f>
        <v>0.1560403365776222</v>
      </c>
      <c r="F11" s="82">
        <v>0.16625882194135599</v>
      </c>
      <c r="G11" s="82">
        <v>0.150596933278143</v>
      </c>
      <c r="H11" s="188">
        <f>Sheet1!J347</f>
        <v>0.15199022731428394</v>
      </c>
      <c r="I11" s="189">
        <f t="shared" si="0"/>
        <v>1.3932940361409407E-3</v>
      </c>
      <c r="J11" s="82">
        <v>0.14000000000000001</v>
      </c>
      <c r="K11" s="188">
        <f>Sheet1!N347</f>
        <v>0.15271595223249482</v>
      </c>
      <c r="L11" s="16" t="str">
        <f>IF(ABS(I11)&gt;0.01,"Review FY26E: template "&amp;IF(I11&gt;0,"higher","lower")&amp;" than team evidence",IF(ABS(K11-J11)&gt;0.02,"Review FY30E: template "&amp;IF(K11&gt;J11,"higher","lower")&amp;" than team evidence","Within tolerance"))</f>
        <v>Within tolerance</v>
      </c>
      <c r="M11" s="16" t="s">
        <v>1036</v>
      </c>
      <c r="N11" s="16" t="s">
        <v>1037</v>
      </c>
      <c r="O11" s="16" t="s">
        <v>1038</v>
      </c>
    </row>
    <row r="12" spans="1:15" ht="21" customHeight="1"/>
    <row r="13" spans="1:15" ht="21" customHeight="1">
      <c r="A13" s="10" t="s">
        <v>1039</v>
      </c>
      <c r="B13" s="10"/>
      <c r="C13" s="10"/>
      <c r="D13" s="10"/>
      <c r="E13" s="10"/>
      <c r="F13" s="10"/>
      <c r="G13" s="10"/>
      <c r="H13" s="10"/>
      <c r="I13" s="10"/>
      <c r="J13" s="10"/>
      <c r="K13" s="10"/>
      <c r="L13" s="10"/>
      <c r="M13" s="10"/>
      <c r="N13" s="10"/>
      <c r="O13" s="10"/>
    </row>
  </sheetData>
  <mergeCells count="1">
    <mergeCell ref="A13:O1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F7F7F"/>
  </sheetPr>
  <dimension ref="A1:S55"/>
  <sheetViews>
    <sheetView workbookViewId="0">
      <pane xSplit="4" ySplit="2" topLeftCell="E3" activePane="bottomRight" state="frozen"/>
      <selection pane="topRight"/>
      <selection pane="bottomLeft"/>
      <selection pane="bottomRight" activeCell="E3" sqref="E3"/>
    </sheetView>
  </sheetViews>
  <sheetFormatPr defaultColWidth="10.85546875" defaultRowHeight="15"/>
  <cols>
    <col min="1" max="1" width="3.140625" style="11" customWidth="1"/>
    <col min="2" max="2" width="31" style="11" customWidth="1"/>
    <col min="3" max="3" width="17" style="11" customWidth="1"/>
    <col min="4" max="4" width="18" style="11" customWidth="1"/>
    <col min="5" max="19" width="15.42578125" customWidth="1"/>
  </cols>
  <sheetData>
    <row r="1" spans="2:19" ht="27.95" customHeight="1">
      <c r="B1" s="228" t="s">
        <v>1040</v>
      </c>
      <c r="C1" s="228"/>
      <c r="D1" s="228"/>
      <c r="E1" s="228"/>
      <c r="F1" s="228"/>
      <c r="G1" s="228"/>
      <c r="H1" s="228"/>
      <c r="I1" s="228"/>
      <c r="J1" s="228"/>
      <c r="K1" s="228"/>
      <c r="L1" s="228"/>
      <c r="M1" s="228"/>
      <c r="N1" s="228"/>
      <c r="O1" s="228"/>
      <c r="P1" s="228"/>
      <c r="Q1" s="228"/>
      <c r="R1" s="228"/>
      <c r="S1" s="228"/>
    </row>
    <row r="2" spans="2:19" ht="23.1" customHeight="1">
      <c r="B2" s="6" t="s">
        <v>1041</v>
      </c>
      <c r="C2" s="6"/>
      <c r="D2" s="6"/>
      <c r="E2" s="6"/>
      <c r="F2" s="6"/>
      <c r="G2" s="6"/>
      <c r="H2" s="6"/>
      <c r="I2" s="6"/>
      <c r="J2" s="6"/>
      <c r="K2" s="6"/>
      <c r="L2" s="6"/>
      <c r="M2" s="6"/>
      <c r="N2" s="6"/>
      <c r="O2" s="6"/>
      <c r="P2" s="6"/>
      <c r="Q2" s="6"/>
      <c r="R2" s="6"/>
      <c r="S2" s="6"/>
    </row>
    <row r="4" spans="2:19" ht="27" customHeight="1">
      <c r="B4" s="24" t="s">
        <v>1042</v>
      </c>
      <c r="C4" s="24"/>
      <c r="D4" s="24"/>
      <c r="E4" s="44" t="s">
        <v>223</v>
      </c>
      <c r="F4" s="44" t="s">
        <v>224</v>
      </c>
      <c r="G4" s="44" t="s">
        <v>225</v>
      </c>
      <c r="H4" s="44" t="s">
        <v>226</v>
      </c>
      <c r="I4" s="44" t="s">
        <v>93</v>
      </c>
      <c r="J4" s="44" t="s">
        <v>94</v>
      </c>
      <c r="K4" s="44" t="s">
        <v>227</v>
      </c>
      <c r="L4" s="44" t="s">
        <v>95</v>
      </c>
      <c r="M4" s="44" t="s">
        <v>228</v>
      </c>
      <c r="N4" s="44" t="s">
        <v>96</v>
      </c>
      <c r="O4" s="44" t="s">
        <v>229</v>
      </c>
      <c r="P4" s="44" t="s">
        <v>230</v>
      </c>
      <c r="Q4" s="44" t="s">
        <v>231</v>
      </c>
      <c r="R4" s="44" t="s">
        <v>232</v>
      </c>
      <c r="S4" s="44" t="s">
        <v>97</v>
      </c>
    </row>
    <row r="5" spans="2:19" ht="18" customHeight="1">
      <c r="B5" s="132" t="s">
        <v>1043</v>
      </c>
      <c r="C5" s="132" t="s">
        <v>311</v>
      </c>
      <c r="D5" s="22" t="s">
        <v>1044</v>
      </c>
      <c r="E5" s="193">
        <v>17729.781999999999</v>
      </c>
      <c r="F5" s="193">
        <v>19343.528999999999</v>
      </c>
      <c r="G5" s="193">
        <v>22356.598999999998</v>
      </c>
      <c r="H5" s="193">
        <v>25260.645</v>
      </c>
      <c r="I5" s="193">
        <v>26738.36</v>
      </c>
      <c r="J5" s="194">
        <f>Sheet1!J141</f>
        <v>29781.904506888197</v>
      </c>
      <c r="K5" s="194">
        <f>Sheet1!K141</f>
        <v>33832.447749685598</v>
      </c>
      <c r="L5" s="194">
        <f>Sheet1!L141</f>
        <v>37885.33409210309</v>
      </c>
      <c r="M5" s="194">
        <f>Sheet1!M141</f>
        <v>41841.252306622657</v>
      </c>
      <c r="N5" s="194">
        <f>Sheet1!N141</f>
        <v>46062.6688438001</v>
      </c>
      <c r="O5" s="194">
        <f>Sheet1!O141</f>
        <v>50371.515213801627</v>
      </c>
      <c r="P5" s="194">
        <f>Sheet1!P141</f>
        <v>54759.066945994738</v>
      </c>
      <c r="Q5" s="194">
        <f>Sheet1!Q141</f>
        <v>59174.157290747855</v>
      </c>
      <c r="R5" s="194">
        <f>Sheet1!R141</f>
        <v>63560.252912794611</v>
      </c>
      <c r="S5" s="194">
        <f>Sheet1!S141</f>
        <v>67856.48872409547</v>
      </c>
    </row>
    <row r="6" spans="2:19" ht="18" customHeight="1">
      <c r="B6" s="132" t="s">
        <v>1045</v>
      </c>
      <c r="C6" s="132" t="s">
        <v>311</v>
      </c>
      <c r="D6" s="22" t="s">
        <v>1046</v>
      </c>
      <c r="E6" s="193">
        <v>-4390.3389999999999</v>
      </c>
      <c r="F6" s="193">
        <v>-3997.8719999999998</v>
      </c>
      <c r="G6" s="193">
        <v>-5930.1620000000003</v>
      </c>
      <c r="H6" s="193">
        <v>-7854.1589999999997</v>
      </c>
      <c r="I6" s="193">
        <v>-9169.4680000000008</v>
      </c>
      <c r="J6" s="194">
        <f>-Sheet1!J142</f>
        <v>-8654.9786196447658</v>
      </c>
      <c r="K6" s="194">
        <f>-Sheet1!K142</f>
        <v>-9059.8207590841266</v>
      </c>
      <c r="L6" s="194">
        <f>-Sheet1!L142</f>
        <v>-9318.892539323755</v>
      </c>
      <c r="M6" s="194">
        <f>-Sheet1!M142</f>
        <v>-9900.3845362477732</v>
      </c>
      <c r="N6" s="194">
        <f>-Sheet1!N142</f>
        <v>-10942.059543218493</v>
      </c>
      <c r="O6" s="194">
        <f>-Sheet1!O142</f>
        <v>-11935.533423368192</v>
      </c>
      <c r="P6" s="194">
        <f>-Sheet1!P142</f>
        <v>-12878.930269907663</v>
      </c>
      <c r="Q6" s="194">
        <f>-Sheet1!Q142</f>
        <v>-13828.248377741118</v>
      </c>
      <c r="R6" s="194">
        <f>-Sheet1!R142</f>
        <v>-14771.332136298011</v>
      </c>
      <c r="S6" s="194">
        <f>-Sheet1!S142</f>
        <v>-15695.094535868686</v>
      </c>
    </row>
    <row r="7" spans="2:19" ht="22.5" customHeight="1">
      <c r="B7" s="35" t="s">
        <v>1047</v>
      </c>
      <c r="C7" s="35" t="s">
        <v>311</v>
      </c>
      <c r="D7" s="36" t="s">
        <v>1048</v>
      </c>
      <c r="E7" s="195">
        <v>998.49599999999998</v>
      </c>
      <c r="F7" s="195">
        <v>1377.8820000000001</v>
      </c>
      <c r="G7" s="195">
        <v>1703.364</v>
      </c>
      <c r="H7" s="195">
        <v>2097.759</v>
      </c>
      <c r="I7" s="195">
        <v>2163.5369999999998</v>
      </c>
      <c r="J7" s="195">
        <v>0</v>
      </c>
      <c r="K7" s="195">
        <v>0</v>
      </c>
      <c r="L7" s="195">
        <v>0</v>
      </c>
      <c r="M7" s="195">
        <v>0</v>
      </c>
      <c r="N7" s="195">
        <v>0</v>
      </c>
      <c r="O7" s="195">
        <v>0</v>
      </c>
      <c r="P7" s="195">
        <v>0</v>
      </c>
      <c r="Q7" s="195">
        <v>0</v>
      </c>
      <c r="R7" s="195">
        <v>0</v>
      </c>
      <c r="S7" s="195">
        <v>0</v>
      </c>
    </row>
    <row r="8" spans="2:19" ht="18" customHeight="1">
      <c r="B8" s="132" t="s">
        <v>1049</v>
      </c>
      <c r="C8" s="132" t="s">
        <v>311</v>
      </c>
      <c r="D8" s="22" t="s">
        <v>1050</v>
      </c>
      <c r="E8" s="193">
        <v>2249.71</v>
      </c>
      <c r="F8" s="193">
        <v>2723.0830000000001</v>
      </c>
      <c r="G8" s="193">
        <v>3115.8159999999998</v>
      </c>
      <c r="H8" s="193">
        <v>4266.3710000000001</v>
      </c>
      <c r="I8" s="193">
        <v>5333.634</v>
      </c>
      <c r="J8" s="194">
        <f>Sheet1!J144</f>
        <v>8670.744999999999</v>
      </c>
      <c r="K8" s="194">
        <f>Sheet1!K144</f>
        <v>9971.3567499999972</v>
      </c>
      <c r="L8" s="194">
        <f>Sheet1!L144</f>
        <v>11167.919559999998</v>
      </c>
      <c r="M8" s="194">
        <f>Sheet1!M144</f>
        <v>12284.711515999999</v>
      </c>
      <c r="N8" s="194">
        <f>Sheet1!N144</f>
        <v>13513.1826676</v>
      </c>
      <c r="O8" s="194">
        <f>Sheet1!O144</f>
        <v>14783.421838354401</v>
      </c>
      <c r="P8" s="194">
        <f>Sheet1!P144</f>
        <v>16084.362960129589</v>
      </c>
      <c r="Q8" s="194">
        <f>Sheet1!Q144</f>
        <v>17403.280722860218</v>
      </c>
      <c r="R8" s="194">
        <f>Sheet1!R144</f>
        <v>18725.930057797596</v>
      </c>
      <c r="S8" s="194">
        <f>Sheet1!S144</f>
        <v>20036.745161843428</v>
      </c>
    </row>
    <row r="9" spans="2:19" ht="18" customHeight="1">
      <c r="B9" s="132" t="s">
        <v>1051</v>
      </c>
      <c r="C9" s="132" t="s">
        <v>311</v>
      </c>
      <c r="D9" s="22" t="s">
        <v>1052</v>
      </c>
      <c r="E9" s="193">
        <v>-51.66</v>
      </c>
      <c r="F9" s="193">
        <v>-75.784000000000006</v>
      </c>
      <c r="G9" s="193">
        <v>-91.573999999999998</v>
      </c>
      <c r="H9" s="193">
        <v>-110.22799999999999</v>
      </c>
      <c r="I9" s="193">
        <v>-142.29900000000001</v>
      </c>
      <c r="J9" s="196">
        <v>0</v>
      </c>
      <c r="K9" s="196">
        <v>0</v>
      </c>
      <c r="L9" s="196">
        <v>0</v>
      </c>
      <c r="M9" s="196">
        <v>0</v>
      </c>
      <c r="N9" s="196">
        <v>0</v>
      </c>
      <c r="O9" s="196">
        <v>0</v>
      </c>
      <c r="P9" s="196">
        <v>0</v>
      </c>
      <c r="Q9" s="196">
        <v>0</v>
      </c>
      <c r="R9" s="196">
        <v>0</v>
      </c>
      <c r="S9" s="196">
        <v>0</v>
      </c>
    </row>
    <row r="10" spans="2:19" ht="18" customHeight="1">
      <c r="B10" s="132" t="s">
        <v>1053</v>
      </c>
      <c r="C10" s="132" t="s">
        <v>311</v>
      </c>
      <c r="D10" s="22" t="s">
        <v>1054</v>
      </c>
      <c r="E10" s="193">
        <v>-10191.040000000001</v>
      </c>
      <c r="F10" s="193">
        <v>-11781.973</v>
      </c>
      <c r="G10" s="193">
        <v>-12698.368</v>
      </c>
      <c r="H10" s="193">
        <v>-14283.894</v>
      </c>
      <c r="I10" s="193">
        <v>-12984.707</v>
      </c>
      <c r="J10" s="194">
        <f>-(Sheet1!J149-Sheet1!J265)</f>
        <v>-13718.989732272274</v>
      </c>
      <c r="K10" s="194">
        <f>-(Sheet1!K149-Sheet1!K265)</f>
        <v>-15531.352860194951</v>
      </c>
      <c r="L10" s="194">
        <f>-(Sheet1!L149-Sheet1!L265)</f>
        <v>-17836.138595648918</v>
      </c>
      <c r="M10" s="194">
        <f>-(Sheet1!M149-Sheet1!M265)</f>
        <v>-19779.964743530072</v>
      </c>
      <c r="N10" s="194">
        <f>-(Sheet1!N149-Sheet1!N265)</f>
        <v>-21597.307039130381</v>
      </c>
      <c r="O10" s="194">
        <f>-(Sheet1!O149-Sheet1!O265)</f>
        <v>-23693.286383355786</v>
      </c>
      <c r="P10" s="194">
        <f>-(Sheet1!P149-Sheet1!P265)</f>
        <v>-25841.666718158271</v>
      </c>
      <c r="Q10" s="194">
        <f>-(Sheet1!Q149-Sheet1!Q265)</f>
        <v>-27986.126733478373</v>
      </c>
      <c r="R10" s="194">
        <f>-(Sheet1!R149-Sheet1!R265)</f>
        <v>-30101.837860976597</v>
      </c>
      <c r="S10" s="194">
        <f>-(Sheet1!S149-Sheet1!S265)</f>
        <v>-32161.553056627607</v>
      </c>
    </row>
    <row r="11" spans="2:19" ht="18" customHeight="1">
      <c r="B11" s="132" t="s">
        <v>1055</v>
      </c>
      <c r="C11" s="132" t="s">
        <v>311</v>
      </c>
      <c r="D11" s="22" t="s">
        <v>1056</v>
      </c>
      <c r="E11" s="193">
        <v>65.766000000000005</v>
      </c>
      <c r="F11" s="193">
        <v>24.902999999999999</v>
      </c>
      <c r="G11" s="193">
        <v>25.571000000000002</v>
      </c>
      <c r="H11" s="193">
        <v>112.28700000000001</v>
      </c>
      <c r="I11" s="193">
        <v>58.064</v>
      </c>
      <c r="J11" s="196">
        <v>0</v>
      </c>
      <c r="K11" s="196">
        <v>0</v>
      </c>
      <c r="L11" s="196">
        <v>0</v>
      </c>
      <c r="M11" s="196">
        <v>0</v>
      </c>
      <c r="N11" s="196">
        <v>0</v>
      </c>
      <c r="O11" s="196">
        <v>0</v>
      </c>
      <c r="P11" s="196">
        <v>0</v>
      </c>
      <c r="Q11" s="196">
        <v>0</v>
      </c>
      <c r="R11" s="196">
        <v>0</v>
      </c>
      <c r="S11" s="196">
        <v>0</v>
      </c>
    </row>
    <row r="12" spans="2:19" ht="18" customHeight="1">
      <c r="B12" s="132" t="s">
        <v>1057</v>
      </c>
      <c r="C12" s="132" t="s">
        <v>311</v>
      </c>
      <c r="D12" s="22" t="s">
        <v>1058</v>
      </c>
      <c r="E12" s="193">
        <v>-1344.08</v>
      </c>
      <c r="F12" s="193">
        <v>-1446.72</v>
      </c>
      <c r="G12" s="193">
        <v>-1855.1969999999999</v>
      </c>
      <c r="H12" s="193">
        <v>-1985.972</v>
      </c>
      <c r="I12" s="193">
        <v>-2571.3609999999999</v>
      </c>
      <c r="J12" s="194">
        <f>-Sheet1!J153</f>
        <v>-2744.2646895637067</v>
      </c>
      <c r="K12" s="194">
        <f>-Sheet1!K153</f>
        <v>-3383.1333635247929</v>
      </c>
      <c r="L12" s="194">
        <f>-Sheet1!L153</f>
        <v>-3933.3859950677906</v>
      </c>
      <c r="M12" s="194">
        <f>-Sheet1!M153</f>
        <v>-4434.047019704818</v>
      </c>
      <c r="N12" s="194">
        <f>-Sheet1!N153</f>
        <v>-4933.4401665013856</v>
      </c>
      <c r="O12" s="194">
        <f>-Sheet1!O153</f>
        <v>-5398.1769650896231</v>
      </c>
      <c r="P12" s="194">
        <f>-Sheet1!P153</f>
        <v>-5880.6152434014903</v>
      </c>
      <c r="Q12" s="194">
        <f>-Sheet1!Q153</f>
        <v>-6367.2752058349961</v>
      </c>
      <c r="R12" s="194">
        <f>-Sheet1!R153</f>
        <v>-6852.2469433524811</v>
      </c>
      <c r="S12" s="194">
        <f>-Sheet1!S153</f>
        <v>-7329.1398231595222</v>
      </c>
    </row>
    <row r="13" spans="2:19" ht="18" customHeight="1">
      <c r="B13" s="132" t="s">
        <v>1059</v>
      </c>
      <c r="C13" s="132" t="s">
        <v>311</v>
      </c>
      <c r="D13" s="22" t="s">
        <v>1056</v>
      </c>
      <c r="E13" s="193">
        <v>-127.611</v>
      </c>
      <c r="F13" s="193">
        <v>-170.77099999999999</v>
      </c>
      <c r="G13" s="193">
        <v>-205.881</v>
      </c>
      <c r="H13" s="193">
        <v>-268.34800000000001</v>
      </c>
      <c r="I13" s="193">
        <v>-316.13600000000002</v>
      </c>
      <c r="J13" s="196">
        <v>0</v>
      </c>
      <c r="K13" s="196">
        <v>0</v>
      </c>
      <c r="L13" s="196">
        <v>0</v>
      </c>
      <c r="M13" s="196">
        <v>0</v>
      </c>
      <c r="N13" s="196">
        <v>0</v>
      </c>
      <c r="O13" s="196">
        <v>0</v>
      </c>
      <c r="P13" s="196">
        <v>0</v>
      </c>
      <c r="Q13" s="196">
        <v>0</v>
      </c>
      <c r="R13" s="196">
        <v>0</v>
      </c>
      <c r="S13" s="196">
        <v>0</v>
      </c>
    </row>
    <row r="14" spans="2:19" ht="18" customHeight="1">
      <c r="B14" s="132" t="s">
        <v>1060</v>
      </c>
      <c r="C14" s="132" t="s">
        <v>311</v>
      </c>
      <c r="D14" s="22" t="s">
        <v>1052</v>
      </c>
      <c r="E14" s="193">
        <v>-59.529000000000003</v>
      </c>
      <c r="F14" s="193">
        <v>-108.831</v>
      </c>
      <c r="G14" s="193">
        <v>-80.736000000000004</v>
      </c>
      <c r="H14" s="193">
        <v>-117.02800000000001</v>
      </c>
      <c r="I14" s="193">
        <v>-130.947</v>
      </c>
      <c r="J14" s="196">
        <v>0</v>
      </c>
      <c r="K14" s="196">
        <v>0</v>
      </c>
      <c r="L14" s="196">
        <v>0</v>
      </c>
      <c r="M14" s="196">
        <v>0</v>
      </c>
      <c r="N14" s="196">
        <v>0</v>
      </c>
      <c r="O14" s="196">
        <v>0</v>
      </c>
      <c r="P14" s="196">
        <v>0</v>
      </c>
      <c r="Q14" s="196">
        <v>0</v>
      </c>
      <c r="R14" s="196">
        <v>0</v>
      </c>
      <c r="S14" s="196">
        <v>0</v>
      </c>
    </row>
    <row r="15" spans="2:19" ht="18" customHeight="1">
      <c r="B15" s="73" t="s">
        <v>1061</v>
      </c>
      <c r="C15" s="132" t="s">
        <v>311</v>
      </c>
      <c r="D15" s="22" t="s">
        <v>1062</v>
      </c>
      <c r="E15" s="197">
        <f t="shared" ref="E15:S15" si="0">SUM(E5:E14)</f>
        <v>4879.4949999999963</v>
      </c>
      <c r="F15" s="197">
        <f t="shared" si="0"/>
        <v>5887.4459999999999</v>
      </c>
      <c r="G15" s="197">
        <f t="shared" si="0"/>
        <v>6339.4319999999971</v>
      </c>
      <c r="H15" s="197">
        <f t="shared" si="0"/>
        <v>7117.4330000000027</v>
      </c>
      <c r="I15" s="197">
        <f t="shared" si="0"/>
        <v>8978.6770000000015</v>
      </c>
      <c r="J15" s="197">
        <f t="shared" si="0"/>
        <v>13334.416465407448</v>
      </c>
      <c r="K15" s="197">
        <f t="shared" si="0"/>
        <v>15829.497516881725</v>
      </c>
      <c r="L15" s="197">
        <f t="shared" si="0"/>
        <v>17964.836522062626</v>
      </c>
      <c r="M15" s="197">
        <f t="shared" si="0"/>
        <v>20011.567523139987</v>
      </c>
      <c r="N15" s="197">
        <f t="shared" si="0"/>
        <v>22103.044762549838</v>
      </c>
      <c r="O15" s="197">
        <f t="shared" si="0"/>
        <v>24127.940280342424</v>
      </c>
      <c r="P15" s="197">
        <f t="shared" si="0"/>
        <v>26242.217674656902</v>
      </c>
      <c r="Q15" s="197">
        <f t="shared" si="0"/>
        <v>28395.787696553591</v>
      </c>
      <c r="R15" s="197">
        <f t="shared" si="0"/>
        <v>30560.766029965118</v>
      </c>
      <c r="S15" s="197">
        <f t="shared" si="0"/>
        <v>32707.446470283081</v>
      </c>
    </row>
    <row r="16" spans="2:19" ht="18" customHeight="1">
      <c r="B16" s="132" t="s">
        <v>1063</v>
      </c>
      <c r="C16" s="132" t="s">
        <v>311</v>
      </c>
      <c r="D16" s="22" t="s">
        <v>1064</v>
      </c>
      <c r="E16" s="193">
        <v>4879.4949999999999</v>
      </c>
      <c r="F16" s="193">
        <v>5887.4459999999999</v>
      </c>
      <c r="G16" s="193">
        <v>6339.4319999999998</v>
      </c>
      <c r="H16" s="193">
        <v>7117.433</v>
      </c>
      <c r="I16" s="193">
        <v>8978.6769999999997</v>
      </c>
      <c r="J16" s="198"/>
      <c r="K16" s="198"/>
      <c r="L16" s="198"/>
      <c r="M16" s="198"/>
      <c r="N16" s="198"/>
      <c r="O16" s="198"/>
      <c r="P16" s="198"/>
      <c r="Q16" s="198"/>
      <c r="R16" s="198"/>
      <c r="S16" s="198"/>
    </row>
    <row r="17" spans="2:19" ht="18" customHeight="1">
      <c r="B17" s="132" t="s">
        <v>1065</v>
      </c>
      <c r="C17" s="132" t="s">
        <v>311</v>
      </c>
      <c r="D17" s="22" t="s">
        <v>1066</v>
      </c>
      <c r="E17" s="193">
        <v>-15205.329</v>
      </c>
      <c r="F17" s="193">
        <v>-35830.69</v>
      </c>
      <c r="G17" s="193">
        <v>-31905.653999999999</v>
      </c>
      <c r="H17" s="193">
        <v>-37233.050000000003</v>
      </c>
      <c r="I17" s="193">
        <v>-42243.813999999998</v>
      </c>
      <c r="J17" s="194">
        <f>Sheet1!J190</f>
        <v>-46440.80762632002</v>
      </c>
      <c r="K17" s="194">
        <f>Sheet1!K190</f>
        <v>-48449.858976439951</v>
      </c>
      <c r="L17" s="194">
        <f>Sheet1!L190</f>
        <v>-49569.126881800679</v>
      </c>
      <c r="M17" s="194">
        <f>Sheet1!M190</f>
        <v>-51037.885457200857</v>
      </c>
      <c r="N17" s="194">
        <f>Sheet1!N190</f>
        <v>-52225.041860589867</v>
      </c>
      <c r="O17" s="194">
        <f>Sheet1!O190</f>
        <v>-53768.851017745961</v>
      </c>
      <c r="P17" s="194">
        <f>Sheet1!P190</f>
        <v>-54772.976524671452</v>
      </c>
      <c r="Q17" s="194">
        <f>Sheet1!Q190</f>
        <v>-55166.998704837017</v>
      </c>
      <c r="R17" s="194">
        <f>Sheet1!R190</f>
        <v>-54890.289139346802</v>
      </c>
      <c r="S17" s="194">
        <f>Sheet1!S190</f>
        <v>-53895.018196489822</v>
      </c>
    </row>
    <row r="18" spans="2:19" ht="18" customHeight="1">
      <c r="B18" s="132" t="s">
        <v>1067</v>
      </c>
      <c r="C18" s="132" t="s">
        <v>311</v>
      </c>
      <c r="D18" s="22" t="s">
        <v>1068</v>
      </c>
      <c r="E18" s="193">
        <v>23434.959999999999</v>
      </c>
      <c r="F18" s="193">
        <v>28163.358</v>
      </c>
      <c r="G18" s="193">
        <v>32131.213</v>
      </c>
      <c r="H18" s="193">
        <v>35314.813999999998</v>
      </c>
      <c r="I18" s="193">
        <v>52388.061999999998</v>
      </c>
      <c r="J18" s="194">
        <f>Sheet1!J194</f>
        <v>48564.694117647072</v>
      </c>
      <c r="K18" s="194">
        <f>Sheet1!K194</f>
        <v>49890.788905608701</v>
      </c>
      <c r="L18" s="194">
        <f>Sheet1!L194</f>
        <v>49134.10011697415</v>
      </c>
      <c r="M18" s="194">
        <f>Sheet1!M194</f>
        <v>56421.687158114975</v>
      </c>
      <c r="N18" s="194">
        <f>Sheet1!N194</f>
        <v>57392.637533460744</v>
      </c>
      <c r="O18" s="194">
        <f>Sheet1!O194</f>
        <v>58778.897656803019</v>
      </c>
      <c r="P18" s="194">
        <f>Sheet1!P194</f>
        <v>59514.626104963128</v>
      </c>
      <c r="Q18" s="194">
        <f>Sheet1!Q194</f>
        <v>59521.370844145655</v>
      </c>
      <c r="R18" s="194">
        <f>Sheet1!R194</f>
        <v>58732.894485877361</v>
      </c>
      <c r="S18" s="194">
        <f>Sheet1!S194</f>
        <v>57098.645300033502</v>
      </c>
    </row>
    <row r="19" spans="2:19" ht="18" customHeight="1">
      <c r="B19" s="132" t="s">
        <v>1069</v>
      </c>
      <c r="C19" s="132" t="s">
        <v>311</v>
      </c>
      <c r="D19" s="22" t="s">
        <v>1070</v>
      </c>
      <c r="E19" s="193">
        <v>3587.6680000000001</v>
      </c>
      <c r="F19" s="193">
        <v>3665.4160000000002</v>
      </c>
      <c r="G19" s="193">
        <v>-4523.9560000000001</v>
      </c>
      <c r="H19" s="193">
        <v>1623.655</v>
      </c>
      <c r="I19" s="193">
        <v>-4957.3649999999998</v>
      </c>
      <c r="J19" s="194">
        <f>Sheet1!J187+Sheet1!J188</f>
        <v>-218.61222738084871</v>
      </c>
      <c r="K19" s="194">
        <f>Sheet1!K187+Sheet1!K188</f>
        <v>-289.74482584642647</v>
      </c>
      <c r="L19" s="194">
        <f>Sheet1!L187+Sheet1!L188</f>
        <v>-292.32603465992906</v>
      </c>
      <c r="M19" s="194">
        <f>Sheet1!M187+Sheet1!M188</f>
        <v>-263.08631623721158</v>
      </c>
      <c r="N19" s="194">
        <f>Sheet1!N187+Sheet1!N188</f>
        <v>-258.22402538022834</v>
      </c>
      <c r="O19" s="194">
        <f>Sheet1!O187+Sheet1!O188</f>
        <v>-268.61569241413054</v>
      </c>
      <c r="P19" s="194">
        <f>Sheet1!P187+Sheet1!P188</f>
        <v>-277.95795718090267</v>
      </c>
      <c r="Q19" s="194">
        <f>Sheet1!Q187+Sheet1!Q188</f>
        <v>-280.27729174805427</v>
      </c>
      <c r="R19" s="194">
        <f>Sheet1!R187+Sheet1!R188</f>
        <v>-279.16262373980862</v>
      </c>
      <c r="S19" s="194">
        <f>Sheet1!S187+Sheet1!S188</f>
        <v>-274.33740153958206</v>
      </c>
    </row>
    <row r="20" spans="2:19" ht="22.5" customHeight="1">
      <c r="B20" s="199" t="s">
        <v>1071</v>
      </c>
      <c r="C20" s="199" t="s">
        <v>311</v>
      </c>
      <c r="D20" s="200"/>
      <c r="E20" s="201">
        <f t="shared" ref="E20:S20" si="1">E15+E17+E18+E19</f>
        <v>16696.793999999998</v>
      </c>
      <c r="F20" s="201">
        <f t="shared" si="1"/>
        <v>1885.5299999999979</v>
      </c>
      <c r="G20" s="201">
        <f t="shared" si="1"/>
        <v>2041.034999999998</v>
      </c>
      <c r="H20" s="201">
        <f t="shared" si="1"/>
        <v>6822.8519999999999</v>
      </c>
      <c r="I20" s="201">
        <f t="shared" si="1"/>
        <v>14165.560000000003</v>
      </c>
      <c r="J20" s="201">
        <f t="shared" si="1"/>
        <v>15239.690729353651</v>
      </c>
      <c r="K20" s="201">
        <f t="shared" si="1"/>
        <v>16980.682620204047</v>
      </c>
      <c r="L20" s="201">
        <f t="shared" si="1"/>
        <v>17237.483722576166</v>
      </c>
      <c r="M20" s="201">
        <f t="shared" si="1"/>
        <v>25132.282907816894</v>
      </c>
      <c r="N20" s="201">
        <f t="shared" si="1"/>
        <v>27012.416410040489</v>
      </c>
      <c r="O20" s="201">
        <f t="shared" si="1"/>
        <v>28869.371226985349</v>
      </c>
      <c r="P20" s="201">
        <f t="shared" si="1"/>
        <v>30705.909297767677</v>
      </c>
      <c r="Q20" s="201">
        <f t="shared" si="1"/>
        <v>32469.882544114174</v>
      </c>
      <c r="R20" s="201">
        <f t="shared" si="1"/>
        <v>34124.208752755869</v>
      </c>
      <c r="S20" s="201">
        <f t="shared" si="1"/>
        <v>35636.736172287179</v>
      </c>
    </row>
    <row r="21" spans="2:19" ht="22.5" customHeight="1">
      <c r="B21" s="35" t="s">
        <v>1072</v>
      </c>
      <c r="C21" s="35" t="s">
        <v>311</v>
      </c>
      <c r="D21" s="36" t="s">
        <v>1064</v>
      </c>
      <c r="E21" s="195">
        <v>16696.794000000002</v>
      </c>
      <c r="F21" s="195">
        <v>1885.53</v>
      </c>
      <c r="G21" s="195">
        <v>2041.0350000000001</v>
      </c>
      <c r="H21" s="195">
        <v>6822.8519999999999</v>
      </c>
      <c r="I21" s="195">
        <v>14165.56</v>
      </c>
      <c r="J21" s="195"/>
      <c r="K21" s="195"/>
      <c r="L21" s="195"/>
      <c r="M21" s="195"/>
      <c r="N21" s="195"/>
      <c r="O21" s="195"/>
      <c r="P21" s="195"/>
      <c r="Q21" s="195"/>
      <c r="R21" s="195"/>
      <c r="S21" s="195"/>
    </row>
    <row r="22" spans="2:19" ht="18" customHeight="1"/>
    <row r="23" spans="2:19" ht="27" customHeight="1">
      <c r="B23" s="24" t="s">
        <v>1073</v>
      </c>
      <c r="C23" s="24"/>
      <c r="D23" s="24"/>
      <c r="E23" s="44" t="s">
        <v>223</v>
      </c>
      <c r="F23" s="44" t="s">
        <v>224</v>
      </c>
      <c r="G23" s="44" t="s">
        <v>225</v>
      </c>
      <c r="H23" s="44" t="s">
        <v>226</v>
      </c>
      <c r="I23" s="44" t="s">
        <v>93</v>
      </c>
      <c r="J23" s="44" t="s">
        <v>94</v>
      </c>
      <c r="K23" s="44" t="s">
        <v>227</v>
      </c>
      <c r="L23" s="44" t="s">
        <v>95</v>
      </c>
      <c r="M23" s="44" t="s">
        <v>228</v>
      </c>
      <c r="N23" s="44" t="s">
        <v>96</v>
      </c>
      <c r="O23" s="44" t="s">
        <v>229</v>
      </c>
      <c r="P23" s="44" t="s">
        <v>230</v>
      </c>
      <c r="Q23" s="44" t="s">
        <v>231</v>
      </c>
      <c r="R23" s="44" t="s">
        <v>232</v>
      </c>
      <c r="S23" s="44" t="s">
        <v>97</v>
      </c>
    </row>
    <row r="24" spans="2:19" ht="18" customHeight="1">
      <c r="B24" s="132" t="s">
        <v>1074</v>
      </c>
      <c r="C24" s="132" t="s">
        <v>311</v>
      </c>
      <c r="D24" s="22" t="s">
        <v>1075</v>
      </c>
      <c r="E24" s="193">
        <v>-15803.52</v>
      </c>
      <c r="F24" s="193">
        <v>8036.5050000000001</v>
      </c>
      <c r="G24" s="193">
        <v>-9592.0049999999992</v>
      </c>
      <c r="H24" s="193">
        <v>10424.931</v>
      </c>
      <c r="I24" s="193">
        <v>9370.4660000000003</v>
      </c>
      <c r="J24" s="194">
        <f>Sheet1!J191</f>
        <v>-7705.458918898541</v>
      </c>
      <c r="K24" s="194">
        <f>Sheet1!K191</f>
        <v>-7915.8621572356205</v>
      </c>
      <c r="L24" s="194">
        <f>Sheet1!L191</f>
        <v>-7795.8030385456223</v>
      </c>
      <c r="M24" s="194">
        <f>Sheet1!M191</f>
        <v>-8952.0792919772939</v>
      </c>
      <c r="N24" s="194">
        <f>Sheet1!N191</f>
        <v>-9106.1339682281396</v>
      </c>
      <c r="O24" s="194">
        <f>Sheet1!O191</f>
        <v>-9326.083267310416</v>
      </c>
      <c r="P24" s="194">
        <f>Sheet1!P191</f>
        <v>-9442.8167387295689</v>
      </c>
      <c r="Q24" s="194">
        <f>Sheet1!Q191</f>
        <v>-9443.8868846788828</v>
      </c>
      <c r="R24" s="194">
        <f>Sheet1!R191</f>
        <v>-9318.7842293951689</v>
      </c>
      <c r="S24" s="194">
        <f>Sheet1!S191</f>
        <v>-9059.4880432757491</v>
      </c>
    </row>
    <row r="25" spans="2:19" ht="22.5" customHeight="1">
      <c r="B25" s="35" t="s">
        <v>1076</v>
      </c>
      <c r="C25" s="35" t="s">
        <v>311</v>
      </c>
      <c r="D25" s="36" t="s">
        <v>1077</v>
      </c>
      <c r="E25" s="195">
        <v>-787.50400000000002</v>
      </c>
      <c r="F25" s="195">
        <v>-2041.797</v>
      </c>
      <c r="G25" s="195">
        <v>-1812.354</v>
      </c>
      <c r="H25" s="195">
        <v>-4079.4479999999999</v>
      </c>
      <c r="I25" s="195">
        <v>-2956.6390000000001</v>
      </c>
      <c r="J25" s="195">
        <f>Sheet1!J192</f>
        <v>-2383.8136709794744</v>
      </c>
      <c r="K25" s="195">
        <f>Sheet1!K192</f>
        <v>-2779.5186992481176</v>
      </c>
      <c r="L25" s="195">
        <f>Sheet1!L192</f>
        <v>-3178.7488890223467</v>
      </c>
      <c r="M25" s="195">
        <f>Sheet1!M192</f>
        <v>-3538.0463429099905</v>
      </c>
      <c r="N25" s="195">
        <f>Sheet1!N192</f>
        <v>-3890.7033574545285</v>
      </c>
      <c r="O25" s="195">
        <f>Sheet1!O192</f>
        <v>-4257.5522903030269</v>
      </c>
      <c r="P25" s="195">
        <f>Sheet1!P192</f>
        <v>-4637.1599708973336</v>
      </c>
      <c r="Q25" s="195">
        <f>Sheet1!Q192</f>
        <v>-5019.9351708693566</v>
      </c>
      <c r="R25" s="195">
        <f>Sheet1!R192</f>
        <v>-5401.1880667435353</v>
      </c>
      <c r="S25" s="195">
        <f>Sheet1!S192</f>
        <v>-5775.8511480056168</v>
      </c>
    </row>
    <row r="26" spans="2:19" ht="18" customHeight="1">
      <c r="B26" s="202" t="s">
        <v>1078</v>
      </c>
      <c r="C26" s="202" t="s">
        <v>311</v>
      </c>
      <c r="D26" s="203"/>
      <c r="E26" s="204">
        <f t="shared" ref="E26:S26" si="2">E24+E25</f>
        <v>-16591.024000000001</v>
      </c>
      <c r="F26" s="204">
        <f t="shared" si="2"/>
        <v>5994.7080000000005</v>
      </c>
      <c r="G26" s="204">
        <f t="shared" si="2"/>
        <v>-11404.358999999999</v>
      </c>
      <c r="H26" s="204">
        <f t="shared" si="2"/>
        <v>6345.4830000000002</v>
      </c>
      <c r="I26" s="204">
        <f t="shared" si="2"/>
        <v>6413.8270000000002</v>
      </c>
      <c r="J26" s="204">
        <f t="shared" si="2"/>
        <v>-10089.272589878015</v>
      </c>
      <c r="K26" s="204">
        <f t="shared" si="2"/>
        <v>-10695.380856483738</v>
      </c>
      <c r="L26" s="204">
        <f t="shared" si="2"/>
        <v>-10974.551927567969</v>
      </c>
      <c r="M26" s="204">
        <f t="shared" si="2"/>
        <v>-12490.125634887285</v>
      </c>
      <c r="N26" s="204">
        <f t="shared" si="2"/>
        <v>-12996.837325682667</v>
      </c>
      <c r="O26" s="204">
        <f t="shared" si="2"/>
        <v>-13583.635557613443</v>
      </c>
      <c r="P26" s="204">
        <f t="shared" si="2"/>
        <v>-14079.976709626902</v>
      </c>
      <c r="Q26" s="204">
        <f t="shared" si="2"/>
        <v>-14463.82205554824</v>
      </c>
      <c r="R26" s="204">
        <f t="shared" si="2"/>
        <v>-14719.972296138705</v>
      </c>
      <c r="S26" s="204">
        <f t="shared" si="2"/>
        <v>-14835.339191281366</v>
      </c>
    </row>
    <row r="27" spans="2:19" ht="18" customHeight="1">
      <c r="B27" s="132" t="s">
        <v>1079</v>
      </c>
      <c r="C27" s="132" t="s">
        <v>311</v>
      </c>
      <c r="D27" s="22" t="s">
        <v>1064</v>
      </c>
      <c r="E27" s="193">
        <v>-16591.024000000001</v>
      </c>
      <c r="F27" s="193">
        <v>5994.7079999999996</v>
      </c>
      <c r="G27" s="193">
        <v>-11404.359</v>
      </c>
      <c r="H27" s="193">
        <v>6345.4830000000002</v>
      </c>
      <c r="I27" s="193">
        <v>6413.8270000000002</v>
      </c>
      <c r="J27" s="198"/>
      <c r="K27" s="198"/>
      <c r="L27" s="198"/>
      <c r="M27" s="198"/>
      <c r="N27" s="198"/>
      <c r="O27" s="198"/>
      <c r="P27" s="198"/>
      <c r="Q27" s="198"/>
      <c r="R27" s="198"/>
      <c r="S27" s="198"/>
    </row>
    <row r="28" spans="2:19" ht="18" customHeight="1"/>
    <row r="29" spans="2:19" ht="27" customHeight="1">
      <c r="B29" s="24" t="s">
        <v>1080</v>
      </c>
      <c r="C29" s="24"/>
      <c r="D29" s="24"/>
      <c r="E29" s="44" t="s">
        <v>223</v>
      </c>
      <c r="F29" s="44" t="s">
        <v>224</v>
      </c>
      <c r="G29" s="44" t="s">
        <v>225</v>
      </c>
      <c r="H29" s="44" t="s">
        <v>226</v>
      </c>
      <c r="I29" s="44" t="s">
        <v>93</v>
      </c>
      <c r="J29" s="44" t="s">
        <v>94</v>
      </c>
      <c r="K29" s="44" t="s">
        <v>227</v>
      </c>
      <c r="L29" s="44" t="s">
        <v>95</v>
      </c>
      <c r="M29" s="44" t="s">
        <v>228</v>
      </c>
      <c r="N29" s="44" t="s">
        <v>96</v>
      </c>
      <c r="O29" s="44" t="s">
        <v>229</v>
      </c>
      <c r="P29" s="44" t="s">
        <v>230</v>
      </c>
      <c r="Q29" s="44" t="s">
        <v>231</v>
      </c>
      <c r="R29" s="44" t="s">
        <v>232</v>
      </c>
      <c r="S29" s="44" t="s">
        <v>97</v>
      </c>
    </row>
    <row r="30" spans="2:19" ht="18" customHeight="1">
      <c r="B30" s="132" t="s">
        <v>1081</v>
      </c>
      <c r="C30" s="132" t="s">
        <v>311</v>
      </c>
      <c r="D30" s="22" t="s">
        <v>1082</v>
      </c>
      <c r="E30" s="193">
        <v>-130.215</v>
      </c>
      <c r="F30" s="193">
        <v>-124.19199999999999</v>
      </c>
      <c r="G30" s="193">
        <v>-134.74199999999999</v>
      </c>
      <c r="H30" s="193">
        <v>-151.91300000000001</v>
      </c>
      <c r="I30" s="193">
        <v>-474.17700000000002</v>
      </c>
      <c r="J30" s="194">
        <f>Sheet1!J196</f>
        <v>-287.84192402961844</v>
      </c>
      <c r="K30" s="194">
        <f>Sheet1!K196</f>
        <v>-141.23990786324975</v>
      </c>
      <c r="L30" s="194">
        <f>Sheet1!L196</f>
        <v>-23.165133591398899</v>
      </c>
      <c r="M30" s="194">
        <f>Sheet1!M196</f>
        <v>62.309820251600286</v>
      </c>
      <c r="N30" s="194">
        <f>Sheet1!N196</f>
        <v>129.19568447380152</v>
      </c>
      <c r="O30" s="194">
        <f>Sheet1!O196</f>
        <v>185.89755746995434</v>
      </c>
      <c r="P30" s="194">
        <f>Sheet1!P196</f>
        <v>234.12977410968142</v>
      </c>
      <c r="Q30" s="194">
        <f>Sheet1!Q196</f>
        <v>273.42823928145208</v>
      </c>
      <c r="R30" s="194">
        <f>Sheet1!R196</f>
        <v>304.52449299685031</v>
      </c>
      <c r="S30" s="194">
        <f>Sheet1!S196</f>
        <v>327.91878768145034</v>
      </c>
    </row>
    <row r="31" spans="2:19" ht="18" customHeight="1">
      <c r="B31" s="132" t="s">
        <v>1083</v>
      </c>
      <c r="C31" s="132" t="s">
        <v>311</v>
      </c>
      <c r="D31" s="22" t="s">
        <v>1084</v>
      </c>
      <c r="E31" s="193">
        <v>0</v>
      </c>
      <c r="F31" s="193">
        <v>-757.05100000000004</v>
      </c>
      <c r="G31" s="193">
        <v>-426.01799999999997</v>
      </c>
      <c r="H31" s="193">
        <v>-855.56100000000004</v>
      </c>
      <c r="I31" s="193">
        <v>-1050.883</v>
      </c>
      <c r="J31" s="194">
        <f>Sheet1!J197</f>
        <v>-1513.5046000000002</v>
      </c>
      <c r="K31" s="194">
        <f>Sheet1!K197</f>
        <v>-1852.6831013090514</v>
      </c>
      <c r="L31" s="194">
        <f>Sheet1!L197</f>
        <v>-2595.4435560534785</v>
      </c>
      <c r="M31" s="194">
        <f>Sheet1!M197</f>
        <v>-3258.9882385340002</v>
      </c>
      <c r="N31" s="194">
        <f>Sheet1!N197</f>
        <v>-4082.0094963826559</v>
      </c>
      <c r="O31" s="194">
        <f>Sheet1!O197</f>
        <v>-4541.7537342296682</v>
      </c>
      <c r="P31" s="194">
        <f>Sheet1!P197</f>
        <v>-6626.1241815810008</v>
      </c>
      <c r="Q31" s="194">
        <f>Sheet1!Q197</f>
        <v>-9022.8810390225717</v>
      </c>
      <c r="R31" s="194">
        <f>Sheet1!R197</f>
        <v>-10746.542798965638</v>
      </c>
      <c r="S31" s="194">
        <f>Sheet1!S197</f>
        <v>-12616.436844274116</v>
      </c>
    </row>
    <row r="32" spans="2:19" ht="18" customHeight="1">
      <c r="B32" s="132" t="s">
        <v>1085</v>
      </c>
      <c r="C32" s="132" t="s">
        <v>311</v>
      </c>
      <c r="D32" s="22" t="s">
        <v>1086</v>
      </c>
      <c r="E32" s="193">
        <v>52.286000000000001</v>
      </c>
      <c r="F32" s="193">
        <v>4937.652</v>
      </c>
      <c r="G32" s="193">
        <v>0</v>
      </c>
      <c r="H32" s="193">
        <v>0</v>
      </c>
      <c r="I32" s="193">
        <v>0</v>
      </c>
      <c r="J32" s="194">
        <f>Sheet1!J199</f>
        <v>0</v>
      </c>
      <c r="K32" s="194">
        <f>Sheet1!K199</f>
        <v>6392</v>
      </c>
      <c r="L32" s="194">
        <f>Sheet1!L199</f>
        <v>0</v>
      </c>
      <c r="M32" s="194">
        <f>Sheet1!M199</f>
        <v>0</v>
      </c>
      <c r="N32" s="194">
        <f>Sheet1!N199</f>
        <v>0</v>
      </c>
      <c r="O32" s="194">
        <f>Sheet1!O199</f>
        <v>0</v>
      </c>
      <c r="P32" s="194">
        <f>Sheet1!P199</f>
        <v>0</v>
      </c>
      <c r="Q32" s="194">
        <f>Sheet1!Q199</f>
        <v>0</v>
      </c>
      <c r="R32" s="194">
        <f>Sheet1!R199</f>
        <v>0</v>
      </c>
      <c r="S32" s="194">
        <f>Sheet1!S199</f>
        <v>0</v>
      </c>
    </row>
    <row r="33" spans="2:19" ht="18" customHeight="1">
      <c r="B33" s="132" t="s">
        <v>1087</v>
      </c>
      <c r="C33" s="132" t="s">
        <v>311</v>
      </c>
      <c r="D33" s="22" t="s">
        <v>1088</v>
      </c>
      <c r="E33" s="193">
        <v>0</v>
      </c>
      <c r="F33" s="193">
        <v>742.5</v>
      </c>
      <c r="G33" s="193">
        <v>10723.757</v>
      </c>
      <c r="H33" s="193">
        <v>9745.8889999999992</v>
      </c>
      <c r="I33" s="193">
        <v>-16119.911</v>
      </c>
      <c r="J33" s="194">
        <f>Sheet1!J195</f>
        <v>-48.600000000000364</v>
      </c>
      <c r="K33" s="194">
        <f>Sheet1!K195</f>
        <v>1745</v>
      </c>
      <c r="L33" s="194">
        <f>Sheet1!L195</f>
        <v>1314</v>
      </c>
      <c r="M33" s="194">
        <f>Sheet1!M195</f>
        <v>2000.0000000000018</v>
      </c>
      <c r="N33" s="194">
        <f>Sheet1!N195</f>
        <v>2000</v>
      </c>
      <c r="O33" s="194">
        <f>Sheet1!O195</f>
        <v>0</v>
      </c>
      <c r="P33" s="194">
        <f>Sheet1!P195</f>
        <v>0</v>
      </c>
      <c r="Q33" s="194">
        <f>Sheet1!Q195</f>
        <v>0</v>
      </c>
      <c r="R33" s="194">
        <f>Sheet1!R195</f>
        <v>0</v>
      </c>
      <c r="S33" s="194">
        <f>Sheet1!S195</f>
        <v>0</v>
      </c>
    </row>
    <row r="34" spans="2:19" ht="18" customHeight="1">
      <c r="B34" s="132" t="s">
        <v>1089</v>
      </c>
      <c r="C34" s="132" t="s">
        <v>311</v>
      </c>
      <c r="D34" s="22" t="s">
        <v>1090</v>
      </c>
      <c r="E34" s="193">
        <v>0</v>
      </c>
      <c r="F34" s="193">
        <v>0</v>
      </c>
      <c r="G34" s="193">
        <v>0</v>
      </c>
      <c r="H34" s="193">
        <v>0</v>
      </c>
      <c r="I34" s="193">
        <v>0</v>
      </c>
      <c r="J34" s="194">
        <f>Sheet1!J198</f>
        <v>0</v>
      </c>
      <c r="K34" s="194">
        <f>Sheet1!K198</f>
        <v>0</v>
      </c>
      <c r="L34" s="194">
        <f>Sheet1!L198</f>
        <v>0</v>
      </c>
      <c r="M34" s="194">
        <f>Sheet1!M198</f>
        <v>0</v>
      </c>
      <c r="N34" s="194">
        <f>Sheet1!N198</f>
        <v>0</v>
      </c>
      <c r="O34" s="194">
        <f>Sheet1!O198</f>
        <v>0</v>
      </c>
      <c r="P34" s="194">
        <f>Sheet1!P198</f>
        <v>0</v>
      </c>
      <c r="Q34" s="194">
        <f>Sheet1!Q198</f>
        <v>0</v>
      </c>
      <c r="R34" s="194">
        <f>Sheet1!R198</f>
        <v>0</v>
      </c>
      <c r="S34" s="194">
        <f>Sheet1!S198</f>
        <v>0</v>
      </c>
    </row>
    <row r="35" spans="2:19" ht="18" customHeight="1">
      <c r="B35" s="202" t="s">
        <v>1091</v>
      </c>
      <c r="C35" s="202" t="s">
        <v>311</v>
      </c>
      <c r="D35" s="203"/>
      <c r="E35" s="204">
        <f t="shared" ref="E35:S35" si="3">SUM(E30:E34)</f>
        <v>-77.929000000000002</v>
      </c>
      <c r="F35" s="204">
        <f t="shared" si="3"/>
        <v>4798.9089999999997</v>
      </c>
      <c r="G35" s="204">
        <f t="shared" si="3"/>
        <v>10162.996999999999</v>
      </c>
      <c r="H35" s="204">
        <f t="shared" si="3"/>
        <v>8738.4149999999991</v>
      </c>
      <c r="I35" s="204">
        <f t="shared" si="3"/>
        <v>-17644.971000000001</v>
      </c>
      <c r="J35" s="204">
        <f t="shared" si="3"/>
        <v>-1849.946524029619</v>
      </c>
      <c r="K35" s="204">
        <f t="shared" si="3"/>
        <v>6143.0769908276989</v>
      </c>
      <c r="L35" s="204">
        <f t="shared" si="3"/>
        <v>-1304.6086896448774</v>
      </c>
      <c r="M35" s="204">
        <f t="shared" si="3"/>
        <v>-1196.6784182823981</v>
      </c>
      <c r="N35" s="204">
        <f t="shared" si="3"/>
        <v>-1952.8138119088544</v>
      </c>
      <c r="O35" s="204">
        <f t="shared" si="3"/>
        <v>-4355.8561767597139</v>
      </c>
      <c r="P35" s="204">
        <f t="shared" si="3"/>
        <v>-6391.9944074713194</v>
      </c>
      <c r="Q35" s="204">
        <f t="shared" si="3"/>
        <v>-8749.4527997411205</v>
      </c>
      <c r="R35" s="204">
        <f t="shared" si="3"/>
        <v>-10442.018305968788</v>
      </c>
      <c r="S35" s="204">
        <f t="shared" si="3"/>
        <v>-12288.518056592666</v>
      </c>
    </row>
    <row r="36" spans="2:19" ht="22.5" customHeight="1">
      <c r="B36" s="35" t="s">
        <v>1092</v>
      </c>
      <c r="C36" s="35" t="s">
        <v>311</v>
      </c>
      <c r="D36" s="36" t="s">
        <v>1093</v>
      </c>
      <c r="E36" s="195">
        <v>-77.929000000000002</v>
      </c>
      <c r="F36" s="195">
        <v>4798.9089999999997</v>
      </c>
      <c r="G36" s="195">
        <v>10162.996999999999</v>
      </c>
      <c r="H36" s="195">
        <v>8738.4150000000009</v>
      </c>
      <c r="I36" s="195">
        <v>-17644.971000000001</v>
      </c>
      <c r="J36" s="195"/>
      <c r="K36" s="195"/>
      <c r="L36" s="195"/>
      <c r="M36" s="195"/>
      <c r="N36" s="195"/>
      <c r="O36" s="195"/>
      <c r="P36" s="195"/>
      <c r="Q36" s="195"/>
      <c r="R36" s="195"/>
      <c r="S36" s="195"/>
    </row>
    <row r="37" spans="2:19" ht="18" customHeight="1"/>
    <row r="38" spans="2:19" ht="27" customHeight="1">
      <c r="B38" s="24" t="s">
        <v>1094</v>
      </c>
      <c r="C38" s="24"/>
      <c r="D38" s="24"/>
      <c r="E38" s="44" t="s">
        <v>223</v>
      </c>
      <c r="F38" s="44" t="s">
        <v>224</v>
      </c>
      <c r="G38" s="44" t="s">
        <v>225</v>
      </c>
      <c r="H38" s="44" t="s">
        <v>226</v>
      </c>
      <c r="I38" s="44" t="s">
        <v>93</v>
      </c>
      <c r="J38" s="44" t="s">
        <v>94</v>
      </c>
      <c r="K38" s="44" t="s">
        <v>227</v>
      </c>
      <c r="L38" s="44" t="s">
        <v>95</v>
      </c>
      <c r="M38" s="44" t="s">
        <v>228</v>
      </c>
      <c r="N38" s="44" t="s">
        <v>96</v>
      </c>
      <c r="O38" s="44" t="s">
        <v>229</v>
      </c>
      <c r="P38" s="44" t="s">
        <v>230</v>
      </c>
      <c r="Q38" s="44" t="s">
        <v>231</v>
      </c>
      <c r="R38" s="44" t="s">
        <v>232</v>
      </c>
      <c r="S38" s="44" t="s">
        <v>97</v>
      </c>
    </row>
    <row r="39" spans="2:19" ht="18" customHeight="1">
      <c r="B39" s="202" t="s">
        <v>1095</v>
      </c>
      <c r="C39" s="202" t="s">
        <v>311</v>
      </c>
      <c r="D39" s="203"/>
      <c r="E39" s="204">
        <f t="shared" ref="E39:S39" si="4">E20+E26+E35</f>
        <v>27.840999999996797</v>
      </c>
      <c r="F39" s="204">
        <f t="shared" si="4"/>
        <v>12679.146999999997</v>
      </c>
      <c r="G39" s="204">
        <f t="shared" si="4"/>
        <v>799.67299999999886</v>
      </c>
      <c r="H39" s="204">
        <f t="shared" si="4"/>
        <v>21906.75</v>
      </c>
      <c r="I39" s="204">
        <f t="shared" si="4"/>
        <v>2934.4160000000011</v>
      </c>
      <c r="J39" s="204">
        <f t="shared" si="4"/>
        <v>3300.471615446017</v>
      </c>
      <c r="K39" s="204">
        <f t="shared" si="4"/>
        <v>12428.378754548008</v>
      </c>
      <c r="L39" s="204">
        <f t="shared" si="4"/>
        <v>4958.323105363319</v>
      </c>
      <c r="M39" s="204">
        <f t="shared" si="4"/>
        <v>11445.478854647212</v>
      </c>
      <c r="N39" s="204">
        <f t="shared" si="4"/>
        <v>12062.765272448967</v>
      </c>
      <c r="O39" s="204">
        <f t="shared" si="4"/>
        <v>10929.879492612192</v>
      </c>
      <c r="P39" s="204">
        <f t="shared" si="4"/>
        <v>10233.938180669455</v>
      </c>
      <c r="Q39" s="204">
        <f t="shared" si="4"/>
        <v>9256.6076888248135</v>
      </c>
      <c r="R39" s="204">
        <f t="shared" si="4"/>
        <v>8962.2181506483757</v>
      </c>
      <c r="S39" s="204">
        <f t="shared" si="4"/>
        <v>8512.8789244131458</v>
      </c>
    </row>
    <row r="40" spans="2:19" ht="18" customHeight="1">
      <c r="B40" s="132" t="s">
        <v>1096</v>
      </c>
      <c r="C40" s="132" t="s">
        <v>311</v>
      </c>
      <c r="D40" s="22"/>
      <c r="E40" s="193">
        <v>26514.431</v>
      </c>
      <c r="F40" s="193">
        <v>26542.272000000001</v>
      </c>
      <c r="G40" s="193">
        <v>39221.419000000002</v>
      </c>
      <c r="H40" s="193">
        <v>40021.091999999997</v>
      </c>
      <c r="I40" s="193">
        <v>61927.841999999997</v>
      </c>
      <c r="J40" s="194">
        <f>Sheet1!I163</f>
        <v>64845</v>
      </c>
      <c r="K40" s="196">
        <f t="shared" ref="K40:S40" si="5">J41</f>
        <v>68145.471615446018</v>
      </c>
      <c r="L40" s="196">
        <f t="shared" si="5"/>
        <v>80573.850369994034</v>
      </c>
      <c r="M40" s="196">
        <f t="shared" si="5"/>
        <v>85532.173475357355</v>
      </c>
      <c r="N40" s="196">
        <f t="shared" si="5"/>
        <v>96977.652330004566</v>
      </c>
      <c r="O40" s="196">
        <f t="shared" si="5"/>
        <v>109040.41760245353</v>
      </c>
      <c r="P40" s="196">
        <f t="shared" si="5"/>
        <v>119970.29709506572</v>
      </c>
      <c r="Q40" s="196">
        <f t="shared" si="5"/>
        <v>130204.23527573518</v>
      </c>
      <c r="R40" s="196">
        <f t="shared" si="5"/>
        <v>139460.84296456</v>
      </c>
      <c r="S40" s="196">
        <f t="shared" si="5"/>
        <v>148423.06111520837</v>
      </c>
    </row>
    <row r="41" spans="2:19" ht="18" customHeight="1">
      <c r="B41" s="73" t="s">
        <v>1097</v>
      </c>
      <c r="C41" s="132" t="s">
        <v>311</v>
      </c>
      <c r="D41" s="22"/>
      <c r="E41" s="197">
        <f t="shared" ref="E41:S41" si="6">E40+E39</f>
        <v>26542.271999999997</v>
      </c>
      <c r="F41" s="197">
        <f t="shared" si="6"/>
        <v>39221.418999999994</v>
      </c>
      <c r="G41" s="197">
        <f t="shared" si="6"/>
        <v>40021.092000000004</v>
      </c>
      <c r="H41" s="197">
        <f t="shared" si="6"/>
        <v>61927.841999999997</v>
      </c>
      <c r="I41" s="197">
        <f t="shared" si="6"/>
        <v>64862.258000000002</v>
      </c>
      <c r="J41" s="197">
        <f t="shared" si="6"/>
        <v>68145.471615446018</v>
      </c>
      <c r="K41" s="197">
        <f t="shared" si="6"/>
        <v>80573.850369994034</v>
      </c>
      <c r="L41" s="197">
        <f t="shared" si="6"/>
        <v>85532.173475357355</v>
      </c>
      <c r="M41" s="197">
        <f t="shared" si="6"/>
        <v>96977.652330004566</v>
      </c>
      <c r="N41" s="197">
        <f t="shared" si="6"/>
        <v>109040.41760245353</v>
      </c>
      <c r="O41" s="197">
        <f t="shared" si="6"/>
        <v>119970.29709506572</v>
      </c>
      <c r="P41" s="197">
        <f t="shared" si="6"/>
        <v>130204.23527573518</v>
      </c>
      <c r="Q41" s="197">
        <f t="shared" si="6"/>
        <v>139460.84296456</v>
      </c>
      <c r="R41" s="197">
        <f t="shared" si="6"/>
        <v>148423.06111520837</v>
      </c>
      <c r="S41" s="197">
        <f t="shared" si="6"/>
        <v>156935.94003962152</v>
      </c>
    </row>
    <row r="42" spans="2:19" ht="22.5" customHeight="1">
      <c r="B42" s="35" t="s">
        <v>1098</v>
      </c>
      <c r="C42" s="35" t="s">
        <v>311</v>
      </c>
      <c r="D42" s="36" t="s">
        <v>1099</v>
      </c>
      <c r="E42" s="195">
        <v>26542.272000000001</v>
      </c>
      <c r="F42" s="195">
        <v>39221.419000000002</v>
      </c>
      <c r="G42" s="195">
        <v>40021.091999999997</v>
      </c>
      <c r="H42" s="195">
        <v>61927.841999999997</v>
      </c>
      <c r="I42" s="195">
        <v>64862.258000000002</v>
      </c>
      <c r="J42" s="195"/>
      <c r="K42" s="195"/>
      <c r="L42" s="195"/>
      <c r="M42" s="195"/>
      <c r="N42" s="195"/>
      <c r="O42" s="195"/>
      <c r="P42" s="195"/>
      <c r="Q42" s="195"/>
      <c r="R42" s="195"/>
      <c r="S42" s="195"/>
    </row>
    <row r="43" spans="2:19" ht="18" customHeight="1"/>
    <row r="44" spans="2:19" ht="22.5" customHeight="1">
      <c r="B44" s="35" t="s">
        <v>1100</v>
      </c>
      <c r="C44" s="35"/>
      <c r="D44" s="35"/>
      <c r="E44" s="108" t="s">
        <v>223</v>
      </c>
      <c r="F44" s="108" t="s">
        <v>224</v>
      </c>
      <c r="G44" s="108" t="s">
        <v>225</v>
      </c>
      <c r="H44" s="108" t="s">
        <v>226</v>
      </c>
      <c r="I44" s="108" t="s">
        <v>93</v>
      </c>
      <c r="J44" s="108" t="s">
        <v>94</v>
      </c>
      <c r="K44" s="108" t="s">
        <v>227</v>
      </c>
      <c r="L44" s="108" t="s">
        <v>95</v>
      </c>
      <c r="M44" s="108" t="s">
        <v>228</v>
      </c>
      <c r="N44" s="108" t="s">
        <v>96</v>
      </c>
      <c r="O44" s="108" t="s">
        <v>229</v>
      </c>
      <c r="P44" s="108" t="s">
        <v>230</v>
      </c>
      <c r="Q44" s="108" t="s">
        <v>231</v>
      </c>
      <c r="R44" s="108" t="s">
        <v>232</v>
      </c>
      <c r="S44" s="108" t="s">
        <v>97</v>
      </c>
    </row>
    <row r="45" spans="2:19" ht="18" customHeight="1">
      <c r="B45" s="132" t="s">
        <v>1101</v>
      </c>
      <c r="C45" s="132" t="s">
        <v>311</v>
      </c>
      <c r="D45" s="22"/>
      <c r="E45" s="205">
        <f>ROUND(E15-E16,1)</f>
        <v>0</v>
      </c>
      <c r="F45" s="205">
        <f>ROUND(F15-F16,1)</f>
        <v>0</v>
      </c>
      <c r="G45" s="205">
        <f>ROUND(G15-G16,1)</f>
        <v>0</v>
      </c>
      <c r="H45" s="205">
        <f>ROUND(H15-H16,1)</f>
        <v>0</v>
      </c>
      <c r="I45" s="205">
        <f>ROUND(I15-I16,1)</f>
        <v>0</v>
      </c>
      <c r="J45" s="206"/>
      <c r="K45" s="206"/>
      <c r="L45" s="206"/>
      <c r="M45" s="206"/>
      <c r="N45" s="206"/>
      <c r="O45" s="206"/>
      <c r="P45" s="206"/>
      <c r="Q45" s="206"/>
      <c r="R45" s="206"/>
      <c r="S45" s="206"/>
    </row>
    <row r="46" spans="2:19" ht="18" customHeight="1">
      <c r="B46" s="132" t="s">
        <v>1102</v>
      </c>
      <c r="C46" s="132" t="s">
        <v>311</v>
      </c>
      <c r="D46" s="22"/>
      <c r="E46" s="205">
        <f>ROUND(E20-E21,1)</f>
        <v>0</v>
      </c>
      <c r="F46" s="205">
        <f>ROUND(F20-F21,1)</f>
        <v>0</v>
      </c>
      <c r="G46" s="205">
        <f>ROUND(G20-G21,1)</f>
        <v>0</v>
      </c>
      <c r="H46" s="205">
        <f>ROUND(H20-H21,1)</f>
        <v>0</v>
      </c>
      <c r="I46" s="205">
        <f>ROUND(I20-I21,1)</f>
        <v>0</v>
      </c>
      <c r="J46" s="206"/>
      <c r="K46" s="206"/>
      <c r="L46" s="206"/>
      <c r="M46" s="206"/>
      <c r="N46" s="206"/>
      <c r="O46" s="206"/>
      <c r="P46" s="206"/>
      <c r="Q46" s="206"/>
      <c r="R46" s="206"/>
      <c r="S46" s="206"/>
    </row>
    <row r="47" spans="2:19" ht="18" customHeight="1">
      <c r="B47" s="132" t="s">
        <v>1103</v>
      </c>
      <c r="C47" s="132" t="s">
        <v>311</v>
      </c>
      <c r="D47" s="22"/>
      <c r="E47" s="205">
        <f>ROUND(E26-E27,1)</f>
        <v>0</v>
      </c>
      <c r="F47" s="205">
        <f>ROUND(F26-F27,1)</f>
        <v>0</v>
      </c>
      <c r="G47" s="205">
        <f>ROUND(G26-G27,1)</f>
        <v>0</v>
      </c>
      <c r="H47" s="205">
        <f>ROUND(H26-H27,1)</f>
        <v>0</v>
      </c>
      <c r="I47" s="205">
        <f>ROUND(I26-I27,1)</f>
        <v>0</v>
      </c>
      <c r="J47" s="206"/>
      <c r="K47" s="206"/>
      <c r="L47" s="206"/>
      <c r="M47" s="206"/>
      <c r="N47" s="206"/>
      <c r="O47" s="206"/>
      <c r="P47" s="206"/>
      <c r="Q47" s="206"/>
      <c r="R47" s="206"/>
      <c r="S47" s="206"/>
    </row>
    <row r="48" spans="2:19" ht="18" customHeight="1">
      <c r="B48" s="132" t="s">
        <v>1104</v>
      </c>
      <c r="C48" s="132" t="s">
        <v>311</v>
      </c>
      <c r="D48" s="22"/>
      <c r="E48" s="205">
        <f>ROUND(E35-E36,1)</f>
        <v>0</v>
      </c>
      <c r="F48" s="205">
        <f>ROUND(F35-F36,1)</f>
        <v>0</v>
      </c>
      <c r="G48" s="205">
        <f>ROUND(G35-G36,1)</f>
        <v>0</v>
      </c>
      <c r="H48" s="205">
        <f>ROUND(H35-H36,1)</f>
        <v>0</v>
      </c>
      <c r="I48" s="205">
        <f>ROUND(I35-I36,1)</f>
        <v>0</v>
      </c>
      <c r="J48" s="206"/>
      <c r="K48" s="206"/>
      <c r="L48" s="206"/>
      <c r="M48" s="206"/>
      <c r="N48" s="206"/>
      <c r="O48" s="206"/>
      <c r="P48" s="206"/>
      <c r="Q48" s="206"/>
      <c r="R48" s="206"/>
      <c r="S48" s="206"/>
    </row>
    <row r="49" spans="2:19" ht="18" customHeight="1">
      <c r="B49" s="132" t="s">
        <v>1105</v>
      </c>
      <c r="C49" s="132" t="s">
        <v>311</v>
      </c>
      <c r="D49" s="22"/>
      <c r="E49" s="205">
        <f>ROUND(E41-E42,1)</f>
        <v>0</v>
      </c>
      <c r="F49" s="205">
        <f>ROUND(F41-F42,1)</f>
        <v>0</v>
      </c>
      <c r="G49" s="205">
        <f>ROUND(G41-G42,1)</f>
        <v>0</v>
      </c>
      <c r="H49" s="205">
        <f>ROUND(H41-H42,1)</f>
        <v>0</v>
      </c>
      <c r="I49" s="205">
        <f>ROUND(I41-I42,1)</f>
        <v>0</v>
      </c>
      <c r="J49" s="206"/>
      <c r="K49" s="206"/>
      <c r="L49" s="206"/>
      <c r="M49" s="206"/>
      <c r="N49" s="206"/>
      <c r="O49" s="206"/>
      <c r="P49" s="206"/>
      <c r="Q49" s="206"/>
      <c r="R49" s="206"/>
      <c r="S49" s="206"/>
    </row>
    <row r="50" spans="2:19" ht="18" customHeight="1">
      <c r="B50" s="132" t="s">
        <v>1106</v>
      </c>
      <c r="C50" s="132" t="s">
        <v>311</v>
      </c>
      <c r="D50" s="22"/>
      <c r="E50" s="206"/>
      <c r="F50" s="206"/>
      <c r="G50" s="206"/>
      <c r="H50" s="206"/>
      <c r="I50" s="206"/>
      <c r="J50" s="207">
        <f>ROUND(J39-Sheet1!J201,3)</f>
        <v>0</v>
      </c>
      <c r="K50" s="207">
        <f>ROUND(K39-Sheet1!K201,3)</f>
        <v>0</v>
      </c>
      <c r="L50" s="207">
        <f>ROUND(L39-Sheet1!L201,3)</f>
        <v>0</v>
      </c>
      <c r="M50" s="207">
        <f>ROUND(M39-Sheet1!M201,3)</f>
        <v>0</v>
      </c>
      <c r="N50" s="207">
        <f>ROUND(N39-Sheet1!N201,3)</f>
        <v>0</v>
      </c>
      <c r="O50" s="207">
        <f>ROUND(O39-Sheet1!O201,3)</f>
        <v>0</v>
      </c>
      <c r="P50" s="207">
        <f>ROUND(P39-Sheet1!P201,3)</f>
        <v>0</v>
      </c>
      <c r="Q50" s="207">
        <f>ROUND(Q39-Sheet1!Q201,3)</f>
        <v>0</v>
      </c>
      <c r="R50" s="207">
        <f>ROUND(R39-Sheet1!R201,3)</f>
        <v>0</v>
      </c>
      <c r="S50" s="207">
        <f>ROUND(S39-Sheet1!S201,3)</f>
        <v>0</v>
      </c>
    </row>
    <row r="51" spans="2:19" ht="18" customHeight="1">
      <c r="B51" s="132" t="s">
        <v>1107</v>
      </c>
      <c r="C51" s="132" t="s">
        <v>311</v>
      </c>
      <c r="D51" s="22"/>
      <c r="E51" s="206"/>
      <c r="F51" s="206"/>
      <c r="G51" s="206"/>
      <c r="H51" s="206"/>
      <c r="I51" s="206"/>
      <c r="J51" s="207">
        <f>ROUND(J41-Sheet1!J163,3)</f>
        <v>0</v>
      </c>
      <c r="K51" s="207">
        <f>ROUND(K41-Sheet1!K163,3)</f>
        <v>0</v>
      </c>
      <c r="L51" s="207">
        <f>ROUND(L41-Sheet1!L163,3)</f>
        <v>0</v>
      </c>
      <c r="M51" s="207">
        <f>ROUND(M41-Sheet1!M163,3)</f>
        <v>0</v>
      </c>
      <c r="N51" s="207">
        <f>ROUND(N41-Sheet1!N163,3)</f>
        <v>0</v>
      </c>
      <c r="O51" s="207">
        <f>ROUND(O41-Sheet1!O163,3)</f>
        <v>0</v>
      </c>
      <c r="P51" s="207">
        <f>ROUND(P41-Sheet1!P163,3)</f>
        <v>0</v>
      </c>
      <c r="Q51" s="207">
        <f>ROUND(Q41-Sheet1!Q163,3)</f>
        <v>0</v>
      </c>
      <c r="R51" s="207">
        <f>ROUND(R41-Sheet1!R163,3)</f>
        <v>0</v>
      </c>
      <c r="S51" s="207">
        <f>ROUND(S41-Sheet1!S163,3)</f>
        <v>0</v>
      </c>
    </row>
    <row r="52" spans="2:19" ht="18" customHeight="1">
      <c r="B52" s="132" t="s">
        <v>1108</v>
      </c>
      <c r="C52" s="132" t="s">
        <v>311</v>
      </c>
      <c r="D52" s="22"/>
      <c r="E52" s="206"/>
      <c r="F52" s="206"/>
      <c r="G52" s="206"/>
      <c r="H52" s="206"/>
      <c r="I52" s="206"/>
      <c r="J52" s="207">
        <f>ROUND(J40-Sheet1!I163,3)</f>
        <v>0</v>
      </c>
      <c r="K52" s="207">
        <f>ROUND(K40-Sheet1!J163,3)</f>
        <v>0</v>
      </c>
      <c r="L52" s="207">
        <f>ROUND(L40-Sheet1!K163,3)</f>
        <v>0</v>
      </c>
      <c r="M52" s="207">
        <f>ROUND(M40-Sheet1!L163,3)</f>
        <v>0</v>
      </c>
      <c r="N52" s="207">
        <f>ROUND(N40-Sheet1!M163,3)</f>
        <v>0</v>
      </c>
      <c r="O52" s="207">
        <f>ROUND(O40-Sheet1!N163,3)</f>
        <v>0</v>
      </c>
      <c r="P52" s="207">
        <f>ROUND(P40-Sheet1!O163,3)</f>
        <v>0</v>
      </c>
      <c r="Q52" s="207">
        <f>ROUND(Q40-Sheet1!P163,3)</f>
        <v>0</v>
      </c>
      <c r="R52" s="207">
        <f>ROUND(R40-Sheet1!Q163,3)</f>
        <v>0</v>
      </c>
      <c r="S52" s="207">
        <f>ROUND(S40-Sheet1!R163,3)</f>
        <v>0</v>
      </c>
    </row>
    <row r="53" spans="2:19" ht="18" customHeight="1">
      <c r="B53" s="73" t="s">
        <v>1109</v>
      </c>
      <c r="C53" s="132" t="s">
        <v>311</v>
      </c>
      <c r="D53" s="22"/>
      <c r="E53" s="208">
        <f>ABS(E45)+ABS(E46)+ABS(E47)+ABS(E48)+ABS(E49)</f>
        <v>0</v>
      </c>
      <c r="F53" s="208">
        <f>ABS(F45)+ABS(F46)+ABS(F47)+ABS(F48)+ABS(F49)</f>
        <v>0</v>
      </c>
      <c r="G53" s="208">
        <f>ABS(G45)+ABS(G46)+ABS(G47)+ABS(G48)+ABS(G49)</f>
        <v>0</v>
      </c>
      <c r="H53" s="208">
        <f>ABS(H45)+ABS(H46)+ABS(H47)+ABS(H48)+ABS(H49)</f>
        <v>0</v>
      </c>
      <c r="I53" s="208">
        <f>ABS(I45)+ABS(I46)+ABS(I47)+ABS(I48)+ABS(I49)</f>
        <v>0</v>
      </c>
      <c r="J53" s="208">
        <f t="shared" ref="J53:S53" si="7">ABS(J50)+ABS(J51)+ABS(J52)</f>
        <v>0</v>
      </c>
      <c r="K53" s="208">
        <f t="shared" si="7"/>
        <v>0</v>
      </c>
      <c r="L53" s="208">
        <f t="shared" si="7"/>
        <v>0</v>
      </c>
      <c r="M53" s="208">
        <f t="shared" si="7"/>
        <v>0</v>
      </c>
      <c r="N53" s="208">
        <f t="shared" si="7"/>
        <v>0</v>
      </c>
      <c r="O53" s="208">
        <f t="shared" si="7"/>
        <v>0</v>
      </c>
      <c r="P53" s="208">
        <f t="shared" si="7"/>
        <v>0</v>
      </c>
      <c r="Q53" s="208">
        <f t="shared" si="7"/>
        <v>0</v>
      </c>
      <c r="R53" s="208">
        <f t="shared" si="7"/>
        <v>0</v>
      </c>
      <c r="S53" s="208">
        <f t="shared" si="7"/>
        <v>0</v>
      </c>
    </row>
    <row r="54" spans="2:19" ht="18" customHeight="1"/>
    <row r="55" spans="2:19" ht="18" customHeight="1">
      <c r="B55" s="22" t="s">
        <v>1110</v>
      </c>
    </row>
  </sheetData>
  <mergeCells count="1">
    <mergeCell ref="B2:S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F7F7F"/>
  </sheetPr>
  <dimension ref="A1:F38"/>
  <sheetViews>
    <sheetView workbookViewId="0">
      <pane ySplit="2" topLeftCell="A3" activePane="bottomLeft" state="frozen"/>
      <selection pane="bottomLeft"/>
    </sheetView>
  </sheetViews>
  <sheetFormatPr defaultColWidth="10.85546875" defaultRowHeight="15"/>
  <cols>
    <col min="1" max="1" width="3.140625" style="11" customWidth="1"/>
    <col min="2" max="2" width="42" style="11" customWidth="1"/>
    <col min="3" max="3" width="17" style="11" customWidth="1"/>
    <col min="4" max="4" width="18" style="11" customWidth="1"/>
    <col min="5" max="6" width="15.42578125" style="11" customWidth="1"/>
  </cols>
  <sheetData>
    <row r="1" spans="2:6" ht="27.95" customHeight="1">
      <c r="B1" s="228" t="s">
        <v>1111</v>
      </c>
      <c r="C1" s="228"/>
      <c r="D1" s="228"/>
      <c r="E1" s="228"/>
      <c r="F1" s="228"/>
    </row>
    <row r="2" spans="2:6" ht="23.1" customHeight="1">
      <c r="B2" s="229" t="s">
        <v>1112</v>
      </c>
      <c r="C2" s="230"/>
      <c r="D2" s="230"/>
      <c r="E2" s="230"/>
      <c r="F2" s="230"/>
    </row>
    <row r="3" spans="2:6" ht="21" customHeight="1"/>
    <row r="4" spans="2:6" ht="22.5" customHeight="1">
      <c r="B4" s="35" t="s">
        <v>1113</v>
      </c>
      <c r="C4" s="35" t="s">
        <v>1114</v>
      </c>
      <c r="D4" s="35" t="s">
        <v>1115</v>
      </c>
      <c r="E4" s="35" t="s">
        <v>1116</v>
      </c>
      <c r="F4" s="35" t="s">
        <v>1117</v>
      </c>
    </row>
    <row r="5" spans="2:6" ht="21" customHeight="1">
      <c r="B5" s="16" t="s">
        <v>1118</v>
      </c>
      <c r="C5" s="209">
        <f>Sheet1!E20</f>
        <v>1095</v>
      </c>
      <c r="D5" s="16" t="s">
        <v>1119</v>
      </c>
      <c r="E5" s="16" t="s">
        <v>1120</v>
      </c>
      <c r="F5" s="16" t="s">
        <v>1121</v>
      </c>
    </row>
    <row r="6" spans="2:6" ht="21" customHeight="1">
      <c r="B6" s="16" t="s">
        <v>1122</v>
      </c>
      <c r="C6" s="210">
        <f>Sheet1!E21</f>
        <v>46129.26</v>
      </c>
      <c r="D6" s="16" t="s">
        <v>189</v>
      </c>
      <c r="E6" s="16" t="s">
        <v>1123</v>
      </c>
      <c r="F6" s="16" t="s">
        <v>1124</v>
      </c>
    </row>
    <row r="7" spans="2:6" ht="21" customHeight="1">
      <c r="B7" s="16" t="s">
        <v>1125</v>
      </c>
      <c r="C7" s="211">
        <f>Sheet1!E22</f>
        <v>46304</v>
      </c>
      <c r="D7" s="16"/>
      <c r="E7" s="16" t="s">
        <v>1126</v>
      </c>
      <c r="F7" s="16" t="s">
        <v>1127</v>
      </c>
    </row>
    <row r="8" spans="2:6" ht="22.5" customHeight="1">
      <c r="B8" s="21" t="s">
        <v>1128</v>
      </c>
      <c r="C8" s="212">
        <f>Sheet1!E23</f>
        <v>46178</v>
      </c>
      <c r="D8" s="21" t="s">
        <v>193</v>
      </c>
      <c r="E8" s="21" t="s">
        <v>1123</v>
      </c>
      <c r="F8" s="21" t="s">
        <v>1127</v>
      </c>
    </row>
    <row r="9" spans="2:6" ht="21" customHeight="1">
      <c r="B9" s="16" t="s">
        <v>1129</v>
      </c>
      <c r="C9" s="185">
        <f>Sheet1!E24</f>
        <v>5.5600000000000004E-2</v>
      </c>
      <c r="D9" s="16" t="s">
        <v>1130</v>
      </c>
      <c r="E9" s="16" t="s">
        <v>1123</v>
      </c>
      <c r="F9" s="16" t="s">
        <v>1131</v>
      </c>
    </row>
    <row r="10" spans="2:6" ht="21" customHeight="1">
      <c r="B10" s="16" t="s">
        <v>1132</v>
      </c>
      <c r="C10" s="185">
        <f>Sheet1!E25</f>
        <v>6.6900000000000001E-2</v>
      </c>
      <c r="D10" s="16" t="s">
        <v>198</v>
      </c>
      <c r="E10" s="16" t="s">
        <v>1123</v>
      </c>
      <c r="F10" s="16" t="s">
        <v>1133</v>
      </c>
    </row>
    <row r="11" spans="2:6" ht="21" customHeight="1">
      <c r="B11" s="16" t="s">
        <v>1134</v>
      </c>
      <c r="C11" s="213">
        <f>Sheet1!E26</f>
        <v>0.75880000000000003</v>
      </c>
      <c r="D11" s="16" t="s">
        <v>1135</v>
      </c>
      <c r="E11" s="16" t="s">
        <v>1136</v>
      </c>
      <c r="F11" s="16" t="s">
        <v>1137</v>
      </c>
    </row>
    <row r="12" spans="2:6" ht="21" customHeight="1">
      <c r="B12" s="16" t="s">
        <v>1138</v>
      </c>
      <c r="C12" s="185">
        <f>Sheet1!E27</f>
        <v>0</v>
      </c>
      <c r="D12" s="16" t="s">
        <v>203</v>
      </c>
      <c r="E12" s="16" t="s">
        <v>1139</v>
      </c>
      <c r="F12" s="16" t="s">
        <v>1140</v>
      </c>
    </row>
    <row r="13" spans="2:6" ht="21" customHeight="1">
      <c r="B13" s="16" t="s">
        <v>1141</v>
      </c>
      <c r="C13" s="184">
        <f>Sheet1!E35</f>
        <v>0.2</v>
      </c>
      <c r="D13" s="16" t="s">
        <v>214</v>
      </c>
      <c r="E13" s="16" t="s">
        <v>1136</v>
      </c>
      <c r="F13" s="16" t="s">
        <v>1142</v>
      </c>
    </row>
    <row r="14" spans="2:6" ht="22.5" customHeight="1">
      <c r="B14" s="21" t="s">
        <v>1143</v>
      </c>
      <c r="C14" s="214">
        <f>Sheet1!E36</f>
        <v>0.13489999999999999</v>
      </c>
      <c r="D14" s="21" t="s">
        <v>1144</v>
      </c>
      <c r="E14" s="21" t="s">
        <v>1145</v>
      </c>
      <c r="F14" s="21" t="s">
        <v>1146</v>
      </c>
    </row>
    <row r="15" spans="2:6" ht="21" customHeight="1">
      <c r="B15" s="16" t="s">
        <v>1147</v>
      </c>
      <c r="C15" s="184">
        <f>Sheet1!E37</f>
        <v>0.92</v>
      </c>
      <c r="D15" s="16"/>
      <c r="E15" s="16" t="s">
        <v>1136</v>
      </c>
      <c r="F15" s="16" t="s">
        <v>1148</v>
      </c>
    </row>
    <row r="16" spans="2:6" ht="21" customHeight="1">
      <c r="B16" s="16" t="s">
        <v>1149</v>
      </c>
      <c r="C16" s="184">
        <f>Sheet1!E38</f>
        <v>7.4999999999999997E-2</v>
      </c>
      <c r="D16" s="16" t="s">
        <v>219</v>
      </c>
      <c r="E16" s="16" t="s">
        <v>1123</v>
      </c>
      <c r="F16" s="16" t="s">
        <v>1150</v>
      </c>
    </row>
    <row r="17" spans="2:6" ht="21" customHeight="1">
      <c r="B17" s="16" t="s">
        <v>1151</v>
      </c>
      <c r="C17" s="213">
        <f>Sheet1!E45</f>
        <v>0.6</v>
      </c>
      <c r="D17" s="16"/>
      <c r="E17" s="16" t="s">
        <v>1152</v>
      </c>
      <c r="F17" s="16" t="s">
        <v>1153</v>
      </c>
    </row>
    <row r="18" spans="2:6" ht="21" customHeight="1">
      <c r="B18" s="16" t="s">
        <v>1154</v>
      </c>
      <c r="C18" s="213">
        <f>Sheet1!E46</f>
        <v>0.1</v>
      </c>
      <c r="D18" s="16"/>
      <c r="E18" s="16" t="s">
        <v>1152</v>
      </c>
      <c r="F18" s="16" t="s">
        <v>1153</v>
      </c>
    </row>
    <row r="19" spans="2:6" ht="21" customHeight="1">
      <c r="B19" s="16" t="s">
        <v>1155</v>
      </c>
      <c r="C19" s="213">
        <f>Sheet1!E47</f>
        <v>0.15</v>
      </c>
      <c r="D19" s="16"/>
      <c r="E19" s="16" t="s">
        <v>1152</v>
      </c>
      <c r="F19" s="16" t="s">
        <v>1153</v>
      </c>
    </row>
    <row r="20" spans="2:6" ht="21" customHeight="1">
      <c r="B20" s="16" t="s">
        <v>1156</v>
      </c>
      <c r="C20" s="185">
        <f>Sheet1!E121</f>
        <v>0.06</v>
      </c>
      <c r="D20" s="16"/>
      <c r="E20" s="16" t="s">
        <v>1152</v>
      </c>
      <c r="F20" s="16" t="s">
        <v>1153</v>
      </c>
    </row>
    <row r="21" spans="2:6" ht="22.5" customHeight="1">
      <c r="B21" s="21" t="s">
        <v>1157</v>
      </c>
      <c r="C21" s="214">
        <f>Sheet1!E122</f>
        <v>0.08</v>
      </c>
      <c r="D21" s="21" t="s">
        <v>331</v>
      </c>
      <c r="E21" s="21" t="s">
        <v>1152</v>
      </c>
      <c r="F21" s="21" t="s">
        <v>1153</v>
      </c>
    </row>
    <row r="22" spans="2:6" ht="21" customHeight="1">
      <c r="B22" s="16" t="s">
        <v>1158</v>
      </c>
      <c r="C22" s="215">
        <f>Sheet1!E123</f>
        <v>0.1</v>
      </c>
      <c r="D22" s="16"/>
      <c r="E22" s="16" t="s">
        <v>1152</v>
      </c>
      <c r="F22" s="16" t="s">
        <v>1153</v>
      </c>
    </row>
    <row r="23" spans="2:6" ht="21" customHeight="1">
      <c r="B23" s="16" t="s">
        <v>1159</v>
      </c>
      <c r="C23" s="184">
        <f>Sheet1!E124</f>
        <v>0.05</v>
      </c>
      <c r="D23" s="16"/>
      <c r="E23" s="16" t="s">
        <v>1152</v>
      </c>
      <c r="F23" s="16" t="s">
        <v>1153</v>
      </c>
    </row>
    <row r="24" spans="2:6" ht="21" customHeight="1">
      <c r="B24" s="16" t="s">
        <v>1160</v>
      </c>
      <c r="C24" s="215">
        <f>Sheet1!E125</f>
        <v>0.4</v>
      </c>
      <c r="D24" s="16"/>
      <c r="E24" s="16" t="s">
        <v>1152</v>
      </c>
      <c r="F24" s="16" t="s">
        <v>1153</v>
      </c>
    </row>
    <row r="25" spans="2:6" ht="21" customHeight="1">
      <c r="B25" s="16" t="s">
        <v>1161</v>
      </c>
      <c r="C25" s="184">
        <f>Sheet1!E126</f>
        <v>0.25</v>
      </c>
      <c r="D25" s="16"/>
      <c r="E25" s="16" t="s">
        <v>1152</v>
      </c>
      <c r="F25" s="16" t="s">
        <v>1153</v>
      </c>
    </row>
    <row r="26" spans="2:6" ht="21" customHeight="1">
      <c r="B26" s="16" t="s">
        <v>1162</v>
      </c>
      <c r="C26" s="215">
        <f>Sheet1!E127</f>
        <v>0.25</v>
      </c>
      <c r="D26" s="16"/>
      <c r="E26" s="16" t="s">
        <v>1152</v>
      </c>
      <c r="F26" s="16" t="s">
        <v>1153</v>
      </c>
    </row>
    <row r="27" spans="2:6" ht="21" customHeight="1">
      <c r="B27" s="16" t="s">
        <v>1163</v>
      </c>
      <c r="C27" s="184">
        <f>Sheet1!E128</f>
        <v>0.2</v>
      </c>
      <c r="D27" s="16"/>
      <c r="E27" s="16" t="s">
        <v>1152</v>
      </c>
      <c r="F27" s="16" t="s">
        <v>1153</v>
      </c>
    </row>
    <row r="28" spans="2:6" ht="21" customHeight="1">
      <c r="B28" s="16" t="s">
        <v>1164</v>
      </c>
      <c r="C28" s="215">
        <f>Sheet1!E129</f>
        <v>0.25</v>
      </c>
      <c r="D28" s="16"/>
      <c r="E28" s="16" t="s">
        <v>1152</v>
      </c>
      <c r="F28" s="16" t="s">
        <v>1153</v>
      </c>
    </row>
    <row r="29" spans="2:6" ht="21" customHeight="1">
      <c r="B29" s="16" t="s">
        <v>1165</v>
      </c>
      <c r="C29" s="184">
        <f>Sheet1!E130</f>
        <v>0.2</v>
      </c>
      <c r="D29" s="16"/>
      <c r="E29" s="16" t="s">
        <v>1152</v>
      </c>
      <c r="F29" s="16" t="s">
        <v>1153</v>
      </c>
    </row>
    <row r="30" spans="2:6" ht="21" customHeight="1">
      <c r="B30" s="16" t="s">
        <v>1166</v>
      </c>
      <c r="C30" s="213">
        <f>Sheet1!E131</f>
        <v>1</v>
      </c>
      <c r="D30" s="16"/>
      <c r="E30" s="16" t="s">
        <v>1152</v>
      </c>
      <c r="F30" s="16" t="s">
        <v>1153</v>
      </c>
    </row>
    <row r="31" spans="2:6" ht="22.5" customHeight="1">
      <c r="B31" s="21" t="s">
        <v>1167</v>
      </c>
      <c r="C31" s="216">
        <f>Sheet1!E132</f>
        <v>0.97344258567870556</v>
      </c>
      <c r="D31" s="21" t="s">
        <v>1168</v>
      </c>
      <c r="E31" s="21" t="s">
        <v>1152</v>
      </c>
      <c r="F31" s="21" t="s">
        <v>1153</v>
      </c>
    </row>
    <row r="32" spans="2:6" ht="21" customHeight="1">
      <c r="B32" s="16" t="s">
        <v>1169</v>
      </c>
      <c r="C32" s="209">
        <f>Sheet1!E135</f>
        <v>940</v>
      </c>
      <c r="D32" s="16" t="s">
        <v>1170</v>
      </c>
      <c r="E32" s="16" t="s">
        <v>1152</v>
      </c>
      <c r="F32" s="16" t="s">
        <v>1153</v>
      </c>
    </row>
    <row r="33" spans="2:6" ht="21" customHeight="1">
      <c r="B33" s="16" t="s">
        <v>1171</v>
      </c>
      <c r="C33" s="184">
        <f>Sheet1!E136</f>
        <v>0.09</v>
      </c>
      <c r="D33" s="16" t="s">
        <v>351</v>
      </c>
      <c r="E33" s="16" t="s">
        <v>1152</v>
      </c>
      <c r="F33" s="16" t="s">
        <v>1153</v>
      </c>
    </row>
    <row r="34" spans="2:6" ht="21" customHeight="1"/>
    <row r="35" spans="2:6" ht="21" customHeight="1">
      <c r="B35" s="217" t="s">
        <v>1172</v>
      </c>
    </row>
    <row r="36" spans="2:6" ht="22.5" customHeight="1">
      <c r="B36" s="35" t="s">
        <v>1173</v>
      </c>
      <c r="C36" s="35" t="s">
        <v>1174</v>
      </c>
      <c r="D36" s="88">
        <f>Sheet1!I154</f>
        <v>7567.5230000000001</v>
      </c>
      <c r="E36" s="35" t="s">
        <v>1175</v>
      </c>
      <c r="F36" s="35" t="s">
        <v>1176</v>
      </c>
    </row>
    <row r="37" spans="2:6" ht="21" customHeight="1">
      <c r="B37" s="132" t="s">
        <v>1177</v>
      </c>
      <c r="C37" s="132" t="s">
        <v>1178</v>
      </c>
      <c r="D37" s="190">
        <f>Sheet1!G466</f>
        <v>1.1117615438665776</v>
      </c>
      <c r="E37" s="132" t="s">
        <v>1179</v>
      </c>
      <c r="F37" s="132" t="s">
        <v>1180</v>
      </c>
    </row>
    <row r="38" spans="2:6" ht="22.5" customHeight="1">
      <c r="B38" s="35" t="s">
        <v>1181</v>
      </c>
      <c r="C38" s="35" t="s">
        <v>1182</v>
      </c>
      <c r="D38" s="88">
        <f>Sheet1!F479</f>
        <v>4155.7089999999998</v>
      </c>
      <c r="E38" s="35" t="s">
        <v>1183</v>
      </c>
      <c r="F38" s="35" t="s">
        <v>1123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BFBFBF"/>
  </sheetPr>
  <dimension ref="A1:H45"/>
  <sheetViews>
    <sheetView workbookViewId="0">
      <pane ySplit="2" topLeftCell="A3" activePane="bottomLeft" state="frozen"/>
      <selection pane="bottomLeft"/>
    </sheetView>
  </sheetViews>
  <sheetFormatPr defaultColWidth="10.85546875" defaultRowHeight="15"/>
  <cols>
    <col min="1" max="1" width="32" style="11" customWidth="1"/>
    <col min="2" max="8" width="17.42578125" customWidth="1"/>
  </cols>
  <sheetData>
    <row r="1" spans="1:8" ht="27.95" customHeight="1">
      <c r="A1" s="228" t="s">
        <v>1184</v>
      </c>
      <c r="B1" s="228"/>
      <c r="C1" s="228"/>
      <c r="D1" s="228"/>
      <c r="E1" s="228"/>
      <c r="F1" s="228"/>
      <c r="G1" s="228"/>
      <c r="H1" s="228"/>
    </row>
    <row r="3" spans="1:8" ht="22.5" customHeight="1">
      <c r="A3" s="163" t="s">
        <v>1185</v>
      </c>
      <c r="B3" s="163" t="s">
        <v>1186</v>
      </c>
      <c r="C3" s="163" t="s">
        <v>700</v>
      </c>
      <c r="D3" s="163" t="s">
        <v>694</v>
      </c>
      <c r="E3" s="163" t="s">
        <v>696</v>
      </c>
      <c r="F3" s="163" t="s">
        <v>698</v>
      </c>
      <c r="G3" s="163" t="s">
        <v>702</v>
      </c>
      <c r="H3" s="35"/>
    </row>
    <row r="4" spans="1:8" ht="22.5" customHeight="1">
      <c r="A4" s="163" t="s">
        <v>1187</v>
      </c>
      <c r="B4" s="91">
        <f>IFERROR(SLOPE(Returns!C59:C70,Returns!B59:B70),"")</f>
        <v>0.30100224294320216</v>
      </c>
      <c r="C4" s="91">
        <f>IFERROR(SLOPE(Returns!D59:D70,Returns!B59:B70),"")</f>
        <v>0.62371873189687599</v>
      </c>
      <c r="D4" s="91">
        <f>IFERROR(SLOPE(Returns!E59:E70,Returns!B59:B70),"")</f>
        <v>0.66277363000980138</v>
      </c>
      <c r="E4" s="91">
        <f>IFERROR(SLOPE(Returns!F59:F70,Returns!B59:B70),"")</f>
        <v>0.74426055812267033</v>
      </c>
      <c r="F4" s="91">
        <f>IFERROR(SLOPE(Returns!G59:G70,Returns!B59:B70),"")</f>
        <v>0.91415673423635579</v>
      </c>
      <c r="G4" s="91">
        <f>IFERROR(SLOPE(Returns!H59:H70,Returns!B59:B70),"")</f>
        <v>0.17610486921968546</v>
      </c>
      <c r="H4" s="35"/>
    </row>
    <row r="5" spans="1:8" ht="22.5" customHeight="1">
      <c r="A5" s="163" t="s">
        <v>712</v>
      </c>
      <c r="B5" s="91">
        <f>IFERROR(RSQ(Returns!C59:C70,Returns!B59:B70),"")</f>
        <v>5.1631034056580705E-2</v>
      </c>
      <c r="C5" s="91">
        <f>IFERROR(RSQ(Returns!D59:D70,Returns!B59:B70),"")</f>
        <v>0.49901209438648553</v>
      </c>
      <c r="D5" s="91">
        <f>IFERROR(RSQ(Returns!E59:E70,Returns!B59:B70),"")</f>
        <v>0.41276554487677314</v>
      </c>
      <c r="E5" s="91">
        <f>IFERROR(RSQ(Returns!F59:F70,Returns!B59:B70),"")</f>
        <v>0.64307436467370205</v>
      </c>
      <c r="F5" s="91">
        <f>IFERROR(RSQ(Returns!G59:G70,Returns!B59:B70),"")</f>
        <v>0.60944214512424788</v>
      </c>
      <c r="G5" s="91">
        <f>IFERROR(RSQ(Returns!H59:H70,Returns!B59:B70),"")</f>
        <v>8.6691109625083432E-2</v>
      </c>
      <c r="H5" s="35"/>
    </row>
    <row r="6" spans="1:8" ht="21" customHeight="1">
      <c r="A6" s="166" t="s">
        <v>1188</v>
      </c>
      <c r="B6" s="218">
        <f>IFERROR(STEYX(Returns!C59:C70,Returns!B59:B70)/SQRT(DEVSQ(Returns!B59:B70)),"")</f>
        <v>0.40794628934222327</v>
      </c>
      <c r="C6" s="218">
        <f>IFERROR(STEYX(Returns!D59:D70,Returns!B59:B70)/SQRT(DEVSQ(Returns!B59:B70)),"")</f>
        <v>0.19762727039963807</v>
      </c>
      <c r="D6" s="218">
        <f>IFERROR(STEYX(Returns!E59:E70,Returns!B59:B70)/SQRT(DEVSQ(Returns!B59:B70)),"")</f>
        <v>0.24998806004294091</v>
      </c>
      <c r="E6" s="218">
        <f>IFERROR(STEYX(Returns!F59:F70,Returns!B59:B70)/SQRT(DEVSQ(Returns!B59:B70)),"")</f>
        <v>0.17534091810316407</v>
      </c>
      <c r="F6" s="218">
        <f>IFERROR(STEYX(Returns!G59:G70,Returns!B59:B70)/SQRT(DEVSQ(Returns!B59:B70)),"")</f>
        <v>0.23141798579600578</v>
      </c>
      <c r="G6" s="218">
        <f>IFERROR(STEYX(Returns!H59:H70,Returns!B59:B70)/SQRT(DEVSQ(Returns!B59:B70)),"")</f>
        <v>0.18075608478572547</v>
      </c>
    </row>
    <row r="7" spans="1:8" ht="21" customHeight="1">
      <c r="A7" s="166" t="s">
        <v>1189</v>
      </c>
      <c r="B7" s="218">
        <f t="shared" ref="B7:G7" si="0">IFERROR(0.67*B4+0.33,"")</f>
        <v>0.53167150277194541</v>
      </c>
      <c r="C7" s="218">
        <f t="shared" si="0"/>
        <v>0.74789155037090693</v>
      </c>
      <c r="D7" s="218">
        <f t="shared" si="0"/>
        <v>0.77405833210656705</v>
      </c>
      <c r="E7" s="218">
        <f t="shared" si="0"/>
        <v>0.82865457394218911</v>
      </c>
      <c r="F7" s="218">
        <f t="shared" si="0"/>
        <v>0.94248501193835854</v>
      </c>
      <c r="G7" s="218">
        <f t="shared" si="0"/>
        <v>0.44799026237718931</v>
      </c>
    </row>
    <row r="8" spans="1:8" ht="21" customHeight="1">
      <c r="A8" s="166" t="s">
        <v>1190</v>
      </c>
      <c r="B8" s="219">
        <f>SUMPRODUCT(ISNUMBER(Returns!C59:C70)*ISNUMBER(Returns!B59:B70))</f>
        <v>12</v>
      </c>
      <c r="C8" s="219">
        <f>SUMPRODUCT(ISNUMBER(Returns!D59:D70)*ISNUMBER(Returns!B59:B70))</f>
        <v>12</v>
      </c>
      <c r="D8" s="219">
        <f>SUMPRODUCT(ISNUMBER(Returns!E59:E70)*ISNUMBER(Returns!B59:B70))</f>
        <v>12</v>
      </c>
      <c r="E8" s="219">
        <f>SUMPRODUCT(ISNUMBER(Returns!F59:F70)*ISNUMBER(Returns!B59:B70))</f>
        <v>12</v>
      </c>
      <c r="F8" s="219">
        <f>SUMPRODUCT(ISNUMBER(Returns!G59:G70)*ISNUMBER(Returns!B59:B70))</f>
        <v>12</v>
      </c>
      <c r="G8" s="219">
        <f>SUMPRODUCT(ISNUMBER(Returns!H59:H70)*ISNUMBER(Returns!B59:B70))</f>
        <v>12</v>
      </c>
    </row>
    <row r="9" spans="1:8" ht="21" customHeight="1"/>
    <row r="10" spans="1:8" ht="21" customHeight="1"/>
    <row r="11" spans="1:8" ht="21" customHeight="1">
      <c r="A11" s="169" t="s">
        <v>1191</v>
      </c>
      <c r="B11" s="169" t="s">
        <v>1186</v>
      </c>
      <c r="C11" s="169" t="s">
        <v>700</v>
      </c>
      <c r="D11" s="169" t="s">
        <v>694</v>
      </c>
      <c r="E11" s="169" t="s">
        <v>696</v>
      </c>
      <c r="F11" s="169" t="s">
        <v>698</v>
      </c>
      <c r="G11" s="169" t="s">
        <v>702</v>
      </c>
    </row>
    <row r="12" spans="1:8" ht="22.5" customHeight="1">
      <c r="A12" s="163" t="s">
        <v>1187</v>
      </c>
      <c r="B12" s="91">
        <f>IFERROR(SLOPE(Returns!C47:C70,Returns!B47:B70),"")</f>
        <v>0.63760220285100877</v>
      </c>
      <c r="C12" s="91">
        <f>IFERROR(SLOPE(Returns!D47:D70,Returns!B47:B70),"")</f>
        <v>0.59044719024575831</v>
      </c>
      <c r="D12" s="91">
        <f>IFERROR(SLOPE(Returns!E47:E70,Returns!B47:B70),"")</f>
        <v>0.98273537766495966</v>
      </c>
      <c r="E12" s="91">
        <f>IFERROR(SLOPE(Returns!F47:F70,Returns!B47:B70),"")</f>
        <v>0.82943066001483168</v>
      </c>
      <c r="F12" s="91">
        <f>IFERROR(SLOPE(Returns!G47:G70,Returns!B47:B70),"")</f>
        <v>0.89668911356903214</v>
      </c>
      <c r="G12" s="91">
        <f>IFERROR(SLOPE(Returns!H47:H70,Returns!B47:B70),"")</f>
        <v>0.58315930905720703</v>
      </c>
      <c r="H12" s="35"/>
    </row>
    <row r="13" spans="1:8" ht="22.5" customHeight="1">
      <c r="A13" s="163" t="s">
        <v>712</v>
      </c>
      <c r="B13" s="91">
        <f>IFERROR(RSQ(Returns!C47:C70,Returns!B47:B70),"")</f>
        <v>0.17966895412216619</v>
      </c>
      <c r="C13" s="91">
        <f>IFERROR(RSQ(Returns!D47:D70,Returns!B47:B70),"")</f>
        <v>0.37912241812094816</v>
      </c>
      <c r="D13" s="91">
        <f>IFERROR(RSQ(Returns!E47:E70,Returns!B47:B70),"")</f>
        <v>0.42076287987326161</v>
      </c>
      <c r="E13" s="91">
        <f>IFERROR(RSQ(Returns!F47:F70,Returns!B47:B70),"")</f>
        <v>0.3965802327046678</v>
      </c>
      <c r="F13" s="91">
        <f>IFERROR(RSQ(Returns!G47:G70,Returns!B47:B70),"")</f>
        <v>0.47896595827574578</v>
      </c>
      <c r="G13" s="91">
        <f>IFERROR(RSQ(Returns!H47:H70,Returns!B47:B70),"")</f>
        <v>0.18581640838214838</v>
      </c>
      <c r="H13" s="35"/>
    </row>
    <row r="14" spans="1:8" ht="21" customHeight="1">
      <c r="A14" s="166" t="s">
        <v>1188</v>
      </c>
      <c r="B14" s="218">
        <f>IFERROR(STEYX(Returns!C47:C70,Returns!B47:B70)/SQRT(DEVSQ(Returns!B47:B70)),"")</f>
        <v>0.29046681492410353</v>
      </c>
      <c r="C14" s="218">
        <f>IFERROR(STEYX(Returns!D47:D70,Returns!B47:B70)/SQRT(DEVSQ(Returns!B47:B70)),"")</f>
        <v>0.16109533952507429</v>
      </c>
      <c r="D14" s="218">
        <f>IFERROR(STEYX(Returns!E47:E70,Returns!B47:B70)/SQRT(DEVSQ(Returns!B47:B70)),"")</f>
        <v>0.24582991642960295</v>
      </c>
      <c r="E14" s="218">
        <f>IFERROR(STEYX(Returns!F47:F70,Returns!B47:B70)/SQRT(DEVSQ(Returns!B47:B70)),"")</f>
        <v>0.219722573091861</v>
      </c>
      <c r="F14" s="218">
        <f>IFERROR(STEYX(Returns!G47:G70,Returns!B47:B70)/SQRT(DEVSQ(Returns!B47:B70)),"")</f>
        <v>0.19939363111702094</v>
      </c>
      <c r="G14" s="218">
        <f>IFERROR(STEYX(Returns!H47:H70,Returns!B47:B70)/SQRT(DEVSQ(Returns!B47:B70)),"")</f>
        <v>0.26025256256739659</v>
      </c>
    </row>
    <row r="15" spans="1:8" ht="22.5" customHeight="1">
      <c r="A15" s="163" t="s">
        <v>1189</v>
      </c>
      <c r="B15" s="91">
        <f t="shared" ref="B15:G15" si="1">IFERROR(0.67*B12+0.33,"")</f>
        <v>0.75719347591017594</v>
      </c>
      <c r="C15" s="91">
        <f t="shared" si="1"/>
        <v>0.72559961746465818</v>
      </c>
      <c r="D15" s="91">
        <f t="shared" si="1"/>
        <v>0.98843270303552311</v>
      </c>
      <c r="E15" s="91">
        <f t="shared" si="1"/>
        <v>0.88571854220993718</v>
      </c>
      <c r="F15" s="91">
        <f t="shared" si="1"/>
        <v>0.93078170609125155</v>
      </c>
      <c r="G15" s="91">
        <f t="shared" si="1"/>
        <v>0.72071673706832873</v>
      </c>
      <c r="H15" s="35"/>
    </row>
    <row r="16" spans="1:8" ht="21" customHeight="1">
      <c r="A16" s="166" t="s">
        <v>1190</v>
      </c>
      <c r="B16" s="219">
        <f>SUMPRODUCT(ISNUMBER(Returns!C47:C70)*ISNUMBER(Returns!B47:B70))</f>
        <v>24</v>
      </c>
      <c r="C16" s="219">
        <f>SUMPRODUCT(ISNUMBER(Returns!D47:D70)*ISNUMBER(Returns!B47:B70))</f>
        <v>24</v>
      </c>
      <c r="D16" s="219">
        <f>SUMPRODUCT(ISNUMBER(Returns!E47:E70)*ISNUMBER(Returns!B47:B70))</f>
        <v>24</v>
      </c>
      <c r="E16" s="219">
        <f>SUMPRODUCT(ISNUMBER(Returns!F47:F70)*ISNUMBER(Returns!B47:B70))</f>
        <v>23</v>
      </c>
      <c r="F16" s="219">
        <f>SUMPRODUCT(ISNUMBER(Returns!G47:G70)*ISNUMBER(Returns!B47:B70))</f>
        <v>24</v>
      </c>
      <c r="G16" s="219">
        <f>SUMPRODUCT(ISNUMBER(Returns!H47:H70)*ISNUMBER(Returns!B47:B70))</f>
        <v>24</v>
      </c>
    </row>
    <row r="17" spans="1:8" ht="21" customHeight="1"/>
    <row r="18" spans="1:8" ht="21" customHeight="1"/>
    <row r="19" spans="1:8" ht="21" customHeight="1">
      <c r="A19" s="169" t="s">
        <v>1192</v>
      </c>
      <c r="B19" s="169" t="s">
        <v>1186</v>
      </c>
      <c r="C19" s="169" t="s">
        <v>700</v>
      </c>
      <c r="D19" s="169" t="s">
        <v>694</v>
      </c>
      <c r="E19" s="169" t="s">
        <v>696</v>
      </c>
      <c r="F19" s="169" t="s">
        <v>698</v>
      </c>
      <c r="G19" s="169" t="s">
        <v>702</v>
      </c>
    </row>
    <row r="20" spans="1:8" ht="21" customHeight="1">
      <c r="A20" s="166" t="s">
        <v>1187</v>
      </c>
      <c r="B20" s="218">
        <f>IFERROR(SLOPE(Returns!C35:C70,Returns!B35:B70),"")</f>
        <v>0.72171798849647184</v>
      </c>
      <c r="C20" s="218">
        <f>IFERROR(SLOPE(Returns!D35:D70,Returns!B35:B70),"")</f>
        <v>0.62690894393490548</v>
      </c>
      <c r="D20" s="218">
        <f>IFERROR(SLOPE(Returns!E35:E70,Returns!B35:B70),"")</f>
        <v>1.0900636217503501</v>
      </c>
      <c r="E20" s="218">
        <f>IFERROR(SLOPE(Returns!F35:F70,Returns!B35:B70),"")</f>
        <v>0.82943066001483168</v>
      </c>
      <c r="F20" s="218">
        <f>IFERROR(SLOPE(Returns!G35:G70,Returns!B35:B70),"")</f>
        <v>1.0062704001849729</v>
      </c>
      <c r="G20" s="218">
        <f>IFERROR(SLOPE(Returns!H35:H70,Returns!B35:B70),"")</f>
        <v>0.61537197190422377</v>
      </c>
    </row>
    <row r="21" spans="1:8" ht="22.5" customHeight="1">
      <c r="A21" s="163" t="s">
        <v>712</v>
      </c>
      <c r="B21" s="91">
        <f>IFERROR(RSQ(Returns!C35:C70,Returns!B35:B70),"")</f>
        <v>0.12101861720210752</v>
      </c>
      <c r="C21" s="91">
        <f>IFERROR(RSQ(Returns!D35:D70,Returns!B35:B70),"")</f>
        <v>0.37935206321016579</v>
      </c>
      <c r="D21" s="91">
        <f>IFERROR(RSQ(Returns!E35:E70,Returns!B35:B70),"")</f>
        <v>0.41655903249760584</v>
      </c>
      <c r="E21" s="91">
        <f>IFERROR(RSQ(Returns!F35:F70,Returns!B35:B70),"")</f>
        <v>0.3965802327046678</v>
      </c>
      <c r="F21" s="91">
        <f>IFERROR(RSQ(Returns!G35:G70,Returns!B35:B70),"")</f>
        <v>0.46007241304248447</v>
      </c>
      <c r="G21" s="91">
        <f>IFERROR(RSQ(Returns!H35:H70,Returns!B35:B70),"")</f>
        <v>0.16939433251391472</v>
      </c>
      <c r="H21" s="35"/>
    </row>
    <row r="22" spans="1:8" ht="22.5" customHeight="1">
      <c r="A22" s="163" t="s">
        <v>1188</v>
      </c>
      <c r="B22" s="91">
        <f>IFERROR(STEYX(Returns!C35:C70,Returns!B35:B70)/SQRT(DEVSQ(Returns!B35:B70)),"")</f>
        <v>0.33357371116060514</v>
      </c>
      <c r="C22" s="91">
        <f>IFERROR(STEYX(Returns!D35:D70,Returns!B35:B70)/SQRT(DEVSQ(Returns!B35:B70)),"")</f>
        <v>0.13752018252698109</v>
      </c>
      <c r="D22" s="91">
        <f>IFERROR(STEYX(Returns!E35:E70,Returns!B35:B70)/SQRT(DEVSQ(Returns!B35:B70)),"")</f>
        <v>0.2212445443187484</v>
      </c>
      <c r="E22" s="91">
        <f>IFERROR(STEYX(Returns!F35:F70,Returns!B35:B70)/SQRT(DEVSQ(Returns!B35:B70)),"")</f>
        <v>0.20886527891169593</v>
      </c>
      <c r="F22" s="91">
        <f>IFERROR(STEYX(Returns!G35:G70,Returns!B35:B70)/SQRT(DEVSQ(Returns!B35:B70)),"")</f>
        <v>0.18695190803373943</v>
      </c>
      <c r="G22" s="91">
        <f>IFERROR(STEYX(Returns!H35:H70,Returns!B35:B70)/SQRT(DEVSQ(Returns!B35:B70)),"")</f>
        <v>0.23369329945842096</v>
      </c>
      <c r="H22" s="35"/>
    </row>
    <row r="23" spans="1:8" ht="22.5" customHeight="1">
      <c r="A23" s="163" t="s">
        <v>1189</v>
      </c>
      <c r="B23" s="91">
        <f t="shared" ref="B23:G23" si="2">IFERROR(0.67*B20+0.33,"")</f>
        <v>0.81355105229263613</v>
      </c>
      <c r="C23" s="91">
        <f t="shared" si="2"/>
        <v>0.75002899243638677</v>
      </c>
      <c r="D23" s="91">
        <f t="shared" si="2"/>
        <v>1.0603426265727347</v>
      </c>
      <c r="E23" s="91">
        <f t="shared" si="2"/>
        <v>0.88571854220993718</v>
      </c>
      <c r="F23" s="91">
        <f t="shared" si="2"/>
        <v>1.004201168123932</v>
      </c>
      <c r="G23" s="91">
        <f t="shared" si="2"/>
        <v>0.74229922117582992</v>
      </c>
      <c r="H23" s="35"/>
    </row>
    <row r="24" spans="1:8" ht="21" customHeight="1">
      <c r="A24" s="166" t="s">
        <v>1190</v>
      </c>
      <c r="B24" s="219">
        <f>SUMPRODUCT(ISNUMBER(Returns!C35:C70)*ISNUMBER(Returns!B35:B70))</f>
        <v>36</v>
      </c>
      <c r="C24" s="219">
        <f>SUMPRODUCT(ISNUMBER(Returns!D35:D70)*ISNUMBER(Returns!B35:B70))</f>
        <v>36</v>
      </c>
      <c r="D24" s="219">
        <f>SUMPRODUCT(ISNUMBER(Returns!E35:E70)*ISNUMBER(Returns!B35:B70))</f>
        <v>36</v>
      </c>
      <c r="E24" s="219">
        <f>SUMPRODUCT(ISNUMBER(Returns!F35:F70)*ISNUMBER(Returns!B35:B70))</f>
        <v>23</v>
      </c>
      <c r="F24" s="219">
        <f>SUMPRODUCT(ISNUMBER(Returns!G35:G70)*ISNUMBER(Returns!B35:B70))</f>
        <v>36</v>
      </c>
      <c r="G24" s="219">
        <f>SUMPRODUCT(ISNUMBER(Returns!H35:H70)*ISNUMBER(Returns!B35:B70))</f>
        <v>36</v>
      </c>
    </row>
    <row r="25" spans="1:8" ht="21" customHeight="1"/>
    <row r="26" spans="1:8" ht="21" customHeight="1"/>
    <row r="27" spans="1:8" ht="21" customHeight="1">
      <c r="A27" s="169" t="s">
        <v>1193</v>
      </c>
      <c r="B27" s="169" t="s">
        <v>1186</v>
      </c>
      <c r="C27" s="169" t="s">
        <v>700</v>
      </c>
      <c r="D27" s="169" t="s">
        <v>694</v>
      </c>
      <c r="E27" s="169" t="s">
        <v>696</v>
      </c>
      <c r="F27" s="169" t="s">
        <v>698</v>
      </c>
      <c r="G27" s="169" t="s">
        <v>702</v>
      </c>
    </row>
    <row r="28" spans="1:8" ht="21" customHeight="1">
      <c r="A28" s="166" t="s">
        <v>1187</v>
      </c>
      <c r="B28" s="218">
        <f>IFERROR(SLOPE(Returns!C11:C70,Returns!B11:B70),"")</f>
        <v>0.69327187341183427</v>
      </c>
      <c r="C28" s="218">
        <f>IFERROR(SLOPE(Returns!D11:D70,Returns!B11:B70),"")</f>
        <v>0.67349884484752731</v>
      </c>
      <c r="D28" s="218">
        <f>IFERROR(SLOPE(Returns!E11:E70,Returns!B11:B70),"")</f>
        <v>1.0819356760479886</v>
      </c>
      <c r="E28" s="218">
        <f>IFERROR(SLOPE(Returns!F11:F70,Returns!B11:B70),"")</f>
        <v>0.82943066001483168</v>
      </c>
      <c r="F28" s="218">
        <f>IFERROR(SLOPE(Returns!G11:G70,Returns!B11:B70),"")</f>
        <v>1.0744750622675192</v>
      </c>
      <c r="G28" s="218">
        <f>IFERROR(SLOPE(Returns!H11:H70,Returns!B11:B70),"")</f>
        <v>0.75546225721998372</v>
      </c>
    </row>
    <row r="29" spans="1:8" ht="22.5" customHeight="1">
      <c r="A29" s="163" t="s">
        <v>712</v>
      </c>
      <c r="B29" s="91">
        <f>IFERROR(RSQ(Returns!C11:C70,Returns!B11:B70),"")</f>
        <v>9.255386374294651E-2</v>
      </c>
      <c r="C29" s="91">
        <f>IFERROR(RSQ(Returns!D11:D70,Returns!B11:B70),"")</f>
        <v>0.34435590921391718</v>
      </c>
      <c r="D29" s="91">
        <f>IFERROR(RSQ(Returns!E11:E70,Returns!B11:B70),"")</f>
        <v>0.36575158993579765</v>
      </c>
      <c r="E29" s="91">
        <f>IFERROR(RSQ(Returns!F11:F70,Returns!B11:B70),"")</f>
        <v>0.3965802327046678</v>
      </c>
      <c r="F29" s="91">
        <f>IFERROR(RSQ(Returns!G11:G70,Returns!B11:B70),"")</f>
        <v>0.40226372063846938</v>
      </c>
      <c r="G29" s="91">
        <f>IFERROR(RSQ(Returns!H11:H70,Returns!B11:B70),"")</f>
        <v>0.17914962055964712</v>
      </c>
      <c r="H29" s="35"/>
    </row>
    <row r="30" spans="1:8" ht="22.5" customHeight="1">
      <c r="A30" s="163" t="s">
        <v>1188</v>
      </c>
      <c r="B30" s="91">
        <f>IFERROR(STEYX(Returns!C11:C70,Returns!B11:B70)/SQRT(DEVSQ(Returns!B11:B70)),"")</f>
        <v>0.28503798241342992</v>
      </c>
      <c r="C30" s="91">
        <f>IFERROR(STEYX(Returns!D11:D70,Returns!B11:B70)/SQRT(DEVSQ(Returns!B11:B70)),"")</f>
        <v>0.12202622160798185</v>
      </c>
      <c r="D30" s="91">
        <f>IFERROR(STEYX(Returns!E11:E70,Returns!B11:B70)/SQRT(DEVSQ(Returns!B11:B70)),"")</f>
        <v>0.1870785637457342</v>
      </c>
      <c r="E30" s="91">
        <f>IFERROR(STEYX(Returns!F11:F70,Returns!B11:B70)/SQRT(DEVSQ(Returns!B11:B70)),"")</f>
        <v>0.19883534534488531</v>
      </c>
      <c r="F30" s="91">
        <f>IFERROR(STEYX(Returns!G11:G70,Returns!B11:B70)/SQRT(DEVSQ(Returns!B11:B70)),"")</f>
        <v>0.17198149442596666</v>
      </c>
      <c r="G30" s="91">
        <f>IFERROR(STEYX(Returns!H11:H70,Returns!B11:B70)/SQRT(DEVSQ(Returns!B11:B70)),"")</f>
        <v>0.21233560819121605</v>
      </c>
      <c r="H30" s="35"/>
    </row>
    <row r="31" spans="1:8" ht="22.5" customHeight="1">
      <c r="A31" s="163" t="s">
        <v>1189</v>
      </c>
      <c r="B31" s="91">
        <f t="shared" ref="B31:G31" si="3">IFERROR(0.67*B28+0.33,"")</f>
        <v>0.79449215518592897</v>
      </c>
      <c r="C31" s="91">
        <f t="shared" si="3"/>
        <v>0.78124422604784338</v>
      </c>
      <c r="D31" s="91">
        <f t="shared" si="3"/>
        <v>1.0548969029521524</v>
      </c>
      <c r="E31" s="91">
        <f t="shared" si="3"/>
        <v>0.88571854220993718</v>
      </c>
      <c r="F31" s="91">
        <f t="shared" si="3"/>
        <v>1.0498982917192379</v>
      </c>
      <c r="G31" s="91">
        <f t="shared" si="3"/>
        <v>0.83615971233738917</v>
      </c>
      <c r="H31" s="35"/>
    </row>
    <row r="32" spans="1:8" ht="21" customHeight="1">
      <c r="A32" s="166" t="s">
        <v>1190</v>
      </c>
      <c r="B32" s="219">
        <f>SUMPRODUCT(ISNUMBER(Returns!C11:C70)*ISNUMBER(Returns!B11:B70))</f>
        <v>60</v>
      </c>
      <c r="C32" s="219">
        <f>SUMPRODUCT(ISNUMBER(Returns!D11:D70)*ISNUMBER(Returns!B11:B70))</f>
        <v>60</v>
      </c>
      <c r="D32" s="219">
        <f>SUMPRODUCT(ISNUMBER(Returns!E11:E70)*ISNUMBER(Returns!B11:B70))</f>
        <v>60</v>
      </c>
      <c r="E32" s="219">
        <f>SUMPRODUCT(ISNUMBER(Returns!F11:F70)*ISNUMBER(Returns!B11:B70))</f>
        <v>23</v>
      </c>
      <c r="F32" s="219">
        <f>SUMPRODUCT(ISNUMBER(Returns!G11:G70)*ISNUMBER(Returns!B11:B70))</f>
        <v>60</v>
      </c>
      <c r="G32" s="219">
        <f>SUMPRODUCT(ISNUMBER(Returns!H11:H70)*ISNUMBER(Returns!B11:B70))</f>
        <v>60</v>
      </c>
    </row>
    <row r="33" spans="1:8" ht="21" customHeight="1"/>
    <row r="34" spans="1:8" ht="21" customHeight="1"/>
    <row r="35" spans="1:8" ht="21" customHeight="1">
      <c r="A35" s="169" t="s">
        <v>1194</v>
      </c>
      <c r="B35" s="169" t="s">
        <v>1186</v>
      </c>
      <c r="C35" s="169" t="s">
        <v>700</v>
      </c>
      <c r="D35" s="169" t="s">
        <v>694</v>
      </c>
      <c r="E35" s="169" t="s">
        <v>696</v>
      </c>
      <c r="F35" s="169" t="s">
        <v>698</v>
      </c>
      <c r="G35" s="169" t="s">
        <v>702</v>
      </c>
    </row>
    <row r="36" spans="1:8" ht="22.5" customHeight="1">
      <c r="A36" s="163" t="s">
        <v>1187</v>
      </c>
      <c r="B36" s="91">
        <f>IFERROR(SLOPE(Returns!C3:C70,Returns!B3:B70),"")</f>
        <v>0.76084242389200707</v>
      </c>
      <c r="C36" s="91">
        <f>IFERROR(SLOPE(Returns!D3:D70,Returns!B3:B70),"")</f>
        <v>0.71725338600279354</v>
      </c>
      <c r="D36" s="91">
        <f>IFERROR(SLOPE(Returns!E3:E70,Returns!B3:B70),"")</f>
        <v>1.0940886747422398</v>
      </c>
      <c r="E36" s="91">
        <f>IFERROR(SLOPE(Returns!F3:F70,Returns!B3:B70),"")</f>
        <v>0.82943066001483168</v>
      </c>
      <c r="F36" s="91">
        <f>IFERROR(SLOPE(Returns!G3:G70,Returns!B3:B70),"")</f>
        <v>1.1723964526539294</v>
      </c>
      <c r="G36" s="91">
        <f>IFERROR(SLOPE(Returns!H3:H70,Returns!B3:B70),"")</f>
        <v>0.87003124661814235</v>
      </c>
      <c r="H36" s="35"/>
    </row>
    <row r="37" spans="1:8" ht="21" customHeight="1">
      <c r="A37" s="166" t="s">
        <v>712</v>
      </c>
      <c r="B37" s="218">
        <f>IFERROR(RSQ(Returns!C3:C70,Returns!B3:B70),"")</f>
        <v>9.1042255815518058E-2</v>
      </c>
      <c r="C37" s="218">
        <f>IFERROR(RSQ(Returns!D3:D70,Returns!B3:B70),"")</f>
        <v>0.34408736600479634</v>
      </c>
      <c r="D37" s="218">
        <f>IFERROR(RSQ(Returns!E3:E70,Returns!B3:B70),"")</f>
        <v>0.35554846078957431</v>
      </c>
      <c r="E37" s="218">
        <f>IFERROR(RSQ(Returns!F3:F70,Returns!B3:B70),"")</f>
        <v>0.3965802327046678</v>
      </c>
      <c r="F37" s="218">
        <f>IFERROR(RSQ(Returns!G3:G70,Returns!B3:B70),"")</f>
        <v>0.35967425549921223</v>
      </c>
      <c r="G37" s="218">
        <f>IFERROR(RSQ(Returns!H3:H70,Returns!B3:B70),"")</f>
        <v>0.16969217534585046</v>
      </c>
    </row>
    <row r="38" spans="1:8" ht="21" customHeight="1">
      <c r="A38" s="166" t="s">
        <v>1188</v>
      </c>
      <c r="B38" s="218">
        <f>IFERROR(STEYX(Returns!C3:C70,Returns!B3:B70)/SQRT(DEVSQ(Returns!B3:B70)),"")</f>
        <v>0.29591916630508619</v>
      </c>
      <c r="C38" s="218">
        <f>IFERROR(STEYX(Returns!D3:D70,Returns!B3:B70)/SQRT(DEVSQ(Returns!B3:B70)),"")</f>
        <v>0.12189594935723823</v>
      </c>
      <c r="D38" s="218">
        <f>IFERROR(STEYX(Returns!E3:E70,Returns!B3:B70)/SQRT(DEVSQ(Returns!B3:B70)),"")</f>
        <v>0.18131189039982556</v>
      </c>
      <c r="E38" s="218">
        <f>IFERROR(STEYX(Returns!F3:F70,Returns!B3:B70)/SQRT(DEVSQ(Returns!B3:B70)),"")</f>
        <v>0.19479743990689352</v>
      </c>
      <c r="F38" s="218">
        <f>IFERROR(STEYX(Returns!G3:G70,Returns!B3:B70)/SQRT(DEVSQ(Returns!B3:B70)),"")</f>
        <v>0.19255213253648923</v>
      </c>
      <c r="G38" s="218">
        <f>IFERROR(STEYX(Returns!H3:H70,Returns!B3:B70)/SQRT(DEVSQ(Returns!B3:B70)),"")</f>
        <v>0.23689262442729314</v>
      </c>
    </row>
    <row r="39" spans="1:8" ht="22.5" customHeight="1">
      <c r="A39" s="163" t="s">
        <v>1189</v>
      </c>
      <c r="B39" s="91">
        <f t="shared" ref="B39:G39" si="4">IFERROR(0.67*B36+0.33,"")</f>
        <v>0.83976442400764473</v>
      </c>
      <c r="C39" s="91">
        <f t="shared" si="4"/>
        <v>0.81055976862187173</v>
      </c>
      <c r="D39" s="91">
        <f t="shared" si="4"/>
        <v>1.0630394120773008</v>
      </c>
      <c r="E39" s="91">
        <f t="shared" si="4"/>
        <v>0.88571854220993718</v>
      </c>
      <c r="F39" s="91">
        <f t="shared" si="4"/>
        <v>1.1155056232781329</v>
      </c>
      <c r="G39" s="91">
        <f t="shared" si="4"/>
        <v>0.91292093523415541</v>
      </c>
      <c r="H39" s="35"/>
    </row>
    <row r="40" spans="1:8" ht="21" customHeight="1">
      <c r="A40" s="166" t="s">
        <v>1190</v>
      </c>
      <c r="B40" s="219">
        <f>SUMPRODUCT(ISNUMBER(Returns!C3:C70)*ISNUMBER(Returns!B3:B70))</f>
        <v>68</v>
      </c>
      <c r="C40" s="219">
        <f>SUMPRODUCT(ISNUMBER(Returns!D3:D70)*ISNUMBER(Returns!B3:B70))</f>
        <v>68</v>
      </c>
      <c r="D40" s="219">
        <f>SUMPRODUCT(ISNUMBER(Returns!E3:E70)*ISNUMBER(Returns!B3:B70))</f>
        <v>68</v>
      </c>
      <c r="E40" s="219">
        <f>SUMPRODUCT(ISNUMBER(Returns!F3:F70)*ISNUMBER(Returns!B3:B70))</f>
        <v>23</v>
      </c>
      <c r="F40" s="219">
        <f>SUMPRODUCT(ISNUMBER(Returns!G3:G70)*ISNUMBER(Returns!B3:B70))</f>
        <v>68</v>
      </c>
      <c r="G40" s="219">
        <f>SUMPRODUCT(ISNUMBER(Returns!H3:H70)*ISNUMBER(Returns!B3:B70))</f>
        <v>68</v>
      </c>
    </row>
    <row r="41" spans="1:8" ht="21" customHeight="1"/>
    <row r="42" spans="1:8" ht="21" customHeight="1"/>
    <row r="43" spans="1:8" ht="21" customHeight="1">
      <c r="A43" s="220" t="s">
        <v>1195</v>
      </c>
    </row>
    <row r="44" spans="1:8" ht="21" customHeight="1">
      <c r="B44" s="220" t="s">
        <v>1196</v>
      </c>
      <c r="C44" s="220" t="s">
        <v>1186</v>
      </c>
      <c r="D44" s="220" t="s">
        <v>700</v>
      </c>
      <c r="E44" s="220" t="s">
        <v>694</v>
      </c>
      <c r="F44" s="220" t="s">
        <v>696</v>
      </c>
      <c r="G44" s="220" t="s">
        <v>698</v>
      </c>
      <c r="H44" s="220" t="s">
        <v>702</v>
      </c>
    </row>
    <row r="45" spans="1:8" ht="21" customHeight="1">
      <c r="B45" s="221">
        <f>IFERROR(STDEV(Returns!B11:B70)*SQRT(12),"")</f>
        <v>0.15539412794713453</v>
      </c>
      <c r="C45" s="221">
        <f>IFERROR(STDEV(Returns!C11:C70)*SQRT(12),"")</f>
        <v>0.35411221489208039</v>
      </c>
      <c r="D45" s="221">
        <f>IFERROR(STDEV(Returns!D11:D70)*SQRT(12),"")</f>
        <v>0.1783477722013716</v>
      </c>
      <c r="E45" s="221">
        <f>IFERROR(STDEV(Returns!E11:E70)*SQRT(12),"")</f>
        <v>0.27799880804470978</v>
      </c>
      <c r="F45" s="221">
        <f>IFERROR(STDEV(Returns!F11:F70)*SQRT(12),"")</f>
        <v>0.29849890188530537</v>
      </c>
      <c r="G45" s="221">
        <f>IFERROR(STDEV(Returns!G11:G70)*SQRT(12),"")</f>
        <v>0.26325432250425485</v>
      </c>
      <c r="H45" s="221">
        <f>IFERROR(STDEV(Returns!H11:H70)*SQRT(12),"")</f>
        <v>0.27735719032785844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BFBFBF"/>
  </sheetPr>
  <dimension ref="A1:H70"/>
  <sheetViews>
    <sheetView workbookViewId="0">
      <pane ySplit="3" topLeftCell="A4" activePane="bottomLeft" state="frozen"/>
      <selection pane="bottomLeft"/>
    </sheetView>
  </sheetViews>
  <sheetFormatPr defaultColWidth="10.85546875" defaultRowHeight="15"/>
  <cols>
    <col min="1" max="1" width="32" style="11" customWidth="1"/>
    <col min="2" max="8" width="17.42578125" customWidth="1"/>
  </cols>
  <sheetData>
    <row r="1" spans="1:8" ht="27.95" customHeight="1">
      <c r="A1" s="228" t="s">
        <v>1197</v>
      </c>
      <c r="B1" s="228" t="s">
        <v>1196</v>
      </c>
      <c r="C1" s="228" t="s">
        <v>1186</v>
      </c>
      <c r="D1" s="228" t="s">
        <v>700</v>
      </c>
      <c r="E1" s="228" t="s">
        <v>694</v>
      </c>
      <c r="F1" s="228" t="s">
        <v>696</v>
      </c>
      <c r="G1" s="228" t="s">
        <v>698</v>
      </c>
      <c r="H1" s="228" t="s">
        <v>702</v>
      </c>
    </row>
    <row r="3" spans="1:8" ht="22.5" customHeight="1">
      <c r="A3" s="222">
        <f>Prices!A3</f>
        <v>44256</v>
      </c>
      <c r="B3" s="223">
        <f>IF(AND(ISNUMBER(Prices!B3),ISNUMBER(Prices!B2)),Prices!B3/Prices!B2-1,"")</f>
        <v>-4.105866897369348E-2</v>
      </c>
      <c r="C3" s="223">
        <f>IF(AND(ISNUMBER(Prices!C3),ISNUMBER(Prices!C2)),Prices!C3/Prices!C2-1,"")</f>
        <v>-0.22113707708405994</v>
      </c>
      <c r="D3" s="223">
        <f>IF(AND(ISNUMBER(Prices!D3),ISNUMBER(Prices!D2)),Prices!D3/Prices!D2-1,"")</f>
        <v>-7.3770491803278659E-2</v>
      </c>
      <c r="E3" s="223">
        <f>IF(AND(ISNUMBER(Prices!E3),ISNUMBER(Prices!E2)),Prices!E3/Prices!E2-1,"")</f>
        <v>-6.5723612622415661E-2</v>
      </c>
      <c r="F3" s="223" t="str">
        <f>IF(AND(ISNUMBER(Prices!F3),ISNUMBER(Prices!F2)),Prices!F3/Prices!F2-1,"")</f>
        <v/>
      </c>
      <c r="G3" s="223">
        <f>IF(AND(ISNUMBER(Prices!G3),ISNUMBER(Prices!G2)),Prices!G3/Prices!G2-1,"")</f>
        <v>-3.7647058823529367E-2</v>
      </c>
      <c r="H3" s="223">
        <f>IF(AND(ISNUMBER(Prices!H3),ISNUMBER(Prices!H2)),Prices!H3/Prices!H2-1,"")</f>
        <v>-0.15121951219512197</v>
      </c>
    </row>
    <row r="4" spans="1:8" ht="22.5" customHeight="1">
      <c r="A4" s="222">
        <f>Prices!A4</f>
        <v>44287</v>
      </c>
      <c r="B4" s="223">
        <f>IF(AND(ISNUMBER(Prices!B4),ISNUMBER(Prices!B3)),Prices!B4/Prices!B3-1,"")</f>
        <v>1.6874056055278253E-3</v>
      </c>
      <c r="C4" s="223">
        <f>IF(AND(ISNUMBER(Prices!C4),ISNUMBER(Prices!C3)),Prices!C4/Prices!C3-1,"")</f>
        <v>-4.0304523063143805E-3</v>
      </c>
      <c r="D4" s="223">
        <f>IF(AND(ISNUMBER(Prices!D4),ISNUMBER(Prices!D3)),Prices!D4/Prices!D3-1,"")</f>
        <v>3.0571198712791681E-2</v>
      </c>
      <c r="E4" s="223">
        <f>IF(AND(ISNUMBER(Prices!E4),ISNUMBER(Prices!E3)),Prices!E4/Prices!E3-1,"")</f>
        <v>-7.9664570230607912E-2</v>
      </c>
      <c r="F4" s="223" t="str">
        <f>IF(AND(ISNUMBER(Prices!F4),ISNUMBER(Prices!F3)),Prices!F4/Prices!F3-1,"")</f>
        <v/>
      </c>
      <c r="G4" s="223">
        <f>IF(AND(ISNUMBER(Prices!G4),ISNUMBER(Prices!G3)),Prices!G4/Prices!G3-1,"")</f>
        <v>-4.5406915822563398E-3</v>
      </c>
      <c r="H4" s="223">
        <f>IF(AND(ISNUMBER(Prices!H4),ISNUMBER(Prices!H3)),Prices!H4/Prices!H3-1,"")</f>
        <v>-6.0344827586206851E-2</v>
      </c>
    </row>
    <row r="5" spans="1:8" ht="21" customHeight="1">
      <c r="A5" s="224">
        <f>Prices!A5</f>
        <v>44317</v>
      </c>
      <c r="B5" s="225">
        <f>IF(AND(ISNUMBER(Prices!B5),ISNUMBER(Prices!B4)),Prices!B5/Prices!B4-1,"")</f>
        <v>-8.0325304138687548E-3</v>
      </c>
      <c r="C5" s="225">
        <f>IF(AND(ISNUMBER(Prices!C5),ISNUMBER(Prices!C4)),Prices!C5/Prices!C4-1,"")</f>
        <v>-0.16456834532374098</v>
      </c>
      <c r="D5" s="225">
        <f>IF(AND(ISNUMBER(Prices!D5),ISNUMBER(Prices!D4)),Prices!D5/Prices!D4-1,"")</f>
        <v>-4.6838407494145251E-3</v>
      </c>
      <c r="E5" s="225">
        <f>IF(AND(ISNUMBER(Prices!E5),ISNUMBER(Prices!E4)),Prices!E5/Prices!E4-1,"")</f>
        <v>5.1885598582637416E-2</v>
      </c>
      <c r="F5" s="225" t="str">
        <f>IF(AND(ISNUMBER(Prices!F5),ISNUMBER(Prices!F4)),Prices!F5/Prices!F4-1,"")</f>
        <v/>
      </c>
      <c r="G5" s="225">
        <f>IF(AND(ISNUMBER(Prices!G5),ISNUMBER(Prices!G4)),Prices!G5/Prices!G4-1,"")</f>
        <v>-5.2631578947368474E-2</v>
      </c>
      <c r="H5" s="225">
        <f>IF(AND(ISNUMBER(Prices!H5),ISNUMBER(Prices!H4)),Prices!H5/Prices!H4-1,"")</f>
        <v>-0.11314984709480125</v>
      </c>
    </row>
    <row r="6" spans="1:8" ht="22.5" customHeight="1">
      <c r="A6" s="222">
        <f>Prices!A6</f>
        <v>44348</v>
      </c>
      <c r="B6" s="223">
        <f>IF(AND(ISNUMBER(Prices!B6),ISNUMBER(Prices!B5)),Prices!B6/Prices!B5-1,"")</f>
        <v>6.3943263174530696E-3</v>
      </c>
      <c r="C6" s="223">
        <f>IF(AND(ISNUMBER(Prices!C6),ISNUMBER(Prices!C5)),Prices!C6/Prices!C5-1,"")</f>
        <v>0.2072120559741657</v>
      </c>
      <c r="D6" s="223">
        <f>IF(AND(ISNUMBER(Prices!D6),ISNUMBER(Prices!D5)),Prices!D6/Prices!D5-1,"")</f>
        <v>-5.4901960784313752E-2</v>
      </c>
      <c r="E6" s="223">
        <f>IF(AND(ISNUMBER(Prices!E6),ISNUMBER(Prices!E5)),Prices!E6/Prices!E5-1,"")</f>
        <v>-7.5072184793070207E-2</v>
      </c>
      <c r="F6" s="223" t="str">
        <f>IF(AND(ISNUMBER(Prices!F6),ISNUMBER(Prices!F5)),Prices!F6/Prices!F5-1,"")</f>
        <v/>
      </c>
      <c r="G6" s="223">
        <f>IF(AND(ISNUMBER(Prices!G6),ISNUMBER(Prices!G5)),Prices!G6/Prices!G5-1,"")</f>
        <v>-0.1425925925925926</v>
      </c>
      <c r="H6" s="223">
        <f>IF(AND(ISNUMBER(Prices!H6),ISNUMBER(Prices!H5)),Prices!H6/Prices!H5-1,"")</f>
        <v>-6.8965517241379448E-3</v>
      </c>
    </row>
    <row r="7" spans="1:8" ht="22.5" customHeight="1">
      <c r="A7" s="222">
        <f>Prices!A7</f>
        <v>44378</v>
      </c>
      <c r="B7" s="223">
        <f>IF(AND(ISNUMBER(Prices!B7),ISNUMBER(Prices!B6)),Prices!B7/Prices!B6-1,"")</f>
        <v>1.4125827626476628E-2</v>
      </c>
      <c r="C7" s="223">
        <f>IF(AND(ISNUMBER(Prices!C7),ISNUMBER(Prices!C6)),Prices!C7/Prices!C6-1,"")</f>
        <v>0.14355773517610348</v>
      </c>
      <c r="D7" s="223">
        <f>IF(AND(ISNUMBER(Prices!D7),ISNUMBER(Prices!D6)),Prices!D7/Prices!D6-1,"")</f>
        <v>-9.1286307053941584E-3</v>
      </c>
      <c r="E7" s="223">
        <f>IF(AND(ISNUMBER(Prices!E7),ISNUMBER(Prices!E6)),Prices!E7/Prices!E6-1,"")</f>
        <v>-5.8272632674297609E-2</v>
      </c>
      <c r="F7" s="223" t="str">
        <f>IF(AND(ISNUMBER(Prices!F7),ISNUMBER(Prices!F6)),Prices!F7/Prices!F6-1,"")</f>
        <v/>
      </c>
      <c r="G7" s="223">
        <f>IF(AND(ISNUMBER(Prices!G7),ISNUMBER(Prices!G6)),Prices!G7/Prices!G6-1,"")</f>
        <v>3.2397408207343492E-2</v>
      </c>
      <c r="H7" s="223">
        <f>IF(AND(ISNUMBER(Prices!H7),ISNUMBER(Prices!H6)),Prices!H7/Prices!H6-1,"")</f>
        <v>-0.17708333333333337</v>
      </c>
    </row>
    <row r="8" spans="1:8" ht="22.5" customHeight="1">
      <c r="A8" s="222">
        <f>Prices!A8</f>
        <v>44409</v>
      </c>
      <c r="B8" s="223">
        <f>IF(AND(ISNUMBER(Prices!B8),ISNUMBER(Prices!B7)),Prices!B8/Prices!B7-1,"")</f>
        <v>1.3222318139583855E-2</v>
      </c>
      <c r="C8" s="223">
        <f>IF(AND(ISNUMBER(Prices!C8),ISNUMBER(Prices!C7)),Prices!C8/Prices!C7-1,"")</f>
        <v>-0.15594541910331383</v>
      </c>
      <c r="D8" s="223">
        <f>IF(AND(ISNUMBER(Prices!D8),ISNUMBER(Prices!D7)),Prices!D8/Prices!D7-1,"")</f>
        <v>9.7152428810720171E-2</v>
      </c>
      <c r="E8" s="223">
        <f>IF(AND(ISNUMBER(Prices!E8),ISNUMBER(Prices!E7)),Prices!E8/Prices!E7-1,"")</f>
        <v>5.9116022099447552E-2</v>
      </c>
      <c r="F8" s="223" t="str">
        <f>IF(AND(ISNUMBER(Prices!F8),ISNUMBER(Prices!F7)),Prices!F8/Prices!F7-1,"")</f>
        <v/>
      </c>
      <c r="G8" s="223">
        <f>IF(AND(ISNUMBER(Prices!G8),ISNUMBER(Prices!G7)),Prices!G8/Prices!G7-1,"")</f>
        <v>0.12970711297071125</v>
      </c>
      <c r="H8" s="223">
        <f>IF(AND(ISNUMBER(Prices!H8),ISNUMBER(Prices!H7)),Prices!H8/Prices!H7-1,"")</f>
        <v>0.18143459915611815</v>
      </c>
    </row>
    <row r="9" spans="1:8" ht="21" customHeight="1">
      <c r="A9" s="224">
        <f>Prices!A9</f>
        <v>44440</v>
      </c>
      <c r="B9" s="225">
        <f>IF(AND(ISNUMBER(Prices!B9),ISNUMBER(Prices!B8)),Prices!B9/Prices!B8-1,"")</f>
        <v>2.221680243240165E-2</v>
      </c>
      <c r="C9" s="225">
        <f>IF(AND(ISNUMBER(Prices!C9),ISNUMBER(Prices!C8)),Prices!C9/Prices!C8-1,"")</f>
        <v>-8.0831408775981495E-2</v>
      </c>
      <c r="D9" s="225">
        <f>IF(AND(ISNUMBER(Prices!D9),ISNUMBER(Prices!D8)),Prices!D9/Prices!D8-1,"")</f>
        <v>6.8702290076335881E-2</v>
      </c>
      <c r="E9" s="225">
        <f>IF(AND(ISNUMBER(Prices!E9),ISNUMBER(Prices!E8)),Prices!E9/Prices!E8-1,"")</f>
        <v>4.1731872717787333E-3</v>
      </c>
      <c r="F9" s="225" t="str">
        <f>IF(AND(ISNUMBER(Prices!F9),ISNUMBER(Prices!F8)),Prices!F9/Prices!F8-1,"")</f>
        <v/>
      </c>
      <c r="G9" s="225">
        <f>IF(AND(ISNUMBER(Prices!G9),ISNUMBER(Prices!G8)),Prices!G9/Prices!G8-1,"")</f>
        <v>-4.4444444444444731E-3</v>
      </c>
      <c r="H9" s="225">
        <f>IF(AND(ISNUMBER(Prices!H9),ISNUMBER(Prices!H8)),Prices!H9/Prices!H8-1,"")</f>
        <v>0.23928571428571432</v>
      </c>
    </row>
    <row r="10" spans="1:8" ht="21" customHeight="1">
      <c r="A10" s="224">
        <f>Prices!A10</f>
        <v>44470</v>
      </c>
      <c r="B10" s="225">
        <f>IF(AND(ISNUMBER(Prices!B10),ISNUMBER(Prices!B9)),Prices!B10/Prices!B9-1,"")</f>
        <v>4.8419421849103195E-2</v>
      </c>
      <c r="C10" s="225">
        <f>IF(AND(ISNUMBER(Prices!C10),ISNUMBER(Prices!C9)),Prices!C10/Prices!C9-1,"")</f>
        <v>3.4170854271356799E-2</v>
      </c>
      <c r="D10" s="225">
        <f>IF(AND(ISNUMBER(Prices!D10),ISNUMBER(Prices!D9)),Prices!D10/Prices!D9-1,"")</f>
        <v>6.7857142857142838E-2</v>
      </c>
      <c r="E10" s="225">
        <f>IF(AND(ISNUMBER(Prices!E10),ISNUMBER(Prices!E9)),Prices!E10/Prices!E9-1,"")</f>
        <v>0.10389610389610393</v>
      </c>
      <c r="F10" s="225" t="str">
        <f>IF(AND(ISNUMBER(Prices!F10),ISNUMBER(Prices!F9)),Prices!F10/Prices!F9-1,"")</f>
        <v/>
      </c>
      <c r="G10" s="225">
        <f>IF(AND(ISNUMBER(Prices!G10),ISNUMBER(Prices!G9)),Prices!G10/Prices!G9-1,"")</f>
        <v>0.30208333333333326</v>
      </c>
      <c r="H10" s="225">
        <f>IF(AND(ISNUMBER(Prices!H10),ISNUMBER(Prices!H9)),Prices!H10/Prices!H9-1,"")</f>
        <v>9.7982708933717522E-2</v>
      </c>
    </row>
    <row r="11" spans="1:8" ht="22.5" customHeight="1">
      <c r="A11" s="222">
        <f>Prices!A11</f>
        <v>44501</v>
      </c>
      <c r="B11" s="223">
        <f>IF(AND(ISNUMBER(Prices!B11),ISNUMBER(Prices!B10)),Prices!B11/Prices!B10-1,"")</f>
        <v>-8.7114172362262599E-3</v>
      </c>
      <c r="C11" s="223">
        <f>IF(AND(ISNUMBER(Prices!C11),ISNUMBER(Prices!C10)),Prices!C11/Prices!C10-1,"")</f>
        <v>-7.3372206025267284E-2</v>
      </c>
      <c r="D11" s="223">
        <f>IF(AND(ISNUMBER(Prices!D11),ISNUMBER(Prices!D10)),Prices!D11/Prices!D10-1,"")</f>
        <v>-2.6755852842809347E-2</v>
      </c>
      <c r="E11" s="223">
        <f>IF(AND(ISNUMBER(Prices!E11),ISNUMBER(Prices!E10)),Prices!E11/Prices!E10-1,"")</f>
        <v>-3.7647058823529367E-2</v>
      </c>
      <c r="F11" s="223" t="str">
        <f>IF(AND(ISNUMBER(Prices!F11),ISNUMBER(Prices!F10)),Prices!F11/Prices!F10-1,"")</f>
        <v/>
      </c>
      <c r="G11" s="223">
        <f>IF(AND(ISNUMBER(Prices!G11),ISNUMBER(Prices!G10)),Prices!G11/Prices!G10-1,"")</f>
        <v>-2.8571428571428581E-2</v>
      </c>
      <c r="H11" s="223">
        <f>IF(AND(ISNUMBER(Prices!H11),ISNUMBER(Prices!H10)),Prices!H11/Prices!H10-1,"")</f>
        <v>-6.2992125984251968E-2</v>
      </c>
    </row>
    <row r="12" spans="1:8" ht="21" customHeight="1">
      <c r="A12" s="224">
        <f>Prices!A12</f>
        <v>44531</v>
      </c>
      <c r="B12" s="225">
        <f>IF(AND(ISNUMBER(Prices!B12),ISNUMBER(Prices!B11)),Prices!B12/Prices!B11-1,"")</f>
        <v>7.2773966051058459E-3</v>
      </c>
      <c r="C12" s="225">
        <f>IF(AND(ISNUMBER(Prices!C12),ISNUMBER(Prices!C11)),Prices!C12/Prices!C11-1,"")</f>
        <v>-8.9669638175144173E-2</v>
      </c>
      <c r="D12" s="225">
        <f>IF(AND(ISNUMBER(Prices!D12),ISNUMBER(Prices!D11)),Prices!D12/Prices!D11-1,"")</f>
        <v>3.4364261168384758E-3</v>
      </c>
      <c r="E12" s="225">
        <f>IF(AND(ISNUMBER(Prices!E12),ISNUMBER(Prices!E11)),Prices!E12/Prices!E11-1,"")</f>
        <v>4.8899755501221609E-3</v>
      </c>
      <c r="F12" s="225" t="str">
        <f>IF(AND(ISNUMBER(Prices!F12),ISNUMBER(Prices!F11)),Prices!F12/Prices!F11-1,"")</f>
        <v/>
      </c>
      <c r="G12" s="225">
        <f>IF(AND(ISNUMBER(Prices!G12),ISNUMBER(Prices!G11)),Prices!G12/Prices!G11-1,"")</f>
        <v>-7.3529411764705621E-3</v>
      </c>
      <c r="H12" s="225">
        <f>IF(AND(ISNUMBER(Prices!H12),ISNUMBER(Prices!H11)),Prices!H12/Prices!H11-1,"")</f>
        <v>2.8011204481792618E-3</v>
      </c>
    </row>
    <row r="13" spans="1:8" ht="22.5" customHeight="1">
      <c r="A13" s="222">
        <f>Prices!A13</f>
        <v>44562</v>
      </c>
      <c r="B13" s="223">
        <f>IF(AND(ISNUMBER(Prices!B13),ISNUMBER(Prices!B12)),Prices!B13/Prices!B12-1,"")</f>
        <v>7.5469347320056279E-3</v>
      </c>
      <c r="C13" s="223">
        <f>IF(AND(ISNUMBER(Prices!C13),ISNUMBER(Prices!C12)),Prices!C13/Prices!C12-1,"")</f>
        <v>-0.13191244239631339</v>
      </c>
      <c r="D13" s="223">
        <f>IF(AND(ISNUMBER(Prices!D13),ISNUMBER(Prices!D12)),Prices!D13/Prices!D12-1,"")</f>
        <v>4.4520547945205546E-2</v>
      </c>
      <c r="E13" s="223">
        <f>IF(AND(ISNUMBER(Prices!E13),ISNUMBER(Prices!E12)),Prices!E13/Prices!E12-1,"")</f>
        <v>-9.7323600973235891E-3</v>
      </c>
      <c r="F13" s="223" t="str">
        <f>IF(AND(ISNUMBER(Prices!F13),ISNUMBER(Prices!F12)),Prices!F13/Prices!F12-1,"")</f>
        <v/>
      </c>
      <c r="G13" s="223">
        <f>IF(AND(ISNUMBER(Prices!G13),ISNUMBER(Prices!G12)),Prices!G13/Prices!G12-1,"")</f>
        <v>8.5333333333333261E-2</v>
      </c>
      <c r="H13" s="223">
        <f>IF(AND(ISNUMBER(Prices!H13),ISNUMBER(Prices!H12)),Prices!H13/Prices!H12-1,"")</f>
        <v>-2.7932960893854775E-2</v>
      </c>
    </row>
    <row r="14" spans="1:8" ht="21" customHeight="1">
      <c r="A14" s="224">
        <f>Prices!A14</f>
        <v>44593</v>
      </c>
      <c r="B14" s="225">
        <f>IF(AND(ISNUMBER(Prices!B14),ISNUMBER(Prices!B13)),Prices!B14/Prices!B13-1,"")</f>
        <v>3.8759491189311213E-2</v>
      </c>
      <c r="C14" s="225">
        <f>IF(AND(ISNUMBER(Prices!C14),ISNUMBER(Prices!C13)),Prices!C14/Prices!C13-1,"")</f>
        <v>7.7637690776376944E-2</v>
      </c>
      <c r="D14" s="225">
        <f>IF(AND(ISNUMBER(Prices!D14),ISNUMBER(Prices!D13)),Prices!D14/Prices!D13-1,"")</f>
        <v>5.573770491803276E-2</v>
      </c>
      <c r="E14" s="225">
        <f>IF(AND(ISNUMBER(Prices!E14),ISNUMBER(Prices!E13)),Prices!E14/Prices!E13-1,"")</f>
        <v>0.11793611793611802</v>
      </c>
      <c r="F14" s="225" t="str">
        <f>IF(AND(ISNUMBER(Prices!F14),ISNUMBER(Prices!F13)),Prices!F14/Prices!F13-1,"")</f>
        <v/>
      </c>
      <c r="G14" s="225">
        <f>IF(AND(ISNUMBER(Prices!G14),ISNUMBER(Prices!G13)),Prices!G14/Prices!G13-1,"")</f>
        <v>9.2001092001092077E-2</v>
      </c>
      <c r="H14" s="225">
        <f>IF(AND(ISNUMBER(Prices!H14),ISNUMBER(Prices!H13)),Prices!H14/Prices!H13-1,"")</f>
        <v>3.1609195402298784E-2</v>
      </c>
    </row>
    <row r="15" spans="1:8" ht="21" customHeight="1">
      <c r="A15" s="224">
        <f>Prices!A15</f>
        <v>44621</v>
      </c>
      <c r="B15" s="225">
        <f>IF(AND(ISNUMBER(Prices!B15),ISNUMBER(Prices!B14)),Prices!B15/Prices!B14-1,"")</f>
        <v>2.6606486192994661E-2</v>
      </c>
      <c r="C15" s="225">
        <f>IF(AND(ISNUMBER(Prices!C15),ISNUMBER(Prices!C14)),Prices!C15/Prices!C14-1,"")</f>
        <v>-3.6330049261083741E-2</v>
      </c>
      <c r="D15" s="225">
        <f>IF(AND(ISNUMBER(Prices!D15),ISNUMBER(Prices!D14)),Prices!D15/Prices!D14-1,"")</f>
        <v>-9.3167701863353658E-3</v>
      </c>
      <c r="E15" s="225">
        <f>IF(AND(ISNUMBER(Prices!E15),ISNUMBER(Prices!E14)),Prices!E15/Prices!E14-1,"")</f>
        <v>2.417582417582409E-2</v>
      </c>
      <c r="F15" s="225" t="str">
        <f>IF(AND(ISNUMBER(Prices!F15),ISNUMBER(Prices!F14)),Prices!F15/Prices!F14-1,"")</f>
        <v/>
      </c>
      <c r="G15" s="225">
        <f>IF(AND(ISNUMBER(Prices!G15),ISNUMBER(Prices!G14)),Prices!G15/Prices!G14-1,"")</f>
        <v>3.125E-2</v>
      </c>
      <c r="H15" s="225">
        <f>IF(AND(ISNUMBER(Prices!H15),ISNUMBER(Prices!H14)),Prices!H15/Prices!H14-1,"")</f>
        <v>-8.0779944289693595E-2</v>
      </c>
    </row>
    <row r="16" spans="1:8" ht="21" customHeight="1">
      <c r="A16" s="224">
        <f>Prices!A16</f>
        <v>44652</v>
      </c>
      <c r="B16" s="225">
        <f>IF(AND(ISNUMBER(Prices!B16),ISNUMBER(Prices!B15)),Prices!B16/Prices!B15-1,"")</f>
        <v>2.2268448859072532E-2</v>
      </c>
      <c r="C16" s="225">
        <f>IF(AND(ISNUMBER(Prices!C16),ISNUMBER(Prices!C15)),Prices!C16/Prices!C15-1,"")</f>
        <v>-1.5335463258785986E-2</v>
      </c>
      <c r="D16" s="225">
        <f>IF(AND(ISNUMBER(Prices!D16),ISNUMBER(Prices!D15)),Prices!D16/Prices!D15-1,"")</f>
        <v>1.8808777429467183E-2</v>
      </c>
      <c r="E16" s="225">
        <f>IF(AND(ISNUMBER(Prices!E16),ISNUMBER(Prices!E15)),Prices!E16/Prices!E15-1,"")</f>
        <v>4.5064377682403345E-2</v>
      </c>
      <c r="F16" s="225" t="str">
        <f>IF(AND(ISNUMBER(Prices!F16),ISNUMBER(Prices!F15)),Prices!F16/Prices!F15-1,"")</f>
        <v/>
      </c>
      <c r="G16" s="225">
        <f>IF(AND(ISNUMBER(Prices!G16),ISNUMBER(Prices!G15)),Prices!G16/Prices!G15-1,"")</f>
        <v>0.11830303030303035</v>
      </c>
      <c r="H16" s="225">
        <f>IF(AND(ISNUMBER(Prices!H16),ISNUMBER(Prices!H15)),Prices!H16/Prices!H15-1,"")</f>
        <v>4.5454545454545414E-2</v>
      </c>
    </row>
    <row r="17" spans="1:8" ht="21" customHeight="1">
      <c r="A17" s="224">
        <f>Prices!A17</f>
        <v>44682</v>
      </c>
      <c r="B17" s="225">
        <f>IF(AND(ISNUMBER(Prices!B17),ISNUMBER(Prices!B16)),Prices!B17/Prices!B16-1,"")</f>
        <v>-1.1058375329060621E-2</v>
      </c>
      <c r="C17" s="225">
        <f>IF(AND(ISNUMBER(Prices!C17),ISNUMBER(Prices!C16)),Prices!C17/Prices!C16-1,"")</f>
        <v>-8.8903309539260178E-2</v>
      </c>
      <c r="D17" s="225">
        <f>IF(AND(ISNUMBER(Prices!D17),ISNUMBER(Prices!D16)),Prices!D17/Prices!D16-1,"")</f>
        <v>-4.6153846153846101E-2</v>
      </c>
      <c r="E17" s="225">
        <f>IF(AND(ISNUMBER(Prices!E17),ISNUMBER(Prices!E16)),Prices!E17/Prices!E16-1,"")</f>
        <v>-4.9281314168377777E-2</v>
      </c>
      <c r="F17" s="225" t="str">
        <f>IF(AND(ISNUMBER(Prices!F17),ISNUMBER(Prices!F16)),Prices!F17/Prices!F16-1,"")</f>
        <v/>
      </c>
      <c r="G17" s="225">
        <f>IF(AND(ISNUMBER(Prices!G17),ISNUMBER(Prices!G16)),Prices!G17/Prices!G16-1,"")</f>
        <v>-5.4194667244743533E-3</v>
      </c>
      <c r="H17" s="225">
        <f>IF(AND(ISNUMBER(Prices!H17),ISNUMBER(Prices!H16)),Prices!H17/Prices!H16-1,"")</f>
        <v>-0.11594202898550721</v>
      </c>
    </row>
    <row r="18" spans="1:8" ht="22.5" customHeight="1">
      <c r="A18" s="222">
        <f>Prices!A18</f>
        <v>44713</v>
      </c>
      <c r="B18" s="223">
        <f>IF(AND(ISNUMBER(Prices!B18),ISNUMBER(Prices!B17)),Prices!B18/Prices!B17-1,"")</f>
        <v>-3.3206182149316699E-2</v>
      </c>
      <c r="C18" s="223">
        <f>IF(AND(ISNUMBER(Prices!C18),ISNUMBER(Prices!C17)),Prices!C18/Prices!C17-1,"")</f>
        <v>-6.9088319088319139E-2</v>
      </c>
      <c r="D18" s="223">
        <f>IF(AND(ISNUMBER(Prices!D18),ISNUMBER(Prices!D17)),Prices!D18/Prices!D17-1,"")</f>
        <v>-6.4516129032258118E-2</v>
      </c>
      <c r="E18" s="223">
        <f>IF(AND(ISNUMBER(Prices!E18),ISNUMBER(Prices!E17)),Prices!E18/Prices!E17-1,"")</f>
        <v>-0.10367170626349897</v>
      </c>
      <c r="F18" s="223" t="str">
        <f>IF(AND(ISNUMBER(Prices!F18),ISNUMBER(Prices!F17)),Prices!F18/Prices!F17-1,"")</f>
        <v/>
      </c>
      <c r="G18" s="223">
        <f>IF(AND(ISNUMBER(Prices!G18),ISNUMBER(Prices!G17)),Prices!G18/Prices!G17-1,"")</f>
        <v>-0.1445074106364429</v>
      </c>
      <c r="H18" s="223">
        <f>IF(AND(ISNUMBER(Prices!H18),ISNUMBER(Prices!H17)),Prices!H18/Prices!H17-1,"")</f>
        <v>-7.5409836065573721E-2</v>
      </c>
    </row>
    <row r="19" spans="1:8" ht="22.5" customHeight="1">
      <c r="A19" s="222">
        <f>Prices!A19</f>
        <v>44743</v>
      </c>
      <c r="B19" s="223">
        <f>IF(AND(ISNUMBER(Prices!B19),ISNUMBER(Prices!B18)),Prices!B19/Prices!B18-1,"")</f>
        <v>5.720833731216235E-3</v>
      </c>
      <c r="C19" s="223">
        <f>IF(AND(ISNUMBER(Prices!C19),ISNUMBER(Prices!C18)),Prices!C19/Prices!C18-1,"")</f>
        <v>0.22035195103289973</v>
      </c>
      <c r="D19" s="223">
        <f>IF(AND(ISNUMBER(Prices!D19),ISNUMBER(Prices!D18)),Prices!D19/Prices!D18-1,"")</f>
        <v>1.379310344827589E-2</v>
      </c>
      <c r="E19" s="223">
        <f>IF(AND(ISNUMBER(Prices!E19),ISNUMBER(Prices!E18)),Prices!E19/Prices!E18-1,"")</f>
        <v>5.0602409638554224E-2</v>
      </c>
      <c r="F19" s="223" t="str">
        <f>IF(AND(ISNUMBER(Prices!F19),ISNUMBER(Prices!F18)),Prices!F19/Prices!F18-1,"")</f>
        <v/>
      </c>
      <c r="G19" s="223">
        <f>IF(AND(ISNUMBER(Prices!G19),ISNUMBER(Prices!G18)),Prices!G19/Prices!G18-1,"")</f>
        <v>0</v>
      </c>
      <c r="H19" s="223">
        <f>IF(AND(ISNUMBER(Prices!H19),ISNUMBER(Prices!H18)),Prices!H19/Prices!H18-1,"")</f>
        <v>-3.5460992907800915E-3</v>
      </c>
    </row>
    <row r="20" spans="1:8" ht="21" customHeight="1">
      <c r="A20" s="224">
        <f>Prices!A20</f>
        <v>44774</v>
      </c>
      <c r="B20" s="225">
        <f>IF(AND(ISNUMBER(Prices!B20),ISNUMBER(Prices!B19)),Prices!B20/Prices!B19-1,"")</f>
        <v>3.2724222859050078E-2</v>
      </c>
      <c r="C20" s="225">
        <f>IF(AND(ISNUMBER(Prices!C20),ISNUMBER(Prices!C19)),Prices!C20/Prices!C19-1,"")</f>
        <v>-7.0846394984325989E-2</v>
      </c>
      <c r="D20" s="225">
        <f>IF(AND(ISNUMBER(Prices!D20),ISNUMBER(Prices!D19)),Prices!D20/Prices!D19-1,"")</f>
        <v>0.11564625850340127</v>
      </c>
      <c r="E20" s="225">
        <f>IF(AND(ISNUMBER(Prices!E20),ISNUMBER(Prices!E19)),Prices!E20/Prices!E19-1,"")</f>
        <v>-4.5871559633027248E-3</v>
      </c>
      <c r="F20" s="225" t="str">
        <f>IF(AND(ISNUMBER(Prices!F20),ISNUMBER(Prices!F19)),Prices!F20/Prices!F19-1,"")</f>
        <v/>
      </c>
      <c r="G20" s="225">
        <f>IF(AND(ISNUMBER(Prices!G20),ISNUMBER(Prices!G19)),Prices!G20/Prices!G19-1,"")</f>
        <v>8.6114649681528599E-2</v>
      </c>
      <c r="H20" s="225">
        <f>IF(AND(ISNUMBER(Prices!H20),ISNUMBER(Prices!H19)),Prices!H20/Prices!H19-1,"")</f>
        <v>5.3380782918149405E-2</v>
      </c>
    </row>
    <row r="21" spans="1:8" ht="22.5" customHeight="1">
      <c r="A21" s="222">
        <f>Prices!A21</f>
        <v>44805</v>
      </c>
      <c r="B21" s="223">
        <f>IF(AND(ISNUMBER(Prices!B21),ISNUMBER(Prices!B20)),Prices!B21/Prices!B20-1,"")</f>
        <v>-1.9194577208058949E-2</v>
      </c>
      <c r="C21" s="223">
        <f>IF(AND(ISNUMBER(Prices!C21),ISNUMBER(Prices!C20)),Prices!C21/Prices!C20-1,"")</f>
        <v>-3.2388663967611309E-2</v>
      </c>
      <c r="D21" s="223">
        <f>IF(AND(ISNUMBER(Prices!D21),ISNUMBER(Prices!D20)),Prices!D21/Prices!D20-1,"")</f>
        <v>4.2682926829268331E-2</v>
      </c>
      <c r="E21" s="223">
        <f>IF(AND(ISNUMBER(Prices!E21),ISNUMBER(Prices!E20)),Prices!E21/Prices!E20-1,"")</f>
        <v>3.4562211981566726E-2</v>
      </c>
      <c r="F21" s="223" t="str">
        <f>IF(AND(ISNUMBER(Prices!F21),ISNUMBER(Prices!F20)),Prices!F21/Prices!F20-1,"")</f>
        <v/>
      </c>
      <c r="G21" s="223">
        <f>IF(AND(ISNUMBER(Prices!G21),ISNUMBER(Prices!G20)),Prices!G21/Prices!G20-1,"")</f>
        <v>5.2779732582688199E-2</v>
      </c>
      <c r="H21" s="223">
        <f>IF(AND(ISNUMBER(Prices!H21),ISNUMBER(Prices!H20)),Prices!H21/Prices!H20-1,"")</f>
        <v>-7.7702702702702742E-2</v>
      </c>
    </row>
    <row r="22" spans="1:8" ht="21" customHeight="1">
      <c r="A22" s="224">
        <f>Prices!A22</f>
        <v>44835</v>
      </c>
      <c r="B22" s="225">
        <f>IF(AND(ISNUMBER(Prices!B22),ISNUMBER(Prices!B21)),Prices!B22/Prices!B21-1,"")</f>
        <v>8.2504828996705637E-3</v>
      </c>
      <c r="C22" s="225">
        <f>IF(AND(ISNUMBER(Prices!C22),ISNUMBER(Prices!C21)),Prices!C22/Prices!C21-1,"")</f>
        <v>-4.8117154811715523E-2</v>
      </c>
      <c r="D22" s="225">
        <f>IF(AND(ISNUMBER(Prices!D22),ISNUMBER(Prices!D21)),Prices!D22/Prices!D21-1,"")</f>
        <v>2.9239766081871288E-2</v>
      </c>
      <c r="E22" s="225">
        <f>IF(AND(ISNUMBER(Prices!E22),ISNUMBER(Prices!E21)),Prices!E22/Prices!E21-1,"")</f>
        <v>3.563474387527843E-2</v>
      </c>
      <c r="F22" s="225" t="str">
        <f>IF(AND(ISNUMBER(Prices!F22),ISNUMBER(Prices!F21)),Prices!F22/Prices!F21-1,"")</f>
        <v/>
      </c>
      <c r="G22" s="225">
        <f>IF(AND(ISNUMBER(Prices!G22),ISNUMBER(Prices!G21)),Prices!G22/Prices!G21-1,"")</f>
        <v>4.7237076648841247E-2</v>
      </c>
      <c r="H22" s="225">
        <f>IF(AND(ISNUMBER(Prices!H22),ISNUMBER(Prices!H21)),Prices!H22/Prices!H21-1,"")</f>
        <v>8.0586080586080522E-2</v>
      </c>
    </row>
    <row r="23" spans="1:8" ht="21" customHeight="1">
      <c r="A23" s="224">
        <f>Prices!A23</f>
        <v>44866</v>
      </c>
      <c r="B23" s="225">
        <f>IF(AND(ISNUMBER(Prices!B23),ISNUMBER(Prices!B22)),Prices!B23/Prices!B22-1,"")</f>
        <v>-2.4764435003218344E-3</v>
      </c>
      <c r="C23" s="225">
        <f>IF(AND(ISNUMBER(Prices!C23),ISNUMBER(Prices!C22)),Prices!C23/Prices!C22-1,"")</f>
        <v>-4.6153846153846101E-2</v>
      </c>
      <c r="D23" s="225">
        <f>IF(AND(ISNUMBER(Prices!D23),ISNUMBER(Prices!D22)),Prices!D23/Prices!D22-1,"")</f>
        <v>5.6818181818181879E-2</v>
      </c>
      <c r="E23" s="225">
        <f>IF(AND(ISNUMBER(Prices!E23),ISNUMBER(Prices!E22)),Prices!E23/Prices!E22-1,"")</f>
        <v>7.0967741935483941E-2</v>
      </c>
      <c r="F23" s="225" t="str">
        <f>IF(AND(ISNUMBER(Prices!F23),ISNUMBER(Prices!F22)),Prices!F23/Prices!F22-1,"")</f>
        <v/>
      </c>
      <c r="G23" s="225">
        <f>IF(AND(ISNUMBER(Prices!G23),ISNUMBER(Prices!G22)),Prices!G23/Prices!G22-1,"")</f>
        <v>5.3191489361702038E-2</v>
      </c>
      <c r="H23" s="225">
        <f>IF(AND(ISNUMBER(Prices!H23),ISNUMBER(Prices!H22)),Prices!H23/Prices!H22-1,"")</f>
        <v>8.4745762711864403E-2</v>
      </c>
    </row>
    <row r="24" spans="1:8" ht="21" customHeight="1">
      <c r="A24" s="224">
        <f>Prices!A24</f>
        <v>44896</v>
      </c>
      <c r="B24" s="225">
        <f>IF(AND(ISNUMBER(Prices!B24),ISNUMBER(Prices!B23)),Prices!B24/Prices!B23-1,"")</f>
        <v>-3.2577305611532381E-2</v>
      </c>
      <c r="C24" s="225">
        <f>IF(AND(ISNUMBER(Prices!C24),ISNUMBER(Prices!C23)),Prices!C24/Prices!C23-1,"")</f>
        <v>-9.2165898617511122E-3</v>
      </c>
      <c r="D24" s="225">
        <f>IF(AND(ISNUMBER(Prices!D24),ISNUMBER(Prices!D23)),Prices!D24/Prices!D23-1,"")</f>
        <v>-8.064516129032262E-2</v>
      </c>
      <c r="E24" s="225">
        <f>IF(AND(ISNUMBER(Prices!E24),ISNUMBER(Prices!E23)),Prices!E24/Prices!E23-1,"")</f>
        <v>-8.0321285140562138E-3</v>
      </c>
      <c r="F24" s="225" t="str">
        <f>IF(AND(ISNUMBER(Prices!F24),ISNUMBER(Prices!F23)),Prices!F24/Prices!F23-1,"")</f>
        <v/>
      </c>
      <c r="G24" s="225">
        <f>IF(AND(ISNUMBER(Prices!G24),ISNUMBER(Prices!G23)),Prices!G24/Prices!G23-1,"")</f>
        <v>-6.8080808080808075E-2</v>
      </c>
      <c r="H24" s="225">
        <f>IF(AND(ISNUMBER(Prices!H24),ISNUMBER(Prices!H23)),Prices!H24/Prices!H23-1,"")</f>
        <v>-0.12812500000000004</v>
      </c>
    </row>
    <row r="25" spans="1:8" ht="22.5" customHeight="1">
      <c r="A25" s="222">
        <f>Prices!A25</f>
        <v>44927</v>
      </c>
      <c r="B25" s="223">
        <f>IF(AND(ISNUMBER(Prices!B25),ISNUMBER(Prices!B24)),Prices!B25/Prices!B24-1,"")</f>
        <v>-1.6465662961892003E-3</v>
      </c>
      <c r="C25" s="223">
        <f>IF(AND(ISNUMBER(Prices!C25),ISNUMBER(Prices!C24)),Prices!C25/Prices!C24-1,"")</f>
        <v>3.488372093023262E-2</v>
      </c>
      <c r="D25" s="223">
        <f>IF(AND(ISNUMBER(Prices!D25),ISNUMBER(Prices!D24)),Prices!D25/Prices!D24-1,"")</f>
        <v>-8.7719298245614308E-3</v>
      </c>
      <c r="E25" s="223">
        <f>IF(AND(ISNUMBER(Prices!E25),ISNUMBER(Prices!E24)),Prices!E25/Prices!E24-1,"")</f>
        <v>-7.2874493927125528E-2</v>
      </c>
      <c r="F25" s="223" t="str">
        <f>IF(AND(ISNUMBER(Prices!F25),ISNUMBER(Prices!F24)),Prices!F25/Prices!F24-1,"")</f>
        <v/>
      </c>
      <c r="G25" s="223">
        <f>IF(AND(ISNUMBER(Prices!G25),ISNUMBER(Prices!G24)),Prices!G25/Prices!G24-1,"")</f>
        <v>-8.2375894212010081E-3</v>
      </c>
      <c r="H25" s="223">
        <f>IF(AND(ISNUMBER(Prices!H25),ISNUMBER(Prices!H24)),Prices!H25/Prices!H24-1,"")</f>
        <v>-8.2437275985663083E-2</v>
      </c>
    </row>
    <row r="26" spans="1:8" ht="21" customHeight="1">
      <c r="A26" s="224">
        <f>Prices!A26</f>
        <v>44958</v>
      </c>
      <c r="B26" s="225">
        <f>IF(AND(ISNUMBER(Prices!B26),ISNUMBER(Prices!B25)),Prices!B26/Prices!B25-1,"")</f>
        <v>5.7023046083393147E-4</v>
      </c>
      <c r="C26" s="225">
        <f>IF(AND(ISNUMBER(Prices!C26),ISNUMBER(Prices!C25)),Prices!C26/Prices!C25-1,"")</f>
        <v>0.13857677902621712</v>
      </c>
      <c r="D26" s="225">
        <f>IF(AND(ISNUMBER(Prices!D26),ISNUMBER(Prices!D25)),Prices!D26/Prices!D25-1,"")</f>
        <v>3.2448377581120846E-2</v>
      </c>
      <c r="E26" s="225">
        <f>IF(AND(ISNUMBER(Prices!E26),ISNUMBER(Prices!E25)),Prices!E26/Prices!E25-1,"")</f>
        <v>1.9650655021834051E-2</v>
      </c>
      <c r="F26" s="225" t="str">
        <f>IF(AND(ISNUMBER(Prices!F26),ISNUMBER(Prices!F25)),Prices!F26/Prices!F25-1,"")</f>
        <v/>
      </c>
      <c r="G26" s="225">
        <f>IF(AND(ISNUMBER(Prices!G26),ISNUMBER(Prices!G25)),Prices!G26/Prices!G25-1,"")</f>
        <v>-4.0874316939890742E-2</v>
      </c>
      <c r="H26" s="225">
        <f>IF(AND(ISNUMBER(Prices!H26),ISNUMBER(Prices!H25)),Prices!H26/Prices!H25-1,"")</f>
        <v>-8.59375E-2</v>
      </c>
    </row>
    <row r="27" spans="1:8" ht="21" customHeight="1">
      <c r="A27" s="224">
        <f>Prices!A27</f>
        <v>44986</v>
      </c>
      <c r="B27" s="225">
        <f>IF(AND(ISNUMBER(Prices!B27),ISNUMBER(Prices!B26)),Prices!B27/Prices!B26-1,"")</f>
        <v>-5.5470800381106633E-3</v>
      </c>
      <c r="C27" s="225">
        <f>IF(AND(ISNUMBER(Prices!C27),ISNUMBER(Prices!C26)),Prices!C27/Prices!C26-1,"")</f>
        <v>0.10526315789473695</v>
      </c>
      <c r="D27" s="225">
        <f>IF(AND(ISNUMBER(Prices!D27),ISNUMBER(Prices!D26)),Prices!D27/Prices!D26-1,"")</f>
        <v>0</v>
      </c>
      <c r="E27" s="225">
        <f>IF(AND(ISNUMBER(Prices!E27),ISNUMBER(Prices!E26)),Prices!E27/Prices!E26-1,"")</f>
        <v>1.2847965738758127E-2</v>
      </c>
      <c r="F27" s="225" t="str">
        <f>IF(AND(ISNUMBER(Prices!F27),ISNUMBER(Prices!F26)),Prices!F27/Prices!F26-1,"")</f>
        <v/>
      </c>
      <c r="G27" s="225">
        <f>IF(AND(ISNUMBER(Prices!G27),ISNUMBER(Prices!G26)),Prices!G27/Prices!G26-1,"")</f>
        <v>6.540565177757518E-2</v>
      </c>
      <c r="H27" s="225">
        <f>IF(AND(ISNUMBER(Prices!H27),ISNUMBER(Prices!H26)),Prices!H27/Prices!H26-1,"")</f>
        <v>-6.4102564102564097E-2</v>
      </c>
    </row>
    <row r="28" spans="1:8" ht="21" customHeight="1">
      <c r="A28" s="224">
        <f>Prices!A28</f>
        <v>45017</v>
      </c>
      <c r="B28" s="225">
        <f>IF(AND(ISNUMBER(Prices!B28),ISNUMBER(Prices!B27)),Prices!B28/Prices!B27-1,"")</f>
        <v>1.6228575459055428E-2</v>
      </c>
      <c r="C28" s="225">
        <f>IF(AND(ISNUMBER(Prices!C28),ISNUMBER(Prices!C27)),Prices!C28/Prices!C27-1,"")</f>
        <v>2.9761904761904656E-2</v>
      </c>
      <c r="D28" s="225">
        <f>IF(AND(ISNUMBER(Prices!D28),ISNUMBER(Prices!D27)),Prices!D28/Prices!D27-1,"")</f>
        <v>3.4285714285714253E-2</v>
      </c>
      <c r="E28" s="225">
        <f>IF(AND(ISNUMBER(Prices!E28),ISNUMBER(Prices!E27)),Prices!E28/Prices!E27-1,"")</f>
        <v>7.8224101479915431E-2</v>
      </c>
      <c r="F28" s="225" t="str">
        <f>IF(AND(ISNUMBER(Prices!F28),ISNUMBER(Prices!F27)),Prices!F28/Prices!F27-1,"")</f>
        <v/>
      </c>
      <c r="G28" s="225">
        <f>IF(AND(ISNUMBER(Prices!G28),ISNUMBER(Prices!G27)),Prices!G28/Prices!G27-1,"")</f>
        <v>8.1283422459892396E-3</v>
      </c>
      <c r="H28" s="225">
        <f>IF(AND(ISNUMBER(Prices!H28),ISNUMBER(Prices!H27)),Prices!H28/Prices!H27-1,"")</f>
        <v>-2.2831050228310557E-2</v>
      </c>
    </row>
    <row r="29" spans="1:8" ht="21" customHeight="1">
      <c r="A29" s="224">
        <f>Prices!A29</f>
        <v>45047</v>
      </c>
      <c r="B29" s="225">
        <f>IF(AND(ISNUMBER(Prices!B29),ISNUMBER(Prices!B28)),Prices!B29/Prices!B28-1,"")</f>
        <v>-4.0843180464217754E-2</v>
      </c>
      <c r="C29" s="225">
        <f>IF(AND(ISNUMBER(Prices!C29),ISNUMBER(Prices!C28)),Prices!C29/Prices!C28-1,"")</f>
        <v>0</v>
      </c>
      <c r="D29" s="225">
        <f>IF(AND(ISNUMBER(Prices!D29),ISNUMBER(Prices!D28)),Prices!D29/Prices!D28-1,"")</f>
        <v>0</v>
      </c>
      <c r="E29" s="225">
        <f>IF(AND(ISNUMBER(Prices!E29),ISNUMBER(Prices!E28)),Prices!E29/Prices!E28-1,"")</f>
        <v>9.3137254901960675E-2</v>
      </c>
      <c r="F29" s="225" t="str">
        <f>IF(AND(ISNUMBER(Prices!F29),ISNUMBER(Prices!F28)),Prices!F29/Prices!F28-1,"")</f>
        <v/>
      </c>
      <c r="G29" s="225">
        <f>IF(AND(ISNUMBER(Prices!G29),ISNUMBER(Prices!G28)),Prices!G29/Prices!G28-1,"")</f>
        <v>-3.9889666878845764E-2</v>
      </c>
      <c r="H29" s="225">
        <f>IF(AND(ISNUMBER(Prices!H29),ISNUMBER(Prices!H28)),Prices!H29/Prices!H28-1,"")</f>
        <v>-0.11214953271028039</v>
      </c>
    </row>
    <row r="30" spans="1:8" ht="22.5" customHeight="1">
      <c r="A30" s="222">
        <f>Prices!A30</f>
        <v>45078</v>
      </c>
      <c r="B30" s="223">
        <f>IF(AND(ISNUMBER(Prices!B30),ISNUMBER(Prices!B29)),Prices!B30/Prices!B29-1,"")</f>
        <v>4.3146205636444002E-3</v>
      </c>
      <c r="C30" s="223">
        <f>IF(AND(ISNUMBER(Prices!C30),ISNUMBER(Prices!C29)),Prices!C30/Prices!C29-1,"")</f>
        <v>-2.3121387283236983E-2</v>
      </c>
      <c r="D30" s="223">
        <f>IF(AND(ISNUMBER(Prices!D30),ISNUMBER(Prices!D29)),Prices!D30/Prices!D29-1,"")</f>
        <v>1.1049723756906049E-2</v>
      </c>
      <c r="E30" s="223">
        <f>IF(AND(ISNUMBER(Prices!E30),ISNUMBER(Prices!E29)),Prices!E30/Prices!E29-1,"")</f>
        <v>-2.6905829596412523E-2</v>
      </c>
      <c r="F30" s="223" t="str">
        <f>IF(AND(ISNUMBER(Prices!F30),ISNUMBER(Prices!F29)),Prices!F30/Prices!F29-1,"")</f>
        <v/>
      </c>
      <c r="G30" s="223">
        <f>IF(AND(ISNUMBER(Prices!G30),ISNUMBER(Prices!G29)),Prices!G30/Prices!G29-1,"")</f>
        <v>1.1049723756906049E-2</v>
      </c>
      <c r="H30" s="223">
        <f>IF(AND(ISNUMBER(Prices!H30),ISNUMBER(Prices!H29)),Prices!H30/Prices!H29-1,"")</f>
        <v>8.9473684210526372E-2</v>
      </c>
    </row>
    <row r="31" spans="1:8" ht="22.5" customHeight="1">
      <c r="A31" s="222">
        <f>Prices!A31</f>
        <v>45108</v>
      </c>
      <c r="B31" s="223">
        <f>IF(AND(ISNUMBER(Prices!B31),ISNUMBER(Prices!B30)),Prices!B31/Prices!B30-1,"")</f>
        <v>4.0451043849483836E-2</v>
      </c>
      <c r="C31" s="223">
        <f>IF(AND(ISNUMBER(Prices!C31),ISNUMBER(Prices!C30)),Prices!C31/Prices!C30-1,"")</f>
        <v>-2.0710059171597628E-2</v>
      </c>
      <c r="D31" s="223">
        <f>IF(AND(ISNUMBER(Prices!D31),ISNUMBER(Prices!D30)),Prices!D31/Prices!D30-1,"")</f>
        <v>-2.732240437158473E-3</v>
      </c>
      <c r="E31" s="223">
        <f>IF(AND(ISNUMBER(Prices!E31),ISNUMBER(Prices!E30)),Prices!E31/Prices!E30-1,"")</f>
        <v>4.1474654377880116E-2</v>
      </c>
      <c r="F31" s="223" t="str">
        <f>IF(AND(ISNUMBER(Prices!F31),ISNUMBER(Prices!F30)),Prices!F31/Prices!F30-1,"")</f>
        <v/>
      </c>
      <c r="G31" s="223">
        <f>IF(AND(ISNUMBER(Prices!G31),ISNUMBER(Prices!G30)),Prices!G31/Prices!G30-1,"")</f>
        <v>-2.9945355191256851E-2</v>
      </c>
      <c r="H31" s="223">
        <f>IF(AND(ISNUMBER(Prices!H31),ISNUMBER(Prices!H30)),Prices!H31/Prices!H30-1,"")</f>
        <v>2.8985507246376718E-2</v>
      </c>
    </row>
    <row r="32" spans="1:8" ht="22.5" customHeight="1">
      <c r="A32" s="222">
        <f>Prices!A32</f>
        <v>45139</v>
      </c>
      <c r="B32" s="223">
        <f>IF(AND(ISNUMBER(Prices!B32),ISNUMBER(Prices!B31)),Prices!B32/Prices!B31-1,"")</f>
        <v>3.1595531035757407E-3</v>
      </c>
      <c r="C32" s="223">
        <f>IF(AND(ISNUMBER(Prices!C32),ISNUMBER(Prices!C31)),Prices!C32/Prices!C31-1,"")</f>
        <v>3.3232628398791597E-2</v>
      </c>
      <c r="D32" s="223">
        <f>IF(AND(ISNUMBER(Prices!D32),ISNUMBER(Prices!D31)),Prices!D32/Prices!D31-1,"")</f>
        <v>5.479452054794498E-3</v>
      </c>
      <c r="E32" s="223">
        <f>IF(AND(ISNUMBER(Prices!E32),ISNUMBER(Prices!E31)),Prices!E32/Prices!E31-1,"")</f>
        <v>-1.7699115044247815E-2</v>
      </c>
      <c r="F32" s="223" t="str">
        <f>IF(AND(ISNUMBER(Prices!F32),ISNUMBER(Prices!F31)),Prices!F32/Prices!F31-1,"")</f>
        <v/>
      </c>
      <c r="G32" s="223">
        <f>IF(AND(ISNUMBER(Prices!G32),ISNUMBER(Prices!G31)),Prices!G32/Prices!G31-1,"")</f>
        <v>3.3799008562415578E-2</v>
      </c>
      <c r="H32" s="223">
        <f>IF(AND(ISNUMBER(Prices!H32),ISNUMBER(Prices!H31)),Prices!H32/Prices!H31-1,"")</f>
        <v>1.4084507042253502E-2</v>
      </c>
    </row>
    <row r="33" spans="1:8" ht="21" customHeight="1">
      <c r="A33" s="224">
        <f>Prices!A33</f>
        <v>45170</v>
      </c>
      <c r="B33" s="225">
        <f>IF(AND(ISNUMBER(Prices!B33),ISNUMBER(Prices!B32)),Prices!B33/Prices!B32-1,"")</f>
        <v>-1.9228390711695242E-3</v>
      </c>
      <c r="C33" s="225">
        <f>IF(AND(ISNUMBER(Prices!C33),ISNUMBER(Prices!C32)),Prices!C33/Prices!C32-1,"")</f>
        <v>-4.9707602339181256E-2</v>
      </c>
      <c r="D33" s="225">
        <f>IF(AND(ISNUMBER(Prices!D33),ISNUMBER(Prices!D32)),Prices!D33/Prices!D32-1,"")</f>
        <v>-3.8147138964577665E-2</v>
      </c>
      <c r="E33" s="225">
        <f>IF(AND(ISNUMBER(Prices!E33),ISNUMBER(Prices!E32)),Prices!E33/Prices!E32-1,"")</f>
        <v>-5.8558558558558516E-2</v>
      </c>
      <c r="F33" s="225" t="str">
        <f>IF(AND(ISNUMBER(Prices!F33),ISNUMBER(Prices!F32)),Prices!F33/Prices!F32-1,"")</f>
        <v/>
      </c>
      <c r="G33" s="225">
        <f>IF(AND(ISNUMBER(Prices!G33),ISNUMBER(Prices!G32)),Prices!G33/Prices!G32-1,"")</f>
        <v>0.12532693984306897</v>
      </c>
      <c r="H33" s="225">
        <f>IF(AND(ISNUMBER(Prices!H33),ISNUMBER(Prices!H32)),Prices!H33/Prices!H32-1,"")</f>
        <v>-0.11805555555555558</v>
      </c>
    </row>
    <row r="34" spans="1:8" ht="21" customHeight="1">
      <c r="A34" s="224">
        <f>Prices!A34</f>
        <v>45200</v>
      </c>
      <c r="B34" s="225">
        <f>IF(AND(ISNUMBER(Prices!B34),ISNUMBER(Prices!B33)),Prices!B34/Prices!B33-1,"")</f>
        <v>-2.7043656311555364E-2</v>
      </c>
      <c r="C34" s="225">
        <f>IF(AND(ISNUMBER(Prices!C34),ISNUMBER(Prices!C33)),Prices!C34/Prices!C33-1,"")</f>
        <v>-7.6923076923076872E-2</v>
      </c>
      <c r="D34" s="225">
        <f>IF(AND(ISNUMBER(Prices!D34),ISNUMBER(Prices!D33)),Prices!D34/Prices!D33-1,"")</f>
        <v>-8.4985835694051381E-3</v>
      </c>
      <c r="E34" s="225">
        <f>IF(AND(ISNUMBER(Prices!E34),ISNUMBER(Prices!E33)),Prices!E34/Prices!E33-1,"")</f>
        <v>-5.0717703349282273E-2</v>
      </c>
      <c r="F34" s="225" t="str">
        <f>IF(AND(ISNUMBER(Prices!F34),ISNUMBER(Prices!F33)),Prices!F34/Prices!F33-1,"")</f>
        <v/>
      </c>
      <c r="G34" s="225">
        <f>IF(AND(ISNUMBER(Prices!G34),ISNUMBER(Prices!G33)),Prices!G34/Prices!G33-1,"")</f>
        <v>-7.2244818903738128E-2</v>
      </c>
      <c r="H34" s="225">
        <f>IF(AND(ISNUMBER(Prices!H34),ISNUMBER(Prices!H33)),Prices!H34/Prices!H33-1,"")</f>
        <v>-0.17322834645669294</v>
      </c>
    </row>
    <row r="35" spans="1:8" ht="21" customHeight="1">
      <c r="A35" s="224">
        <f>Prices!A35</f>
        <v>45231</v>
      </c>
      <c r="B35" s="225">
        <f>IF(AND(ISNUMBER(Prices!B35),ISNUMBER(Prices!B34)),Prices!B35/Prices!B34-1,"")</f>
        <v>4.8655181044428453E-2</v>
      </c>
      <c r="C35" s="225">
        <f>IF(AND(ISNUMBER(Prices!C35),ISNUMBER(Prices!C34)),Prices!C35/Prices!C34-1,"")</f>
        <v>0.10333333333333328</v>
      </c>
      <c r="D35" s="225">
        <f>IF(AND(ISNUMBER(Prices!D35),ISNUMBER(Prices!D34)),Prices!D35/Prices!D34-1,"")</f>
        <v>2.5714285714285801E-2</v>
      </c>
      <c r="E35" s="225">
        <f>IF(AND(ISNUMBER(Prices!E35),ISNUMBER(Prices!E34)),Prices!E35/Prices!E34-1,"")</f>
        <v>6.3508064516129004E-2</v>
      </c>
      <c r="F35" s="225" t="str">
        <f>IF(AND(ISNUMBER(Prices!F35),ISNUMBER(Prices!F34)),Prices!F35/Prices!F34-1,"")</f>
        <v/>
      </c>
      <c r="G35" s="225">
        <f>IF(AND(ISNUMBER(Prices!G35),ISNUMBER(Prices!G34)),Prices!G35/Prices!G34-1,"")</f>
        <v>0.10125260960334037</v>
      </c>
      <c r="H35" s="225">
        <f>IF(AND(ISNUMBER(Prices!H35),ISNUMBER(Prices!H34)),Prices!H35/Prices!H34-1,"")</f>
        <v>5.0793650793650835E-2</v>
      </c>
    </row>
    <row r="36" spans="1:8" ht="21" customHeight="1">
      <c r="A36" s="224">
        <f>Prices!A36</f>
        <v>45261</v>
      </c>
      <c r="B36" s="225">
        <f>IF(AND(ISNUMBER(Prices!B36),ISNUMBER(Prices!B35)),Prices!B36/Prices!B35-1,"")</f>
        <v>2.7124283620073575E-2</v>
      </c>
      <c r="C36" s="225">
        <f>IF(AND(ISNUMBER(Prices!C36),ISNUMBER(Prices!C35)),Prices!C36/Prices!C35-1,"")</f>
        <v>5.1359516616314105E-2</v>
      </c>
      <c r="D36" s="225">
        <f>IF(AND(ISNUMBER(Prices!D36),ISNUMBER(Prices!D35)),Prices!D36/Prices!D35-1,"")</f>
        <v>4.7353760445682402E-2</v>
      </c>
      <c r="E36" s="225">
        <f>IF(AND(ISNUMBER(Prices!E36),ISNUMBER(Prices!E35)),Prices!E36/Prices!E35-1,"")</f>
        <v>8.5308056872037907E-2</v>
      </c>
      <c r="F36" s="225" t="str">
        <f>IF(AND(ISNUMBER(Prices!F36),ISNUMBER(Prices!F35)),Prices!F36/Prices!F35-1,"")</f>
        <v/>
      </c>
      <c r="G36" s="225">
        <f>IF(AND(ISNUMBER(Prices!G36),ISNUMBER(Prices!G35)),Prices!G36/Prices!G35-1,"")</f>
        <v>1.8957345971563955E-2</v>
      </c>
      <c r="H36" s="225">
        <f>IF(AND(ISNUMBER(Prices!H36),ISNUMBER(Prices!H35)),Prices!H36/Prices!H35-1,"")</f>
        <v>2.114803625377637E-2</v>
      </c>
    </row>
    <row r="37" spans="1:8" ht="21" customHeight="1">
      <c r="A37" s="224">
        <f>Prices!A37</f>
        <v>45292</v>
      </c>
      <c r="B37" s="225">
        <f>IF(AND(ISNUMBER(Prices!B37),ISNUMBER(Prices!B36)),Prices!B37/Prices!B36-1,"")</f>
        <v>-8.9181608183919181E-3</v>
      </c>
      <c r="C37" s="225">
        <f>IF(AND(ISNUMBER(Prices!C37),ISNUMBER(Prices!C36)),Prices!C37/Prices!C36-1,"")</f>
        <v>0.33908045977011492</v>
      </c>
      <c r="D37" s="225">
        <f>IF(AND(ISNUMBER(Prices!D37),ISNUMBER(Prices!D36)),Prices!D37/Prices!D36-1,"")</f>
        <v>1.5957446808510634E-2</v>
      </c>
      <c r="E37" s="225">
        <f>IF(AND(ISNUMBER(Prices!E37),ISNUMBER(Prices!E36)),Prices!E37/Prices!E36-1,"")</f>
        <v>-4.366812227074246E-3</v>
      </c>
      <c r="F37" s="225" t="str">
        <f>IF(AND(ISNUMBER(Prices!F37),ISNUMBER(Prices!F36)),Prices!F37/Prices!F36-1,"")</f>
        <v/>
      </c>
      <c r="G37" s="225">
        <f>IF(AND(ISNUMBER(Prices!G37),ISNUMBER(Prices!G36)),Prices!G37/Prices!G36-1,"")</f>
        <v>6.9767441860465018E-2</v>
      </c>
      <c r="H37" s="225">
        <f>IF(AND(ISNUMBER(Prices!H37),ISNUMBER(Prices!H36)),Prices!H37/Prices!H36-1,"")</f>
        <v>-5.9171597633136064E-2</v>
      </c>
    </row>
    <row r="38" spans="1:8" ht="21" customHeight="1">
      <c r="A38" s="224">
        <f>Prices!A38</f>
        <v>45323</v>
      </c>
      <c r="B38" s="225">
        <f>IF(AND(ISNUMBER(Prices!B38),ISNUMBER(Prices!B37)),Prices!B38/Prices!B37-1,"")</f>
        <v>1.5007061657005938E-2</v>
      </c>
      <c r="C38" s="225">
        <f>IF(AND(ISNUMBER(Prices!C38),ISNUMBER(Prices!C37)),Prices!C38/Prices!C37-1,"")</f>
        <v>6.0085836909871349E-2</v>
      </c>
      <c r="D38" s="225">
        <f>IF(AND(ISNUMBER(Prices!D38),ISNUMBER(Prices!D37)),Prices!D38/Prices!D37-1,"")</f>
        <v>3.4031413612565453E-2</v>
      </c>
      <c r="E38" s="225">
        <f>IF(AND(ISNUMBER(Prices!E38),ISNUMBER(Prices!E37)),Prices!E38/Prices!E37-1,"")</f>
        <v>7.4561403508771829E-2</v>
      </c>
      <c r="F38" s="225" t="str">
        <f>IF(AND(ISNUMBER(Prices!F38),ISNUMBER(Prices!F37)),Prices!F38/Prices!F37-1,"")</f>
        <v/>
      </c>
      <c r="G38" s="225">
        <f>IF(AND(ISNUMBER(Prices!G38),ISNUMBER(Prices!G37)),Prices!G38/Prices!G37-1,"")</f>
        <v>4.3478260869565188E-2</v>
      </c>
      <c r="H38" s="225">
        <f>IF(AND(ISNUMBER(Prices!H38),ISNUMBER(Prices!H37)),Prices!H38/Prices!H37-1,"")</f>
        <v>-0.13522012578616349</v>
      </c>
    </row>
    <row r="39" spans="1:8" ht="22.5" customHeight="1">
      <c r="A39" s="222">
        <f>Prices!A39</f>
        <v>45352</v>
      </c>
      <c r="B39" s="223">
        <f>IF(AND(ISNUMBER(Prices!B39),ISNUMBER(Prices!B38)),Prices!B39/Prices!B38-1,"")</f>
        <v>-3.7314911886233704E-3</v>
      </c>
      <c r="C39" s="223">
        <f>IF(AND(ISNUMBER(Prices!C39),ISNUMBER(Prices!C38)),Prices!C39/Prices!C38-1,"")</f>
        <v>9.7165991902834037E-2</v>
      </c>
      <c r="D39" s="223">
        <f>IF(AND(ISNUMBER(Prices!D39),ISNUMBER(Prices!D38)),Prices!D39/Prices!D38-1,"")</f>
        <v>2.0253164556962133E-2</v>
      </c>
      <c r="E39" s="223">
        <f>IF(AND(ISNUMBER(Prices!E39),ISNUMBER(Prices!E38)),Prices!E39/Prices!E38-1,"")</f>
        <v>-1.2244897959183709E-2</v>
      </c>
      <c r="F39" s="223" t="str">
        <f>IF(AND(ISNUMBER(Prices!F39),ISNUMBER(Prices!F38)),Prices!F39/Prices!F38-1,"")</f>
        <v/>
      </c>
      <c r="G39" s="223">
        <f>IF(AND(ISNUMBER(Prices!G39),ISNUMBER(Prices!G38)),Prices!G39/Prices!G38-1,"")</f>
        <v>-1.6666666666666718E-2</v>
      </c>
      <c r="H39" s="223">
        <f>IF(AND(ISNUMBER(Prices!H39),ISNUMBER(Prices!H38)),Prices!H39/Prices!H38-1,"")</f>
        <v>-1.4545454545454528E-2</v>
      </c>
    </row>
    <row r="40" spans="1:8" ht="21" customHeight="1">
      <c r="A40" s="224">
        <f>Prices!A40</f>
        <v>45383</v>
      </c>
      <c r="B40" s="225">
        <f>IF(AND(ISNUMBER(Prices!B40),ISNUMBER(Prices!B39)),Prices!B40/Prices!B39-1,"")</f>
        <v>-7.4923067002707899E-3</v>
      </c>
      <c r="C40" s="225">
        <f>IF(AND(ISNUMBER(Prices!C40),ISNUMBER(Prices!C39)),Prices!C40/Prices!C39-1,"")</f>
        <v>-2.5830258302583009E-2</v>
      </c>
      <c r="D40" s="225">
        <f>IF(AND(ISNUMBER(Prices!D40),ISNUMBER(Prices!D39)),Prices!D40/Prices!D39-1,"")</f>
        <v>-2.7295285359801524E-2</v>
      </c>
      <c r="E40" s="225">
        <f>IF(AND(ISNUMBER(Prices!E40),ISNUMBER(Prices!E39)),Prices!E40/Prices!E39-1,"")</f>
        <v>-0.1834710743801653</v>
      </c>
      <c r="F40" s="225" t="str">
        <f>IF(AND(ISNUMBER(Prices!F40),ISNUMBER(Prices!F39)),Prices!F40/Prices!F39-1,"")</f>
        <v/>
      </c>
      <c r="G40" s="225">
        <f>IF(AND(ISNUMBER(Prices!G40),ISNUMBER(Prices!G39)),Prices!G40/Prices!G39-1,"")</f>
        <v>-0.11016949152542377</v>
      </c>
      <c r="H40" s="225">
        <f>IF(AND(ISNUMBER(Prices!H40),ISNUMBER(Prices!H39)),Prices!H40/Prices!H39-1,"")</f>
        <v>-0.10332103321033215</v>
      </c>
    </row>
    <row r="41" spans="1:8" ht="21" customHeight="1">
      <c r="A41" s="224">
        <f>Prices!A41</f>
        <v>45413</v>
      </c>
      <c r="B41" s="225">
        <f>IF(AND(ISNUMBER(Prices!B41),ISNUMBER(Prices!B40)),Prices!B41/Prices!B40-1,"")</f>
        <v>-3.6418677946421174E-2</v>
      </c>
      <c r="C41" s="225">
        <f>IF(AND(ISNUMBER(Prices!C41),ISNUMBER(Prices!C40)),Prices!C41/Prices!C40-1,"")</f>
        <v>-0.16666666666666663</v>
      </c>
      <c r="D41" s="225">
        <f>IF(AND(ISNUMBER(Prices!D41),ISNUMBER(Prices!D40)),Prices!D41/Prices!D40-1,"")</f>
        <v>-5.6122448979591844E-2</v>
      </c>
      <c r="E41" s="225">
        <f>IF(AND(ISNUMBER(Prices!E41),ISNUMBER(Prices!E40)),Prices!E41/Prices!E40-1,"")</f>
        <v>-0.12145748987854255</v>
      </c>
      <c r="F41" s="225" t="str">
        <f>IF(AND(ISNUMBER(Prices!F41),ISNUMBER(Prices!F40)),Prices!F41/Prices!F40-1,"")</f>
        <v/>
      </c>
      <c r="G41" s="225">
        <f>IF(AND(ISNUMBER(Prices!G41),ISNUMBER(Prices!G40)),Prices!G41/Prices!G40-1,"")</f>
        <v>-0.16190476190476188</v>
      </c>
      <c r="H41" s="225">
        <f>IF(AND(ISNUMBER(Prices!H41),ISNUMBER(Prices!H40)),Prices!H41/Prices!H40-1,"")</f>
        <v>-4.1152263374485631E-2</v>
      </c>
    </row>
    <row r="42" spans="1:8" ht="21" customHeight="1">
      <c r="A42" s="224">
        <f>Prices!A42</f>
        <v>45444</v>
      </c>
      <c r="B42" s="225">
        <f>IF(AND(ISNUMBER(Prices!B42),ISNUMBER(Prices!B41)),Prices!B42/Prices!B41-1,"")</f>
        <v>1.3318528592373369E-2</v>
      </c>
      <c r="C42" s="225">
        <f>IF(AND(ISNUMBER(Prices!C42),ISNUMBER(Prices!C41)),Prices!C42/Prices!C41-1,"")</f>
        <v>0.19090909090909092</v>
      </c>
      <c r="D42" s="225">
        <f>IF(AND(ISNUMBER(Prices!D42),ISNUMBER(Prices!D41)),Prices!D42/Prices!D41-1,"")</f>
        <v>7.2972972972972894E-2</v>
      </c>
      <c r="E42" s="225">
        <f>IF(AND(ISNUMBER(Prices!E42),ISNUMBER(Prices!E41)),Prices!E42/Prices!E41-1,"")</f>
        <v>5.9907834101382562E-2</v>
      </c>
      <c r="F42" s="225" t="str">
        <f>IF(AND(ISNUMBER(Prices!F42),ISNUMBER(Prices!F41)),Prices!F42/Prices!F41-1,"")</f>
        <v/>
      </c>
      <c r="G42" s="225">
        <f>IF(AND(ISNUMBER(Prices!G42),ISNUMBER(Prices!G41)),Prices!G42/Prices!G41-1,"")</f>
        <v>5.9090909090909083E-2</v>
      </c>
      <c r="H42" s="225">
        <f>IF(AND(ISNUMBER(Prices!H42),ISNUMBER(Prices!H41)),Prices!H42/Prices!H41-1,"")</f>
        <v>-1.7167381974248941E-2</v>
      </c>
    </row>
    <row r="43" spans="1:8" ht="22.5" customHeight="1">
      <c r="A43" s="222">
        <f>Prices!A43</f>
        <v>45474</v>
      </c>
      <c r="B43" s="223">
        <f>IF(AND(ISNUMBER(Prices!B43),ISNUMBER(Prices!B42)),Prices!B43/Prices!B42-1,"")</f>
        <v>2.7207166904034574E-2</v>
      </c>
      <c r="C43" s="223">
        <f>IF(AND(ISNUMBER(Prices!C43),ISNUMBER(Prices!C42)),Prices!C43/Prices!C42-1,"")</f>
        <v>-7.6335877862595547E-3</v>
      </c>
      <c r="D43" s="223">
        <f>IF(AND(ISNUMBER(Prices!D43),ISNUMBER(Prices!D42)),Prices!D43/Prices!D42-1,"")</f>
        <v>3.5264483627204024E-2</v>
      </c>
      <c r="E43" s="223">
        <f>IF(AND(ISNUMBER(Prices!E43),ISNUMBER(Prices!E42)),Prices!E43/Prices!E42-1,"")</f>
        <v>1.5217391304347849E-2</v>
      </c>
      <c r="F43" s="223" t="str">
        <f>IF(AND(ISNUMBER(Prices!F43),ISNUMBER(Prices!F42)),Prices!F43/Prices!F42-1,"")</f>
        <v/>
      </c>
      <c r="G43" s="223">
        <f>IF(AND(ISNUMBER(Prices!G43),ISNUMBER(Prices!G42)),Prices!G43/Prices!G42-1,"")</f>
        <v>6.6523605150214493E-2</v>
      </c>
      <c r="H43" s="223">
        <f>IF(AND(ISNUMBER(Prices!H43),ISNUMBER(Prices!H42)),Prices!H43/Prices!H42-1,"")</f>
        <v>-4.366812227074246E-3</v>
      </c>
    </row>
    <row r="44" spans="1:8" ht="21" customHeight="1">
      <c r="A44" s="224">
        <f>Prices!A44</f>
        <v>45505</v>
      </c>
      <c r="B44" s="225">
        <f>IF(AND(ISNUMBER(Prices!B44),ISNUMBER(Prices!B43)),Prices!B44/Prices!B43-1,"")</f>
        <v>5.7191803477512959E-2</v>
      </c>
      <c r="C44" s="225">
        <f>IF(AND(ISNUMBER(Prices!C44),ISNUMBER(Prices!C43)),Prices!C44/Prices!C43-1,"")</f>
        <v>1.9230769230769162E-2</v>
      </c>
      <c r="D44" s="225">
        <f>IF(AND(ISNUMBER(Prices!D44),ISNUMBER(Prices!D43)),Prices!D44/Prices!D43-1,"")</f>
        <v>4.8661800486617945E-3</v>
      </c>
      <c r="E44" s="225">
        <f>IF(AND(ISNUMBER(Prices!E44),ISNUMBER(Prices!E43)),Prices!E44/Prices!E43-1,"")</f>
        <v>0.10278372591006435</v>
      </c>
      <c r="F44" s="225" t="str">
        <f>IF(AND(ISNUMBER(Prices!F44),ISNUMBER(Prices!F43)),Prices!F44/Prices!F43-1,"")</f>
        <v/>
      </c>
      <c r="G44" s="225">
        <f>IF(AND(ISNUMBER(Prices!G44),ISNUMBER(Prices!G43)),Prices!G44/Prices!G43-1,"")</f>
        <v>7.64587525150906E-2</v>
      </c>
      <c r="H44" s="225">
        <f>IF(AND(ISNUMBER(Prices!H44),ISNUMBER(Prices!H43)),Prices!H44/Prices!H43-1,"")</f>
        <v>0.10964912280701755</v>
      </c>
    </row>
    <row r="45" spans="1:8" ht="22.5" customHeight="1">
      <c r="A45" s="222">
        <f>Prices!A45</f>
        <v>45536</v>
      </c>
      <c r="B45" s="223">
        <f>IF(AND(ISNUMBER(Prices!B45),ISNUMBER(Prices!B44)),Prices!B45/Prices!B44-1,"")</f>
        <v>-1.8616220359730984E-2</v>
      </c>
      <c r="C45" s="223">
        <f>IF(AND(ISNUMBER(Prices!C45),ISNUMBER(Prices!C44)),Prices!C45/Prices!C44-1,"")</f>
        <v>0.13584905660377355</v>
      </c>
      <c r="D45" s="223">
        <f>IF(AND(ISNUMBER(Prices!D45),ISNUMBER(Prices!D44)),Prices!D45/Prices!D44-1,"")</f>
        <v>0</v>
      </c>
      <c r="E45" s="223">
        <f>IF(AND(ISNUMBER(Prices!E45),ISNUMBER(Prices!E44)),Prices!E45/Prices!E44-1,"")</f>
        <v>-3.8834951456310662E-2</v>
      </c>
      <c r="F45" s="223" t="str">
        <f>IF(AND(ISNUMBER(Prices!F45),ISNUMBER(Prices!F44)),Prices!F45/Prices!F44-1,"")</f>
        <v/>
      </c>
      <c r="G45" s="223">
        <f>IF(AND(ISNUMBER(Prices!G45),ISNUMBER(Prices!G44)),Prices!G45/Prices!G44-1,"")</f>
        <v>0</v>
      </c>
      <c r="H45" s="223">
        <f>IF(AND(ISNUMBER(Prices!H45),ISNUMBER(Prices!H44)),Prices!H45/Prices!H44-1,"")</f>
        <v>-3.9525691699604737E-2</v>
      </c>
    </row>
    <row r="46" spans="1:8" ht="22.5" customHeight="1">
      <c r="A46" s="222">
        <f>Prices!A46</f>
        <v>45566</v>
      </c>
      <c r="B46" s="223">
        <f>IF(AND(ISNUMBER(Prices!B46),ISNUMBER(Prices!B45)),Prices!B46/Prices!B45-1,"")</f>
        <v>6.1225330203655837E-3</v>
      </c>
      <c r="C46" s="223">
        <f>IF(AND(ISNUMBER(Prices!C46),ISNUMBER(Prices!C45)),Prices!C46/Prices!C45-1,"")</f>
        <v>6.6445182724252927E-3</v>
      </c>
      <c r="D46" s="223">
        <f>IF(AND(ISNUMBER(Prices!D46),ISNUMBER(Prices!D45)),Prices!D46/Prices!D45-1,"")</f>
        <v>-7.2639225181597711E-3</v>
      </c>
      <c r="E46" s="223">
        <f>IF(AND(ISNUMBER(Prices!E46),ISNUMBER(Prices!E45)),Prices!E46/Prices!E45-1,"")</f>
        <v>-3.0303030303030276E-2</v>
      </c>
      <c r="F46" s="223" t="str">
        <f>IF(AND(ISNUMBER(Prices!F46),ISNUMBER(Prices!F45)),Prices!F46/Prices!F45-1,"")</f>
        <v/>
      </c>
      <c r="G46" s="223">
        <f>IF(AND(ISNUMBER(Prices!G46),ISNUMBER(Prices!G45)),Prices!G46/Prices!G45-1,"")</f>
        <v>-1.8691588785046731E-2</v>
      </c>
      <c r="H46" s="223">
        <f>IF(AND(ISNUMBER(Prices!H46),ISNUMBER(Prices!H45)),Prices!H46/Prices!H45-1,"")</f>
        <v>-0.12345679012345678</v>
      </c>
    </row>
    <row r="47" spans="1:8" ht="21" customHeight="1">
      <c r="A47" s="224">
        <f>Prices!A47</f>
        <v>45597</v>
      </c>
      <c r="B47" s="225">
        <f>IF(AND(ISNUMBER(Prices!B47),ISNUMBER(Prices!B46)),Prices!B47/Prices!B46-1,"")</f>
        <v>-6.0700922363553289E-2</v>
      </c>
      <c r="C47" s="225">
        <f>IF(AND(ISNUMBER(Prices!C47),ISNUMBER(Prices!C46)),Prices!C47/Prices!C46-1,"")</f>
        <v>-4.2904290429042868E-2</v>
      </c>
      <c r="D47" s="225">
        <f>IF(AND(ISNUMBER(Prices!D47),ISNUMBER(Prices!D46)),Prices!D47/Prices!D46-1,"")</f>
        <v>-2.4390243902439046E-2</v>
      </c>
      <c r="E47" s="225">
        <f>IF(AND(ISNUMBER(Prices!E47),ISNUMBER(Prices!E46)),Prices!E47/Prices!E46-1,"")</f>
        <v>-0.11458333333333337</v>
      </c>
      <c r="F47" s="225" t="str">
        <f>IF(AND(ISNUMBER(Prices!F47),ISNUMBER(Prices!F46)),Prices!F47/Prices!F46-1,"")</f>
        <v/>
      </c>
      <c r="G47" s="225">
        <f>IF(AND(ISNUMBER(Prices!G47),ISNUMBER(Prices!G46)),Prices!G47/Prices!G46-1,"")</f>
        <v>-5.1428571428571379E-2</v>
      </c>
      <c r="H47" s="225">
        <f>IF(AND(ISNUMBER(Prices!H47),ISNUMBER(Prices!H46)),Prices!H47/Prices!H46-1,"")</f>
        <v>-0.14553990610328638</v>
      </c>
    </row>
    <row r="48" spans="1:8" ht="22.5" customHeight="1">
      <c r="A48" s="222">
        <f>Prices!A48</f>
        <v>45627</v>
      </c>
      <c r="B48" s="223">
        <f>IF(AND(ISNUMBER(Prices!B48),ISNUMBER(Prices!B47)),Prices!B48/Prices!B47-1,"")</f>
        <v>-4.8311351691742166E-3</v>
      </c>
      <c r="C48" s="223">
        <f>IF(AND(ISNUMBER(Prices!C48),ISNUMBER(Prices!C47)),Prices!C48/Prices!C47-1,"")</f>
        <v>-5.862068965517242E-2</v>
      </c>
      <c r="D48" s="223">
        <f>IF(AND(ISNUMBER(Prices!D48),ISNUMBER(Prices!D47)),Prices!D48/Prices!D47-1,"")</f>
        <v>-3.2499999999999973E-2</v>
      </c>
      <c r="E48" s="223">
        <f>IF(AND(ISNUMBER(Prices!E48),ISNUMBER(Prices!E47)),Prices!E48/Prices!E47-1,"")</f>
        <v>-4.0000000000000036E-2</v>
      </c>
      <c r="F48" s="223">
        <f>IF(AND(ISNUMBER(Prices!F48),ISNUMBER(Prices!F47)),Prices!F48/Prices!F47-1,"")</f>
        <v>-7.3170731707317027E-2</v>
      </c>
      <c r="G48" s="223">
        <f>IF(AND(ISNUMBER(Prices!G48),ISNUMBER(Prices!G47)),Prices!G48/Prices!G47-1,"")</f>
        <v>-0.12650602409638556</v>
      </c>
      <c r="H48" s="223">
        <f>IF(AND(ISNUMBER(Prices!H48),ISNUMBER(Prices!H47)),Prices!H48/Prices!H47-1,"")</f>
        <v>1.6483516483516425E-2</v>
      </c>
    </row>
    <row r="49" spans="1:8" ht="21" customHeight="1">
      <c r="A49" s="224">
        <f>Prices!A49</f>
        <v>45658</v>
      </c>
      <c r="B49" s="225">
        <f>IF(AND(ISNUMBER(Prices!B49),ISNUMBER(Prices!B48)),Prices!B49/Prices!B48-1,"")</f>
        <v>4.1384765321543782E-3</v>
      </c>
      <c r="C49" s="225">
        <f>IF(AND(ISNUMBER(Prices!C49),ISNUMBER(Prices!C48)),Prices!C49/Prices!C48-1,"")</f>
        <v>7.3260073260073222E-2</v>
      </c>
      <c r="D49" s="225">
        <f>IF(AND(ISNUMBER(Prices!D49),ISNUMBER(Prices!D48)),Prices!D49/Prices!D48-1,"")</f>
        <v>-2.3255813953488413E-2</v>
      </c>
      <c r="E49" s="225">
        <f>IF(AND(ISNUMBER(Prices!E49),ISNUMBER(Prices!E48)),Prices!E49/Prices!E48-1,"")</f>
        <v>3.4313725490196179E-2</v>
      </c>
      <c r="F49" s="225">
        <f>IF(AND(ISNUMBER(Prices!F49),ISNUMBER(Prices!F48)),Prices!F49/Prices!F48-1,"")</f>
        <v>5.7017543859649189E-2</v>
      </c>
      <c r="G49" s="225">
        <f>IF(AND(ISNUMBER(Prices!G49),ISNUMBER(Prices!G48)),Prices!G49/Prices!G48-1,"")</f>
        <v>9.6551724137931005E-2</v>
      </c>
      <c r="H49" s="225">
        <f>IF(AND(ISNUMBER(Prices!H49),ISNUMBER(Prices!H48)),Prices!H49/Prices!H48-1,"")</f>
        <v>0</v>
      </c>
    </row>
    <row r="50" spans="1:8" ht="22.5" customHeight="1">
      <c r="A50" s="222">
        <f>Prices!A50</f>
        <v>45689</v>
      </c>
      <c r="B50" s="223">
        <f>IF(AND(ISNUMBER(Prices!B50),ISNUMBER(Prices!B49)),Prices!B50/Prices!B49-1,"")</f>
        <v>-0.11795982670342642</v>
      </c>
      <c r="C50" s="223">
        <f>IF(AND(ISNUMBER(Prices!C50),ISNUMBER(Prices!C49)),Prices!C50/Prices!C49-1,"")</f>
        <v>-0.14675767918088733</v>
      </c>
      <c r="D50" s="223">
        <f>IF(AND(ISNUMBER(Prices!D50),ISNUMBER(Prices!D49)),Prices!D50/Prices!D49-1,"")</f>
        <v>-0.10846560846560849</v>
      </c>
      <c r="E50" s="223">
        <f>IF(AND(ISNUMBER(Prices!E50),ISNUMBER(Prices!E49)),Prices!E50/Prices!E49-1,"")</f>
        <v>-0.20379146919431279</v>
      </c>
      <c r="F50" s="223">
        <f>IF(AND(ISNUMBER(Prices!F50),ISNUMBER(Prices!F49)),Prices!F50/Prices!F49-1,"")</f>
        <v>-0.23651452282157681</v>
      </c>
      <c r="G50" s="223">
        <f>IF(AND(ISNUMBER(Prices!G50),ISNUMBER(Prices!G49)),Prices!G50/Prices!G49-1,"")</f>
        <v>-0.15513626834381555</v>
      </c>
      <c r="H50" s="223">
        <f>IF(AND(ISNUMBER(Prices!H50),ISNUMBER(Prices!H49)),Prices!H50/Prices!H49-1,"")</f>
        <v>-5.4054054054054057E-2</v>
      </c>
    </row>
    <row r="51" spans="1:8" ht="22.5" customHeight="1">
      <c r="A51" s="222">
        <f>Prices!A51</f>
        <v>45717</v>
      </c>
      <c r="B51" s="223">
        <f>IF(AND(ISNUMBER(Prices!B51),ISNUMBER(Prices!B50)),Prices!B51/Prices!B50-1,"")</f>
        <v>3.8277038879851899E-2</v>
      </c>
      <c r="C51" s="223">
        <f>IF(AND(ISNUMBER(Prices!C51),ISNUMBER(Prices!C50)),Prices!C51/Prices!C50-1,"")</f>
        <v>-6.3999999999999946E-2</v>
      </c>
      <c r="D51" s="223">
        <f>IF(AND(ISNUMBER(Prices!D51),ISNUMBER(Prices!D50)),Prices!D51/Prices!D50-1,"")</f>
        <v>8.9020771513352859E-3</v>
      </c>
      <c r="E51" s="223">
        <f>IF(AND(ISNUMBER(Prices!E51),ISNUMBER(Prices!E50)),Prices!E51/Prices!E50-1,"")</f>
        <v>0.20535714285714279</v>
      </c>
      <c r="F51" s="223">
        <f>IF(AND(ISNUMBER(Prices!F51),ISNUMBER(Prices!F50)),Prices!F51/Prices!F50-1,"")</f>
        <v>0.13043478260869557</v>
      </c>
      <c r="G51" s="223">
        <f>IF(AND(ISNUMBER(Prices!G51),ISNUMBER(Prices!G50)),Prices!G51/Prices!G50-1,"")</f>
        <v>5.2109181141439143E-2</v>
      </c>
      <c r="H51" s="223">
        <f>IF(AND(ISNUMBER(Prices!H51),ISNUMBER(Prices!H50)),Prices!H51/Prices!H50-1,"")</f>
        <v>3.4285714285714253E-2</v>
      </c>
    </row>
    <row r="52" spans="1:8" ht="21" customHeight="1">
      <c r="A52" s="224">
        <f>Prices!A52</f>
        <v>45748</v>
      </c>
      <c r="B52" s="225">
        <f>IF(AND(ISNUMBER(Prices!B52),ISNUMBER(Prices!B51)),Prices!B52/Prices!B51-1,"")</f>
        <v>3.9346483130638932E-2</v>
      </c>
      <c r="C52" s="225">
        <f>IF(AND(ISNUMBER(Prices!C52),ISNUMBER(Prices!C51)),Prices!C52/Prices!C51-1,"")</f>
        <v>0.21794871794871784</v>
      </c>
      <c r="D52" s="225">
        <f>IF(AND(ISNUMBER(Prices!D52),ISNUMBER(Prices!D51)),Prices!D52/Prices!D51-1,"")</f>
        <v>3.8235294117647145E-2</v>
      </c>
      <c r="E52" s="225">
        <f>IF(AND(ISNUMBER(Prices!E52),ISNUMBER(Prices!E51)),Prices!E52/Prices!E51-1,"")</f>
        <v>-4.9382716049382713E-2</v>
      </c>
      <c r="F52" s="225">
        <f>IF(AND(ISNUMBER(Prices!F52),ISNUMBER(Prices!F51)),Prices!F52/Prices!F51-1,"")</f>
        <v>-5.9615384615384626E-2</v>
      </c>
      <c r="G52" s="225">
        <f>IF(AND(ISNUMBER(Prices!G52),ISNUMBER(Prices!G51)),Prices!G52/Prices!G51-1,"")</f>
        <v>-1.4150943396226467E-2</v>
      </c>
      <c r="H52" s="225">
        <f>IF(AND(ISNUMBER(Prices!H52),ISNUMBER(Prices!H51)),Prices!H52/Prices!H51-1,"")</f>
        <v>0.30939226519337026</v>
      </c>
    </row>
    <row r="53" spans="1:8" ht="21" customHeight="1">
      <c r="A53" s="224">
        <f>Prices!A53</f>
        <v>45778</v>
      </c>
      <c r="B53" s="225">
        <f>IF(AND(ISNUMBER(Prices!B53),ISNUMBER(Prices!B52)),Prices!B53/Prices!B52-1,"")</f>
        <v>6.0446681513686595E-2</v>
      </c>
      <c r="C53" s="225">
        <f>IF(AND(ISNUMBER(Prices!C53),ISNUMBER(Prices!C52)),Prices!C53/Prices!C52-1,"")</f>
        <v>5.2631578947368363E-2</v>
      </c>
      <c r="D53" s="225">
        <f>IF(AND(ISNUMBER(Prices!D53),ISNUMBER(Prices!D52)),Prices!D53/Prices!D52-1,"")</f>
        <v>6.5155807365439022E-2</v>
      </c>
      <c r="E53" s="225">
        <f>IF(AND(ISNUMBER(Prices!E53),ISNUMBER(Prices!E52)),Prices!E53/Prices!E52-1,"")</f>
        <v>0.1558441558441559</v>
      </c>
      <c r="F53" s="225">
        <f>IF(AND(ISNUMBER(Prices!F53),ISNUMBER(Prices!F52)),Prices!F53/Prices!F52-1,"")</f>
        <v>8.3844580777096223E-2</v>
      </c>
      <c r="G53" s="225">
        <f>IF(AND(ISNUMBER(Prices!G53),ISNUMBER(Prices!G52)),Prices!G53/Prices!G52-1,"")</f>
        <v>7.416267942583743E-2</v>
      </c>
      <c r="H53" s="225">
        <f>IF(AND(ISNUMBER(Prices!H53),ISNUMBER(Prices!H52)),Prices!H53/Prices!H52-1,"")</f>
        <v>9.2827004219409259E-2</v>
      </c>
    </row>
    <row r="54" spans="1:8" ht="22.5" customHeight="1">
      <c r="A54" s="222">
        <f>Prices!A54</f>
        <v>45809</v>
      </c>
      <c r="B54" s="223">
        <f>IF(AND(ISNUMBER(Prices!B54),ISNUMBER(Prices!B53)),Prices!B54/Prices!B53-1,"")</f>
        <v>-3.4580020123135657E-2</v>
      </c>
      <c r="C54" s="223">
        <f>IF(AND(ISNUMBER(Prices!C54),ISNUMBER(Prices!C53)),Prices!C54/Prices!C53-1,"")</f>
        <v>-0.14000000000000001</v>
      </c>
      <c r="D54" s="223">
        <f>IF(AND(ISNUMBER(Prices!D54),ISNUMBER(Prices!D53)),Prices!D54/Prices!D53-1,"")</f>
        <v>-7.7127659574468099E-2</v>
      </c>
      <c r="E54" s="223">
        <f>IF(AND(ISNUMBER(Prices!E54),ISNUMBER(Prices!E53)),Prices!E54/Prices!E53-1,"")</f>
        <v>-0.15955056179775284</v>
      </c>
      <c r="F54" s="223">
        <f>IF(AND(ISNUMBER(Prices!F54),ISNUMBER(Prices!F53)),Prices!F54/Prices!F53-1,"")</f>
        <v>-7.9245283018867907E-2</v>
      </c>
      <c r="G54" s="223">
        <f>IF(AND(ISNUMBER(Prices!G54),ISNUMBER(Prices!G53)),Prices!G54/Prices!G53-1,"")</f>
        <v>-8.2405345211581271E-2</v>
      </c>
      <c r="H54" s="223">
        <f>IF(AND(ISNUMBER(Prices!H54),ISNUMBER(Prices!H53)),Prices!H54/Prices!H53-1,"")</f>
        <v>1.5444015444015413E-2</v>
      </c>
    </row>
    <row r="55" spans="1:8" ht="21" customHeight="1">
      <c r="A55" s="224">
        <f>Prices!A55</f>
        <v>45839</v>
      </c>
      <c r="B55" s="225">
        <f>IF(AND(ISNUMBER(Prices!B55),ISNUMBER(Prices!B54)),Prices!B55/Prices!B54-1,"")</f>
        <v>8.0353018615178406E-2</v>
      </c>
      <c r="C55" s="225">
        <f>IF(AND(ISNUMBER(Prices!C55),ISNUMBER(Prices!C54)),Prices!C55/Prices!C54-1,"")</f>
        <v>5.8139534883721034E-2</v>
      </c>
      <c r="D55" s="225">
        <f>IF(AND(ISNUMBER(Prices!D55),ISNUMBER(Prices!D54)),Prices!D55/Prices!D54-1,"")</f>
        <v>-4.6109510086455363E-2</v>
      </c>
      <c r="E55" s="225">
        <f>IF(AND(ISNUMBER(Prices!E55),ISNUMBER(Prices!E54)),Prices!E55/Prices!E54-1,"")</f>
        <v>-8.0213903743315829E-3</v>
      </c>
      <c r="F55" s="225">
        <f>IF(AND(ISNUMBER(Prices!F55),ISNUMBER(Prices!F54)),Prices!F55/Prices!F54-1,"")</f>
        <v>-7.5819672131147486E-2</v>
      </c>
      <c r="G55" s="225">
        <f>IF(AND(ISNUMBER(Prices!G55),ISNUMBER(Prices!G54)),Prices!G55/Prices!G54-1,"")</f>
        <v>-2.669902912621358E-2</v>
      </c>
      <c r="H55" s="225">
        <f>IF(AND(ISNUMBER(Prices!H55),ISNUMBER(Prices!H54)),Prices!H55/Prices!H54-1,"")</f>
        <v>7.2243346007604625E-2</v>
      </c>
    </row>
    <row r="56" spans="1:8" ht="22.5" customHeight="1">
      <c r="A56" s="222">
        <f>Prices!A56</f>
        <v>45870</v>
      </c>
      <c r="B56" s="223">
        <f>IF(AND(ISNUMBER(Prices!B56),ISNUMBER(Prices!B55)),Prices!B56/Prices!B55-1,"")</f>
        <v>4.6249903131071024E-2</v>
      </c>
      <c r="C56" s="223">
        <f>IF(AND(ISNUMBER(Prices!C56),ISNUMBER(Prices!C55)),Prices!C56/Prices!C55-1,"")</f>
        <v>-7.3260073260073E-3</v>
      </c>
      <c r="D56" s="223">
        <f>IF(AND(ISNUMBER(Prices!D56),ISNUMBER(Prices!D55)),Prices!D56/Prices!D55-1,"")</f>
        <v>-2.4169184290030232E-2</v>
      </c>
      <c r="E56" s="223">
        <f>IF(AND(ISNUMBER(Prices!E56),ISNUMBER(Prices!E55)),Prices!E56/Prices!E55-1,"")</f>
        <v>9.1644204851752065E-2</v>
      </c>
      <c r="F56" s="223">
        <f>IF(AND(ISNUMBER(Prices!F56),ISNUMBER(Prices!F55)),Prices!F56/Prices!F55-1,"")</f>
        <v>4.8780487804878092E-2</v>
      </c>
      <c r="G56" s="223">
        <f>IF(AND(ISNUMBER(Prices!G56),ISNUMBER(Prices!G55)),Prices!G56/Prices!G55-1,"")</f>
        <v>9.2269326683291686E-2</v>
      </c>
      <c r="H56" s="223">
        <f>IF(AND(ISNUMBER(Prices!H56),ISNUMBER(Prices!H55)),Prices!H56/Prices!H55-1,"")</f>
        <v>5.6737588652482351E-2</v>
      </c>
    </row>
    <row r="57" spans="1:8" ht="21" customHeight="1">
      <c r="A57" s="224">
        <f>Prices!A57</f>
        <v>45901</v>
      </c>
      <c r="B57" s="225">
        <f>IF(AND(ISNUMBER(Prices!B57),ISNUMBER(Prices!B56)),Prices!B57/Prices!B56-1,"")</f>
        <v>2.9445156050259991E-2</v>
      </c>
      <c r="C57" s="225">
        <f>IF(AND(ISNUMBER(Prices!C57),ISNUMBER(Prices!C56)),Prices!C57/Prices!C56-1,"")</f>
        <v>-4.4280442804428E-2</v>
      </c>
      <c r="D57" s="225">
        <f>IF(AND(ISNUMBER(Prices!D57),ISNUMBER(Prices!D56)),Prices!D57/Prices!D56-1,"")</f>
        <v>-5.5727554179566541E-2</v>
      </c>
      <c r="E57" s="225">
        <f>IF(AND(ISNUMBER(Prices!E57),ISNUMBER(Prices!E56)),Prices!E57/Prices!E56-1,"")</f>
        <v>-3.703703703703709E-2</v>
      </c>
      <c r="F57" s="225">
        <f>IF(AND(ISNUMBER(Prices!F57),ISNUMBER(Prices!F56)),Prices!F57/Prices!F56-1,"")</f>
        <v>-6.9767441860465129E-2</v>
      </c>
      <c r="G57" s="225">
        <f>IF(AND(ISNUMBER(Prices!G57),ISNUMBER(Prices!G56)),Prices!G57/Prices!G56-1,"")</f>
        <v>-6.3926940639269403E-2</v>
      </c>
      <c r="H57" s="225">
        <f>IF(AND(ISNUMBER(Prices!H57),ISNUMBER(Prices!H56)),Prices!H57/Prices!H56-1,"")</f>
        <v>-9.3959731543624136E-2</v>
      </c>
    </row>
    <row r="58" spans="1:8" ht="22.5" customHeight="1">
      <c r="A58" s="222">
        <f>Prices!A58</f>
        <v>45931</v>
      </c>
      <c r="B58" s="223">
        <f>IF(AND(ISNUMBER(Prices!B58),ISNUMBER(Prices!B57)),Prices!B58/Prices!B57-1,"")</f>
        <v>1.2755146345517776E-2</v>
      </c>
      <c r="C58" s="223">
        <f>IF(AND(ISNUMBER(Prices!C58),ISNUMBER(Prices!C57)),Prices!C58/Prices!C57-1,"")</f>
        <v>-1.5444015444015413E-2</v>
      </c>
      <c r="D58" s="223">
        <f>IF(AND(ISNUMBER(Prices!D58),ISNUMBER(Prices!D57)),Prices!D58/Prices!D57-1,"")</f>
        <v>0.11803278688524599</v>
      </c>
      <c r="E58" s="223">
        <f>IF(AND(ISNUMBER(Prices!E58),ISNUMBER(Prices!E57)),Prices!E58/Prices!E57-1,"")</f>
        <v>2.051282051282044E-2</v>
      </c>
      <c r="F58" s="223">
        <f>IF(AND(ISNUMBER(Prices!F58),ISNUMBER(Prices!F57)),Prices!F58/Prices!F57-1,"")</f>
        <v>7.2727272727272751E-2</v>
      </c>
      <c r="G58" s="223">
        <f>IF(AND(ISNUMBER(Prices!G58),ISNUMBER(Prices!G57)),Prices!G58/Prices!G57-1,"")</f>
        <v>6.8292682926829329E-2</v>
      </c>
      <c r="H58" s="223">
        <f>IF(AND(ISNUMBER(Prices!H58),ISNUMBER(Prices!H57)),Prices!H58/Prices!H57-1,"")</f>
        <v>1.4814814814814836E-2</v>
      </c>
    </row>
    <row r="59" spans="1:8" ht="21" customHeight="1">
      <c r="A59" s="224">
        <f>Prices!A59</f>
        <v>45962</v>
      </c>
      <c r="B59" s="225">
        <f>IF(AND(ISNUMBER(Prices!B59),ISNUMBER(Prices!B58)),Prices!B59/Prices!B58-1,"")</f>
        <v>4.2238494441368513E-2</v>
      </c>
      <c r="C59" s="225">
        <f>IF(AND(ISNUMBER(Prices!C59),ISNUMBER(Prices!C58)),Prices!C59/Prices!C58-1,"")</f>
        <v>-8.2352941176470629E-2</v>
      </c>
      <c r="D59" s="225">
        <f>IF(AND(ISNUMBER(Prices!D59),ISNUMBER(Prices!D58)),Prices!D59/Prices!D58-1,"")</f>
        <v>-2.9325513196480912E-2</v>
      </c>
      <c r="E59" s="225">
        <f>IF(AND(ISNUMBER(Prices!E59),ISNUMBER(Prices!E58)),Prices!E59/Prices!E58-1,"")</f>
        <v>-7.5376884422110546E-2</v>
      </c>
      <c r="F59" s="225">
        <f>IF(AND(ISNUMBER(Prices!F59),ISNUMBER(Prices!F58)),Prices!F59/Prices!F58-1,"")</f>
        <v>2.3305084745762761E-2</v>
      </c>
      <c r="G59" s="225">
        <f>IF(AND(ISNUMBER(Prices!G59),ISNUMBER(Prices!G58)),Prices!G59/Prices!G58-1,"")</f>
        <v>-2.7397260273972601E-2</v>
      </c>
      <c r="H59" s="225">
        <f>IF(AND(ISNUMBER(Prices!H59),ISNUMBER(Prices!H58)),Prices!H59/Prices!H58-1,"")</f>
        <v>-4.014598540145986E-2</v>
      </c>
    </row>
    <row r="60" spans="1:8" ht="21" customHeight="1">
      <c r="A60" s="224">
        <f>Prices!A60</f>
        <v>45992</v>
      </c>
      <c r="B60" s="225">
        <f>IF(AND(ISNUMBER(Prices!B60),ISNUMBER(Prices!B59)),Prices!B60/Prices!B59-1,"")</f>
        <v>1.6245705870807869E-2</v>
      </c>
      <c r="C60" s="225">
        <f>IF(AND(ISNUMBER(Prices!C60),ISNUMBER(Prices!C59)),Prices!C60/Prices!C59-1,"")</f>
        <v>-4.7008547008547064E-2</v>
      </c>
      <c r="D60" s="225">
        <f>IF(AND(ISNUMBER(Prices!D60),ISNUMBER(Prices!D59)),Prices!D60/Prices!D59-1,"")</f>
        <v>-2.4169184290030232E-2</v>
      </c>
      <c r="E60" s="225">
        <f>IF(AND(ISNUMBER(Prices!E60),ISNUMBER(Prices!E59)),Prices!E60/Prices!E59-1,"")</f>
        <v>-5.4347826086956763E-3</v>
      </c>
      <c r="F60" s="225">
        <f>IF(AND(ISNUMBER(Prices!F60),ISNUMBER(Prices!F59)),Prices!F60/Prices!F59-1,"")</f>
        <v>5.5900621118012417E-2</v>
      </c>
      <c r="G60" s="225">
        <f>IF(AND(ISNUMBER(Prices!G60),ISNUMBER(Prices!G59)),Prices!G60/Prices!G59-1,"")</f>
        <v>2.5821596244131495E-2</v>
      </c>
      <c r="H60" s="225">
        <f>IF(AND(ISNUMBER(Prices!H60),ISNUMBER(Prices!H59)),Prices!H60/Prices!H59-1,"")</f>
        <v>-8.365019011406849E-2</v>
      </c>
    </row>
    <row r="61" spans="1:8" ht="21" customHeight="1">
      <c r="A61" s="224">
        <f>Prices!A61</f>
        <v>46023</v>
      </c>
      <c r="B61" s="225">
        <f>IF(AND(ISNUMBER(Prices!B61),ISNUMBER(Prices!B60)),Prices!B61/Prices!B60-1,"")</f>
        <v>-3.6698531503630227E-2</v>
      </c>
      <c r="C61" s="225">
        <f>IF(AND(ISNUMBER(Prices!C61),ISNUMBER(Prices!C60)),Prices!C61/Prices!C60-1,"")</f>
        <v>8.9686098654708779E-3</v>
      </c>
      <c r="D61" s="225">
        <f>IF(AND(ISNUMBER(Prices!D61),ISNUMBER(Prices!D60)),Prices!D61/Prices!D60-1,"")</f>
        <v>-8.3591331269349811E-2</v>
      </c>
      <c r="E61" s="225">
        <f>IF(AND(ISNUMBER(Prices!E61),ISNUMBER(Prices!E60)),Prices!E61/Prices!E60-1,"")</f>
        <v>4.0983606557376984E-2</v>
      </c>
      <c r="F61" s="225">
        <f>IF(AND(ISNUMBER(Prices!F61),ISNUMBER(Prices!F60)),Prices!F61/Prices!F60-1,"")</f>
        <v>-5.4901960784313752E-2</v>
      </c>
      <c r="G61" s="225">
        <f>IF(AND(ISNUMBER(Prices!G61),ISNUMBER(Prices!G60)),Prices!G61/Prices!G60-1,"")</f>
        <v>2.7459954233409523E-2</v>
      </c>
      <c r="H61" s="225">
        <f>IF(AND(ISNUMBER(Prices!H61),ISNUMBER(Prices!H60)),Prices!H61/Prices!H60-1,"")</f>
        <v>0</v>
      </c>
    </row>
    <row r="62" spans="1:8" ht="22.5" customHeight="1">
      <c r="A62" s="222">
        <f>Prices!A62</f>
        <v>46054</v>
      </c>
      <c r="B62" s="223">
        <f>IF(AND(ISNUMBER(Prices!B62),ISNUMBER(Prices!B61)),Prices!B62/Prices!B61-1,"")</f>
        <v>-1.1299448593631745E-2</v>
      </c>
      <c r="C62" s="223">
        <f>IF(AND(ISNUMBER(Prices!C62),ISNUMBER(Prices!C61)),Prices!C62/Prices!C61-1,"")</f>
        <v>4.8888888888888982E-2</v>
      </c>
      <c r="D62" s="223">
        <f>IF(AND(ISNUMBER(Prices!D62),ISNUMBER(Prices!D61)),Prices!D62/Prices!D61-1,"")</f>
        <v>-3.0405405405405372E-2</v>
      </c>
      <c r="E62" s="223">
        <f>IF(AND(ISNUMBER(Prices!E62),ISNUMBER(Prices!E61)),Prices!E62/Prices!E61-1,"")</f>
        <v>2.6246719160105014E-2</v>
      </c>
      <c r="F62" s="223">
        <f>IF(AND(ISNUMBER(Prices!F62),ISNUMBER(Prices!F61)),Prices!F62/Prices!F61-1,"")</f>
        <v>9.4398340248962764E-2</v>
      </c>
      <c r="G62" s="223">
        <f>IF(AND(ISNUMBER(Prices!G62),ISNUMBER(Prices!G61)),Prices!G62/Prices!G61-1,"")</f>
        <v>-2.0044543429844075E-2</v>
      </c>
      <c r="H62" s="223">
        <f>IF(AND(ISNUMBER(Prices!H62),ISNUMBER(Prices!H61)),Prices!H62/Prices!H61-1,"")</f>
        <v>-4.5643153526970903E-2</v>
      </c>
    </row>
    <row r="63" spans="1:8" ht="22.5" customHeight="1">
      <c r="A63" s="222">
        <f>Prices!A63</f>
        <v>46082</v>
      </c>
      <c r="B63" s="223">
        <f>IF(AND(ISNUMBER(Prices!B63),ISNUMBER(Prices!B62)),Prices!B63/Prices!B62-1,"")</f>
        <v>-0.14416507093081277</v>
      </c>
      <c r="C63" s="223">
        <f>IF(AND(ISNUMBER(Prices!C63),ISNUMBER(Prices!C62)),Prices!C63/Prices!C62-1,"")</f>
        <v>-0.10593220338983056</v>
      </c>
      <c r="D63" s="223">
        <f>IF(AND(ISNUMBER(Prices!D63),ISNUMBER(Prices!D62)),Prices!D63/Prices!D62-1,"")</f>
        <v>-0.10104529616724733</v>
      </c>
      <c r="E63" s="223">
        <f>IF(AND(ISNUMBER(Prices!E63),ISNUMBER(Prices!E62)),Prices!E63/Prices!E62-1,"")</f>
        <v>-0.14833759590792839</v>
      </c>
      <c r="F63" s="223">
        <f>IF(AND(ISNUMBER(Prices!F63),ISNUMBER(Prices!F62)),Prices!F63/Prices!F62-1,"")</f>
        <v>-0.10521327014218007</v>
      </c>
      <c r="G63" s="223">
        <f>IF(AND(ISNUMBER(Prices!G63),ISNUMBER(Prices!G62)),Prices!G63/Prices!G62-1,"")</f>
        <v>-0.1454545454545455</v>
      </c>
      <c r="H63" s="223">
        <f>IF(AND(ISNUMBER(Prices!H63),ISNUMBER(Prices!H62)),Prices!H63/Prices!H62-1,"")</f>
        <v>-7.3913043478260887E-2</v>
      </c>
    </row>
    <row r="64" spans="1:8" ht="21" customHeight="1">
      <c r="A64" s="224">
        <f>Prices!A64</f>
        <v>46113</v>
      </c>
      <c r="B64" s="225">
        <f>IF(AND(ISNUMBER(Prices!B64),ISNUMBER(Prices!B63)),Prices!B64/Prices!B63-1,"")</f>
        <v>-1.2970650745862122E-2</v>
      </c>
      <c r="C64" s="225">
        <f>IF(AND(ISNUMBER(Prices!C64),ISNUMBER(Prices!C63)),Prices!C64/Prices!C63-1,"")</f>
        <v>-0.15876777251184837</v>
      </c>
      <c r="D64" s="225">
        <f>IF(AND(ISNUMBER(Prices!D64),ISNUMBER(Prices!D63)),Prices!D64/Prices!D63-1,"")</f>
        <v>-9.3023255813953543E-2</v>
      </c>
      <c r="E64" s="225">
        <f>IF(AND(ISNUMBER(Prices!E64),ISNUMBER(Prices!E63)),Prices!E64/Prices!E63-1,"")</f>
        <v>-0.10210210210210213</v>
      </c>
      <c r="F64" s="225">
        <f>IF(AND(ISNUMBER(Prices!F64),ISNUMBER(Prices!F63)),Prices!F64/Prices!F63-1,"")</f>
        <v>-6.9915254237288171E-2</v>
      </c>
      <c r="G64" s="225">
        <f>IF(AND(ISNUMBER(Prices!G64),ISNUMBER(Prices!G63)),Prices!G64/Prices!G63-1,"")</f>
        <v>-1.0638297872340385E-2</v>
      </c>
      <c r="H64" s="225">
        <f>IF(AND(ISNUMBER(Prices!H64),ISNUMBER(Prices!H63)),Prices!H64/Prices!H63-1,"")</f>
        <v>-6.1032863849765251E-2</v>
      </c>
    </row>
    <row r="65" spans="1:8" ht="21" customHeight="1">
      <c r="A65" s="224">
        <f>Prices!A65</f>
        <v>46143</v>
      </c>
      <c r="B65" s="225">
        <f>IF(AND(ISNUMBER(Prices!B65),ISNUMBER(Prices!B64)),Prices!B65/Prices!B64-1,"")</f>
        <v>-0.11922435602575898</v>
      </c>
      <c r="C65" s="225">
        <f>IF(AND(ISNUMBER(Prices!C65),ISNUMBER(Prices!C64)),Prices!C65/Prices!C64-1,"")</f>
        <v>0.11549295774647894</v>
      </c>
      <c r="D65" s="225">
        <f>IF(AND(ISNUMBER(Prices!D65),ISNUMBER(Prices!D64)),Prices!D65/Prices!D64-1,"")</f>
        <v>-2.5641025641025661E-2</v>
      </c>
      <c r="E65" s="225">
        <f>IF(AND(ISNUMBER(Prices!E65),ISNUMBER(Prices!E64)),Prices!E65/Prices!E64-1,"")</f>
        <v>-1.3377926421404673E-2</v>
      </c>
      <c r="F65" s="225">
        <f>IF(AND(ISNUMBER(Prices!F65),ISNUMBER(Prices!F64)),Prices!F65/Prices!F64-1,"")</f>
        <v>-7.0615034168564961E-2</v>
      </c>
      <c r="G65" s="225">
        <f>IF(AND(ISNUMBER(Prices!G65),ISNUMBER(Prices!G64)),Prices!G65/Prices!G64-1,"")</f>
        <v>-5.3763440860215006E-3</v>
      </c>
      <c r="H65" s="225">
        <f>IF(AND(ISNUMBER(Prices!H65),ISNUMBER(Prices!H64)),Prices!H65/Prices!H64-1,"")</f>
        <v>-6.9999999999999951E-2</v>
      </c>
    </row>
    <row r="66" spans="1:8" ht="22.5" customHeight="1">
      <c r="A66" s="222">
        <f>Prices!A66</f>
        <v>46174</v>
      </c>
      <c r="B66" s="223">
        <f>IF(AND(ISNUMBER(Prices!B66),ISNUMBER(Prices!B65)),Prices!B66/Prices!B65-1,"")</f>
        <v>-7.9020723376059698E-2</v>
      </c>
      <c r="C66" s="223">
        <f>IF(AND(ISNUMBER(Prices!C66),ISNUMBER(Prices!C65)),Prices!C66/Prices!C65-1,"")</f>
        <v>-0.13888888888888884</v>
      </c>
      <c r="D66" s="223">
        <f>IF(AND(ISNUMBER(Prices!D66),ISNUMBER(Prices!D65)),Prices!D66/Prices!D65-1,"")</f>
        <v>-2.6315789473684181E-2</v>
      </c>
      <c r="E66" s="223">
        <f>IF(AND(ISNUMBER(Prices!E66),ISNUMBER(Prices!E65)),Prices!E66/Prices!E65-1,"")</f>
        <v>-7.4576271186440724E-2</v>
      </c>
      <c r="F66" s="223">
        <f>IF(AND(ISNUMBER(Prices!F66),ISNUMBER(Prices!F65)),Prices!F66/Prices!F65-1,"")</f>
        <v>-5.6372549019607865E-2</v>
      </c>
      <c r="G66" s="223">
        <f>IF(AND(ISNUMBER(Prices!G66),ISNUMBER(Prices!G65)),Prices!G66/Prices!G65-1,"")</f>
        <v>-0.1459459459459459</v>
      </c>
      <c r="H66" s="223">
        <f>IF(AND(ISNUMBER(Prices!H66),ISNUMBER(Prices!H65)),Prices!H66/Prices!H65-1,"")</f>
        <v>5.3763440860215006E-2</v>
      </c>
    </row>
    <row r="67" spans="1:8" ht="21" customHeight="1">
      <c r="A67" s="224">
        <f>Prices!A67</f>
        <v>46204</v>
      </c>
      <c r="B67" s="225">
        <f>IF(AND(ISNUMBER(Prices!B67),ISNUMBER(Prices!B66)),Prices!B67/Prices!B66-1,"")</f>
        <v>0.10507177677873702</v>
      </c>
      <c r="C67" s="225">
        <f>IF(AND(ISNUMBER(Prices!C67),ISNUMBER(Prices!C66)),Prices!C67/Prices!C66-1,"")</f>
        <v>6.7448680351906098E-2</v>
      </c>
      <c r="D67" s="225">
        <f>IF(AND(ISNUMBER(Prices!D67),ISNUMBER(Prices!D66)),Prices!D67/Prices!D66-1,"")</f>
        <v>0.13963963963963955</v>
      </c>
      <c r="E67" s="225">
        <f>IF(AND(ISNUMBER(Prices!E67),ISNUMBER(Prices!E66)),Prices!E67/Prices!E66-1,"")</f>
        <v>0.11355311355311359</v>
      </c>
      <c r="F67" s="225">
        <f>IF(AND(ISNUMBER(Prices!F67),ISNUMBER(Prices!F66)),Prices!F67/Prices!F66-1,"")</f>
        <v>8.8311688311688341E-2</v>
      </c>
      <c r="G67" s="225">
        <f>IF(AND(ISNUMBER(Prices!G67),ISNUMBER(Prices!G66)),Prices!G67/Prices!G66-1,"")</f>
        <v>0.11708860759493667</v>
      </c>
      <c r="H67" s="225">
        <f>IF(AND(ISNUMBER(Prices!H67),ISNUMBER(Prices!H66)),Prices!H67/Prices!H66-1,"")</f>
        <v>1.0204081632652962E-2</v>
      </c>
    </row>
    <row r="68" spans="1:8" ht="21" customHeight="1">
      <c r="A68" s="224">
        <f>Prices!A68</f>
        <v>46235</v>
      </c>
      <c r="B68" s="225">
        <f>IF(AND(ISNUMBER(Prices!B68),ISNUMBER(Prices!B67)),Prices!B68/Prices!B67-1,"")</f>
        <v>4.6398968591097267E-2</v>
      </c>
      <c r="C68" s="225">
        <f>IF(AND(ISNUMBER(Prices!C68),ISNUMBER(Prices!C67)),Prices!C68/Prices!C67-1,"")</f>
        <v>-2.4725274725274748E-2</v>
      </c>
      <c r="D68" s="225">
        <f>IF(AND(ISNUMBER(Prices!D68),ISNUMBER(Prices!D67)),Prices!D68/Prices!D67-1,"")</f>
        <v>2.3715415019762931E-2</v>
      </c>
      <c r="E68" s="225">
        <f>IF(AND(ISNUMBER(Prices!E68),ISNUMBER(Prices!E67)),Prices!E68/Prices!E67-1,"")</f>
        <v>6.9078947368421018E-2</v>
      </c>
      <c r="F68" s="225">
        <f>IF(AND(ISNUMBER(Prices!F68),ISNUMBER(Prices!F67)),Prices!F68/Prices!F67-1,"")</f>
        <v>9.5465393794749165E-3</v>
      </c>
      <c r="G68" s="225">
        <f>IF(AND(ISNUMBER(Prices!G68),ISNUMBER(Prices!G67)),Prices!G68/Prices!G67-1,"")</f>
        <v>9.3484419263456076E-2</v>
      </c>
      <c r="H68" s="225">
        <f>IF(AND(ISNUMBER(Prices!H68),ISNUMBER(Prices!H67)),Prices!H68/Prices!H67-1,"")</f>
        <v>-5.050505050505083E-3</v>
      </c>
    </row>
    <row r="69" spans="1:8" ht="22.5" customHeight="1">
      <c r="A69" s="222">
        <f>Prices!A69</f>
        <v>46266</v>
      </c>
      <c r="B69" s="223">
        <f>IF(AND(ISNUMBER(Prices!B69),ISNUMBER(Prices!B68)),Prices!B69/Prices!B68-1,"")</f>
        <v>-6.9625529462966629E-2</v>
      </c>
      <c r="C69" s="223">
        <f>IF(AND(ISNUMBER(Prices!C69),ISNUMBER(Prices!C68)),Prices!C69/Prices!C68-1,"")</f>
        <v>-0.19999999999999996</v>
      </c>
      <c r="D69" s="223">
        <f>IF(AND(ISNUMBER(Prices!D69),ISNUMBER(Prices!D68)),Prices!D69/Prices!D68-1,"")</f>
        <v>-6.1776061776061764E-2</v>
      </c>
      <c r="E69" s="223">
        <f>IF(AND(ISNUMBER(Prices!E69),ISNUMBER(Prices!E68)),Prices!E69/Prices!E68-1,"")</f>
        <v>-3.3846153846153859E-2</v>
      </c>
      <c r="F69" s="223">
        <f>IF(AND(ISNUMBER(Prices!F69),ISNUMBER(Prices!F68)),Prices!F69/Prices!F68-1,"")</f>
        <v>-5.2009456264775378E-2</v>
      </c>
      <c r="G69" s="223">
        <f>IF(AND(ISNUMBER(Prices!G69),ISNUMBER(Prices!G68)),Prices!G69/Prices!G68-1,"")</f>
        <v>-0.12176165803108807</v>
      </c>
      <c r="H69" s="223">
        <f>IF(AND(ISNUMBER(Prices!H69),ISNUMBER(Prices!H68)),Prices!H69/Prices!H68-1,"")</f>
        <v>-4.5685279187817285E-2</v>
      </c>
    </row>
    <row r="70" spans="1:8" ht="22.5" customHeight="1">
      <c r="A70" s="222">
        <f>Prices!A70</f>
        <v>46296</v>
      </c>
      <c r="B70" s="223">
        <f>IF(AND(ISNUMBER(Prices!B70),ISNUMBER(Prices!B69)),Prices!B70/Prices!B69-1,"")</f>
        <v>1.2559420471278893E-2</v>
      </c>
      <c r="C70" s="223">
        <f>IF(AND(ISNUMBER(Prices!C70),ISNUMBER(Prices!C69)),Prices!C70/Prices!C69-1,"")</f>
        <v>-3.169014084507038E-2</v>
      </c>
      <c r="D70" s="223">
        <f>IF(AND(ISNUMBER(Prices!D70),ISNUMBER(Prices!D69)),Prices!D70/Prices!D69-1,"")</f>
        <v>-4.1152263374485409E-3</v>
      </c>
      <c r="E70" s="223">
        <f>IF(AND(ISNUMBER(Prices!E70),ISNUMBER(Prices!E69)),Prices!E70/Prices!E69-1,"")</f>
        <v>0</v>
      </c>
      <c r="F70" s="223">
        <f>IF(AND(ISNUMBER(Prices!F70),ISNUMBER(Prices!F69)),Prices!F70/Prices!F69-1,"")</f>
        <v>2.4937655860349128E-2</v>
      </c>
      <c r="G70" s="223">
        <f>IF(AND(ISNUMBER(Prices!G70),ISNUMBER(Prices!G69)),Prices!G70/Prices!G69-1,"")</f>
        <v>1.4749262536873253E-2</v>
      </c>
      <c r="H70" s="223">
        <f>IF(AND(ISNUMBER(Prices!H70),ISNUMBER(Prices!H69)),Prices!H70/Prices!H69-1,"")</f>
        <v>2.1276595744680771E-2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BFBFBF"/>
  </sheetPr>
  <dimension ref="A1:H72"/>
  <sheetViews>
    <sheetView workbookViewId="0">
      <pane ySplit="3" topLeftCell="A4" activePane="bottomLeft" state="frozen"/>
      <selection pane="bottomLeft"/>
    </sheetView>
  </sheetViews>
  <sheetFormatPr defaultColWidth="10.85546875" defaultRowHeight="15"/>
  <cols>
    <col min="1" max="1" width="32" style="11" customWidth="1"/>
    <col min="2" max="8" width="17.42578125" customWidth="1"/>
  </cols>
  <sheetData>
    <row r="1" spans="1:8" ht="27.95" customHeight="1">
      <c r="A1" s="228" t="s">
        <v>1197</v>
      </c>
      <c r="B1" s="228" t="s">
        <v>1196</v>
      </c>
      <c r="C1" s="228" t="s">
        <v>1186</v>
      </c>
      <c r="D1" s="228" t="s">
        <v>700</v>
      </c>
      <c r="E1" s="228" t="s">
        <v>694</v>
      </c>
      <c r="F1" s="228" t="s">
        <v>696</v>
      </c>
      <c r="G1" s="228" t="s">
        <v>698</v>
      </c>
      <c r="H1" s="228" t="s">
        <v>702</v>
      </c>
    </row>
    <row r="2" spans="1:8" ht="15" customHeight="1">
      <c r="A2" s="226">
        <v>44228</v>
      </c>
      <c r="B2" s="227">
        <v>6241.8</v>
      </c>
      <c r="C2" s="227">
        <v>2867</v>
      </c>
      <c r="D2" s="227">
        <v>6710</v>
      </c>
      <c r="E2" s="227">
        <v>4595</v>
      </c>
      <c r="G2" s="227">
        <v>2975</v>
      </c>
      <c r="H2" s="227">
        <v>4100</v>
      </c>
    </row>
    <row r="3" spans="1:8" ht="21" customHeight="1">
      <c r="A3" s="226">
        <v>44256</v>
      </c>
      <c r="B3" s="227">
        <v>5985.52</v>
      </c>
      <c r="C3" s="227">
        <v>2233</v>
      </c>
      <c r="D3" s="227">
        <v>6215</v>
      </c>
      <c r="E3" s="227">
        <v>4293</v>
      </c>
      <c r="G3" s="227">
        <v>2863</v>
      </c>
      <c r="H3" s="227">
        <v>3480</v>
      </c>
    </row>
    <row r="4" spans="1:8" ht="21" customHeight="1">
      <c r="A4" s="226">
        <v>44287</v>
      </c>
      <c r="B4" s="227">
        <v>5995.62</v>
      </c>
      <c r="C4" s="227">
        <v>2224</v>
      </c>
      <c r="D4" s="227">
        <v>6405</v>
      </c>
      <c r="E4" s="227">
        <v>3951</v>
      </c>
      <c r="G4" s="227">
        <v>2850</v>
      </c>
      <c r="H4" s="227">
        <v>3270</v>
      </c>
    </row>
    <row r="5" spans="1:8" ht="21" customHeight="1">
      <c r="A5" s="226">
        <v>44317</v>
      </c>
      <c r="B5" s="227">
        <v>5947.46</v>
      </c>
      <c r="C5" s="227">
        <v>1858</v>
      </c>
      <c r="D5" s="227">
        <v>6375</v>
      </c>
      <c r="E5" s="227">
        <v>4156</v>
      </c>
      <c r="G5" s="227">
        <v>2700</v>
      </c>
      <c r="H5" s="227">
        <v>2900</v>
      </c>
    </row>
    <row r="6" spans="1:8" ht="21" customHeight="1">
      <c r="A6" s="226">
        <v>44348</v>
      </c>
      <c r="B6" s="227">
        <v>5985.49</v>
      </c>
      <c r="C6" s="227">
        <v>2243</v>
      </c>
      <c r="D6" s="227">
        <v>6025</v>
      </c>
      <c r="E6" s="227">
        <v>3844</v>
      </c>
      <c r="G6" s="227">
        <v>2315</v>
      </c>
      <c r="H6" s="227">
        <v>2880</v>
      </c>
    </row>
    <row r="7" spans="1:8" ht="21" customHeight="1">
      <c r="A7" s="226">
        <v>44378</v>
      </c>
      <c r="B7" s="227">
        <v>6070.04</v>
      </c>
      <c r="C7" s="227">
        <v>2565</v>
      </c>
      <c r="D7" s="227">
        <v>5970</v>
      </c>
      <c r="E7" s="227">
        <v>3620</v>
      </c>
      <c r="G7" s="227">
        <v>2390</v>
      </c>
      <c r="H7" s="227">
        <v>2370</v>
      </c>
    </row>
    <row r="8" spans="1:8" ht="21" customHeight="1">
      <c r="A8" s="226">
        <v>44409</v>
      </c>
      <c r="B8" s="227">
        <v>6150.3</v>
      </c>
      <c r="C8" s="227">
        <v>2165</v>
      </c>
      <c r="D8" s="227">
        <v>6550</v>
      </c>
      <c r="E8" s="227">
        <v>3834</v>
      </c>
      <c r="G8" s="227">
        <v>2700</v>
      </c>
      <c r="H8" s="227">
        <v>2800</v>
      </c>
    </row>
    <row r="9" spans="1:8" ht="21" customHeight="1">
      <c r="A9" s="226">
        <v>44440</v>
      </c>
      <c r="B9" s="227">
        <v>6286.94</v>
      </c>
      <c r="C9" s="227">
        <v>1990</v>
      </c>
      <c r="D9" s="227">
        <v>7000</v>
      </c>
      <c r="E9" s="227">
        <v>3850</v>
      </c>
      <c r="G9" s="227">
        <v>2688</v>
      </c>
      <c r="H9" s="227">
        <v>3470</v>
      </c>
    </row>
    <row r="10" spans="1:8" ht="21" customHeight="1">
      <c r="A10" s="226">
        <v>44470</v>
      </c>
      <c r="B10" s="227">
        <v>6591.35</v>
      </c>
      <c r="C10" s="227">
        <v>2058</v>
      </c>
      <c r="D10" s="227">
        <v>7475</v>
      </c>
      <c r="E10" s="227">
        <v>4250</v>
      </c>
      <c r="G10" s="227">
        <v>3500</v>
      </c>
      <c r="H10" s="227">
        <v>3810</v>
      </c>
    </row>
    <row r="11" spans="1:8" ht="21" customHeight="1">
      <c r="A11" s="226">
        <v>44501</v>
      </c>
      <c r="B11" s="227">
        <v>6533.93</v>
      </c>
      <c r="C11" s="227">
        <v>1907</v>
      </c>
      <c r="D11" s="227">
        <v>7275</v>
      </c>
      <c r="E11" s="227">
        <v>4090</v>
      </c>
      <c r="G11" s="227">
        <v>3400</v>
      </c>
      <c r="H11" s="227">
        <v>3570</v>
      </c>
    </row>
    <row r="12" spans="1:8" ht="21" customHeight="1">
      <c r="A12" s="226">
        <v>44531</v>
      </c>
      <c r="B12" s="227">
        <v>6581.48</v>
      </c>
      <c r="C12" s="227">
        <v>1736</v>
      </c>
      <c r="D12" s="227">
        <v>7300</v>
      </c>
      <c r="E12" s="227">
        <v>4110</v>
      </c>
      <c r="G12" s="227">
        <v>3375</v>
      </c>
      <c r="H12" s="227">
        <v>3580</v>
      </c>
    </row>
    <row r="13" spans="1:8" ht="21" customHeight="1">
      <c r="A13" s="226">
        <v>44562</v>
      </c>
      <c r="B13" s="227">
        <v>6631.15</v>
      </c>
      <c r="C13" s="227">
        <v>1507</v>
      </c>
      <c r="D13" s="227">
        <v>7625</v>
      </c>
      <c r="E13" s="227">
        <v>4070</v>
      </c>
      <c r="G13" s="227">
        <v>3663</v>
      </c>
      <c r="H13" s="227">
        <v>3480</v>
      </c>
    </row>
    <row r="14" spans="1:8" ht="21" customHeight="1">
      <c r="A14" s="226">
        <v>44593</v>
      </c>
      <c r="B14" s="227">
        <v>6888.17</v>
      </c>
      <c r="C14" s="227">
        <v>1624</v>
      </c>
      <c r="D14" s="227">
        <v>8050</v>
      </c>
      <c r="E14" s="227">
        <v>4550</v>
      </c>
      <c r="G14" s="227">
        <v>4000</v>
      </c>
      <c r="H14" s="227">
        <v>3590</v>
      </c>
    </row>
    <row r="15" spans="1:8" ht="21" customHeight="1">
      <c r="A15" s="226">
        <v>44621</v>
      </c>
      <c r="B15" s="227">
        <v>7071.44</v>
      </c>
      <c r="C15" s="227">
        <v>1565</v>
      </c>
      <c r="D15" s="227">
        <v>7975</v>
      </c>
      <c r="E15" s="227">
        <v>4660</v>
      </c>
      <c r="G15" s="227">
        <v>4125</v>
      </c>
      <c r="H15" s="227">
        <v>3300</v>
      </c>
    </row>
    <row r="16" spans="1:8" ht="21" customHeight="1">
      <c r="A16" s="226">
        <v>44652</v>
      </c>
      <c r="B16" s="227">
        <v>7228.91</v>
      </c>
      <c r="C16" s="227">
        <v>1541</v>
      </c>
      <c r="D16" s="227">
        <v>8125</v>
      </c>
      <c r="E16" s="227">
        <v>4870</v>
      </c>
      <c r="G16" s="227">
        <v>4613</v>
      </c>
      <c r="H16" s="227">
        <v>3450</v>
      </c>
    </row>
    <row r="17" spans="1:8" ht="21" customHeight="1">
      <c r="A17" s="226">
        <v>44682</v>
      </c>
      <c r="B17" s="227">
        <v>7148.97</v>
      </c>
      <c r="C17" s="227">
        <v>1404</v>
      </c>
      <c r="D17" s="227">
        <v>7750</v>
      </c>
      <c r="E17" s="227">
        <v>4630</v>
      </c>
      <c r="G17" s="227">
        <v>4588</v>
      </c>
      <c r="H17" s="227">
        <v>3050</v>
      </c>
    </row>
    <row r="18" spans="1:8" ht="21" customHeight="1">
      <c r="A18" s="226">
        <v>44713</v>
      </c>
      <c r="B18" s="227">
        <v>6911.58</v>
      </c>
      <c r="C18" s="227">
        <v>1307</v>
      </c>
      <c r="D18" s="227">
        <v>7250</v>
      </c>
      <c r="E18" s="227">
        <v>4150</v>
      </c>
      <c r="G18" s="227">
        <v>3925</v>
      </c>
      <c r="H18" s="227">
        <v>2820</v>
      </c>
    </row>
    <row r="19" spans="1:8" ht="21" customHeight="1">
      <c r="A19" s="226">
        <v>44743</v>
      </c>
      <c r="B19" s="227">
        <v>6951.12</v>
      </c>
      <c r="C19" s="227">
        <v>1595</v>
      </c>
      <c r="D19" s="227">
        <v>7350</v>
      </c>
      <c r="E19" s="227">
        <v>4360</v>
      </c>
      <c r="G19" s="227">
        <v>3925</v>
      </c>
      <c r="H19" s="227">
        <v>2810</v>
      </c>
    </row>
    <row r="20" spans="1:8" ht="21" customHeight="1">
      <c r="A20" s="226">
        <v>44774</v>
      </c>
      <c r="B20" s="227">
        <v>7178.59</v>
      </c>
      <c r="C20" s="227">
        <v>1482</v>
      </c>
      <c r="D20" s="227">
        <v>8200</v>
      </c>
      <c r="E20" s="227">
        <v>4340</v>
      </c>
      <c r="G20" s="227">
        <v>4263</v>
      </c>
      <c r="H20" s="227">
        <v>2960</v>
      </c>
    </row>
    <row r="21" spans="1:8" ht="21" customHeight="1">
      <c r="A21" s="226">
        <v>44805</v>
      </c>
      <c r="B21" s="227">
        <v>7040.8</v>
      </c>
      <c r="C21" s="227">
        <v>1434</v>
      </c>
      <c r="D21" s="227">
        <v>8550</v>
      </c>
      <c r="E21" s="227">
        <v>4490</v>
      </c>
      <c r="G21" s="227">
        <v>4488</v>
      </c>
      <c r="H21" s="227">
        <v>2730</v>
      </c>
    </row>
    <row r="22" spans="1:8" ht="21" customHeight="1">
      <c r="A22" s="226">
        <v>44835</v>
      </c>
      <c r="B22" s="227">
        <v>7098.89</v>
      </c>
      <c r="C22" s="227">
        <v>1365</v>
      </c>
      <c r="D22" s="227">
        <v>8800</v>
      </c>
      <c r="E22" s="227">
        <v>4650</v>
      </c>
      <c r="G22" s="227">
        <v>4700</v>
      </c>
      <c r="H22" s="227">
        <v>2950</v>
      </c>
    </row>
    <row r="23" spans="1:8" ht="21" customHeight="1">
      <c r="A23" s="226">
        <v>44866</v>
      </c>
      <c r="B23" s="227">
        <v>7081.31</v>
      </c>
      <c r="C23" s="227">
        <v>1302</v>
      </c>
      <c r="D23" s="227">
        <v>9300</v>
      </c>
      <c r="E23" s="227">
        <v>4980</v>
      </c>
      <c r="G23" s="227">
        <v>4950</v>
      </c>
      <c r="H23" s="227">
        <v>3200</v>
      </c>
    </row>
    <row r="24" spans="1:8" ht="21" customHeight="1">
      <c r="A24" s="226">
        <v>44896</v>
      </c>
      <c r="B24" s="227">
        <v>6850.62</v>
      </c>
      <c r="C24" s="227">
        <v>1290</v>
      </c>
      <c r="D24" s="227">
        <v>8550</v>
      </c>
      <c r="E24" s="227">
        <v>4940</v>
      </c>
      <c r="G24" s="227">
        <v>4613</v>
      </c>
      <c r="H24" s="227">
        <v>2790</v>
      </c>
    </row>
    <row r="25" spans="1:8" ht="21" customHeight="1">
      <c r="A25" s="226">
        <v>44927</v>
      </c>
      <c r="B25" s="227">
        <v>6839.34</v>
      </c>
      <c r="C25" s="227">
        <v>1335</v>
      </c>
      <c r="D25" s="227">
        <v>8475</v>
      </c>
      <c r="E25" s="227">
        <v>4580</v>
      </c>
      <c r="G25" s="227">
        <v>4575</v>
      </c>
      <c r="H25" s="227">
        <v>2560</v>
      </c>
    </row>
    <row r="26" spans="1:8" ht="21" customHeight="1">
      <c r="A26" s="226">
        <v>44958</v>
      </c>
      <c r="B26" s="227">
        <v>6843.24</v>
      </c>
      <c r="C26" s="227">
        <v>1520</v>
      </c>
      <c r="D26" s="227">
        <v>8750</v>
      </c>
      <c r="E26" s="227">
        <v>4670</v>
      </c>
      <c r="G26" s="227">
        <v>4388</v>
      </c>
      <c r="H26" s="227">
        <v>2340</v>
      </c>
    </row>
    <row r="27" spans="1:8" ht="21" customHeight="1">
      <c r="A27" s="226">
        <v>44986</v>
      </c>
      <c r="B27" s="227">
        <v>6805.28</v>
      </c>
      <c r="C27" s="227">
        <v>1680</v>
      </c>
      <c r="D27" s="227">
        <v>8750</v>
      </c>
      <c r="E27" s="227">
        <v>4730</v>
      </c>
      <c r="G27" s="227">
        <v>4675</v>
      </c>
      <c r="H27" s="227">
        <v>2190</v>
      </c>
    </row>
    <row r="28" spans="1:8" ht="21" customHeight="1">
      <c r="A28" s="226">
        <v>45017</v>
      </c>
      <c r="B28" s="227">
        <v>6915.72</v>
      </c>
      <c r="C28" s="227">
        <v>1730</v>
      </c>
      <c r="D28" s="227">
        <v>9050</v>
      </c>
      <c r="E28" s="227">
        <v>5100</v>
      </c>
      <c r="G28" s="227">
        <v>4713</v>
      </c>
      <c r="H28" s="227">
        <v>2140</v>
      </c>
    </row>
    <row r="29" spans="1:8" ht="21" customHeight="1">
      <c r="A29" s="226">
        <v>45047</v>
      </c>
      <c r="B29" s="227">
        <v>6633.26</v>
      </c>
      <c r="C29" s="227">
        <v>1730</v>
      </c>
      <c r="D29" s="227">
        <v>9050</v>
      </c>
      <c r="E29" s="227">
        <v>5575</v>
      </c>
      <c r="G29" s="227">
        <v>4525</v>
      </c>
      <c r="H29" s="227">
        <v>1900</v>
      </c>
    </row>
    <row r="30" spans="1:8" ht="21" customHeight="1">
      <c r="A30" s="226">
        <v>45078</v>
      </c>
      <c r="B30" s="227">
        <v>6661.88</v>
      </c>
      <c r="C30" s="227">
        <v>1690</v>
      </c>
      <c r="D30" s="227">
        <v>9150</v>
      </c>
      <c r="E30" s="227">
        <v>5425</v>
      </c>
      <c r="G30" s="227">
        <v>4575</v>
      </c>
      <c r="H30" s="227">
        <v>2070</v>
      </c>
    </row>
    <row r="31" spans="1:8" ht="21" customHeight="1">
      <c r="A31" s="226">
        <v>45108</v>
      </c>
      <c r="B31" s="227">
        <v>6931.36</v>
      </c>
      <c r="C31" s="227">
        <v>1655</v>
      </c>
      <c r="D31" s="227">
        <v>9125</v>
      </c>
      <c r="E31" s="227">
        <v>5650</v>
      </c>
      <c r="G31" s="227">
        <v>4438</v>
      </c>
      <c r="H31" s="227">
        <v>2130</v>
      </c>
    </row>
    <row r="32" spans="1:8" ht="21" customHeight="1">
      <c r="A32" s="226">
        <v>45139</v>
      </c>
      <c r="B32" s="227">
        <v>6953.26</v>
      </c>
      <c r="C32" s="227">
        <v>1710</v>
      </c>
      <c r="D32" s="227">
        <v>9175</v>
      </c>
      <c r="E32" s="227">
        <v>5550</v>
      </c>
      <c r="G32" s="227">
        <v>4588</v>
      </c>
      <c r="H32" s="227">
        <v>2160</v>
      </c>
    </row>
    <row r="33" spans="1:8" ht="21" customHeight="1">
      <c r="A33" s="226">
        <v>45170</v>
      </c>
      <c r="B33" s="227">
        <v>6939.89</v>
      </c>
      <c r="C33" s="227">
        <v>1625</v>
      </c>
      <c r="D33" s="227">
        <v>8825</v>
      </c>
      <c r="E33" s="227">
        <v>5225</v>
      </c>
      <c r="G33" s="227">
        <v>5163</v>
      </c>
      <c r="H33" s="227">
        <v>1905</v>
      </c>
    </row>
    <row r="34" spans="1:8" ht="21" customHeight="1">
      <c r="A34" s="226">
        <v>45200</v>
      </c>
      <c r="B34" s="227">
        <v>6752.21</v>
      </c>
      <c r="C34" s="227">
        <v>1500</v>
      </c>
      <c r="D34" s="227">
        <v>8750</v>
      </c>
      <c r="E34" s="227">
        <v>4960</v>
      </c>
      <c r="G34" s="227">
        <v>4790</v>
      </c>
      <c r="H34" s="227">
        <v>1575</v>
      </c>
    </row>
    <row r="35" spans="1:8" ht="21" customHeight="1">
      <c r="A35" s="226">
        <v>45231</v>
      </c>
      <c r="B35" s="227">
        <v>7080.74</v>
      </c>
      <c r="C35" s="227">
        <v>1655</v>
      </c>
      <c r="D35" s="227">
        <v>8975</v>
      </c>
      <c r="E35" s="227">
        <v>5275</v>
      </c>
      <c r="G35" s="227">
        <v>5275</v>
      </c>
      <c r="H35" s="227">
        <v>1655</v>
      </c>
    </row>
    <row r="36" spans="1:8" ht="21" customHeight="1">
      <c r="A36" s="226">
        <v>45261</v>
      </c>
      <c r="B36" s="227">
        <v>7272.8</v>
      </c>
      <c r="C36" s="227">
        <v>1740</v>
      </c>
      <c r="D36" s="227">
        <v>9400</v>
      </c>
      <c r="E36" s="227">
        <v>5725</v>
      </c>
      <c r="G36" s="227">
        <v>5375</v>
      </c>
      <c r="H36" s="227">
        <v>1690</v>
      </c>
    </row>
    <row r="37" spans="1:8" ht="21" customHeight="1">
      <c r="A37" s="226">
        <v>45292</v>
      </c>
      <c r="B37" s="227">
        <v>7207.94</v>
      </c>
      <c r="C37" s="227">
        <v>2330</v>
      </c>
      <c r="D37" s="227">
        <v>9550</v>
      </c>
      <c r="E37" s="227">
        <v>5700</v>
      </c>
      <c r="G37" s="227">
        <v>5750</v>
      </c>
      <c r="H37" s="227">
        <v>1590</v>
      </c>
    </row>
    <row r="38" spans="1:8" ht="21" customHeight="1">
      <c r="A38" s="226">
        <v>45323</v>
      </c>
      <c r="B38" s="227">
        <v>7316.11</v>
      </c>
      <c r="C38" s="227">
        <v>2470</v>
      </c>
      <c r="D38" s="227">
        <v>9875</v>
      </c>
      <c r="E38" s="227">
        <v>6125</v>
      </c>
      <c r="G38" s="227">
        <v>6000</v>
      </c>
      <c r="H38" s="227">
        <v>1375</v>
      </c>
    </row>
    <row r="39" spans="1:8" ht="21" customHeight="1">
      <c r="A39" s="226">
        <v>45352</v>
      </c>
      <c r="B39" s="227">
        <v>7288.81</v>
      </c>
      <c r="C39" s="227">
        <v>2710</v>
      </c>
      <c r="D39" s="227">
        <v>10075</v>
      </c>
      <c r="E39" s="227">
        <v>6050</v>
      </c>
      <c r="G39" s="227">
        <v>5900</v>
      </c>
      <c r="H39" s="227">
        <v>1355</v>
      </c>
    </row>
    <row r="40" spans="1:8" ht="21" customHeight="1">
      <c r="A40" s="226">
        <v>45383</v>
      </c>
      <c r="B40" s="227">
        <v>7234.2</v>
      </c>
      <c r="C40" s="227">
        <v>2640</v>
      </c>
      <c r="D40" s="227">
        <v>9800</v>
      </c>
      <c r="E40" s="227">
        <v>4940</v>
      </c>
      <c r="G40" s="227">
        <v>5250</v>
      </c>
      <c r="H40" s="227">
        <v>1215</v>
      </c>
    </row>
    <row r="41" spans="1:8" ht="21" customHeight="1">
      <c r="A41" s="226">
        <v>45413</v>
      </c>
      <c r="B41" s="227">
        <v>6970.74</v>
      </c>
      <c r="C41" s="227">
        <v>2200</v>
      </c>
      <c r="D41" s="227">
        <v>9250</v>
      </c>
      <c r="E41" s="227">
        <v>4340</v>
      </c>
      <c r="G41" s="227">
        <v>4400</v>
      </c>
      <c r="H41" s="227">
        <v>1165</v>
      </c>
    </row>
    <row r="42" spans="1:8" ht="21" customHeight="1">
      <c r="A42" s="226">
        <v>45444</v>
      </c>
      <c r="B42" s="227">
        <v>7063.58</v>
      </c>
      <c r="C42" s="227">
        <v>2620</v>
      </c>
      <c r="D42" s="227">
        <v>9925</v>
      </c>
      <c r="E42" s="227">
        <v>4600</v>
      </c>
      <c r="G42" s="227">
        <v>4660</v>
      </c>
      <c r="H42" s="227">
        <v>1145</v>
      </c>
    </row>
    <row r="43" spans="1:8" ht="21" customHeight="1">
      <c r="A43" s="226">
        <v>45474</v>
      </c>
      <c r="B43" s="227">
        <v>7255.76</v>
      </c>
      <c r="C43" s="227">
        <v>2600</v>
      </c>
      <c r="D43" s="227">
        <v>10275</v>
      </c>
      <c r="E43" s="227">
        <v>4670</v>
      </c>
      <c r="G43" s="227">
        <v>4970</v>
      </c>
      <c r="H43" s="227">
        <v>1140</v>
      </c>
    </row>
    <row r="44" spans="1:8" ht="21" customHeight="1">
      <c r="A44" s="226">
        <v>45505</v>
      </c>
      <c r="B44" s="227">
        <v>7670.73</v>
      </c>
      <c r="C44" s="227">
        <v>2650</v>
      </c>
      <c r="D44" s="227">
        <v>10325</v>
      </c>
      <c r="E44" s="227">
        <v>5150</v>
      </c>
      <c r="G44" s="227">
        <v>5350</v>
      </c>
      <c r="H44" s="227">
        <v>1265</v>
      </c>
    </row>
    <row r="45" spans="1:8" ht="21" customHeight="1">
      <c r="A45" s="226">
        <v>45536</v>
      </c>
      <c r="B45" s="227">
        <v>7527.93</v>
      </c>
      <c r="C45" s="227">
        <v>3010</v>
      </c>
      <c r="D45" s="227">
        <v>10325</v>
      </c>
      <c r="E45" s="227">
        <v>4950</v>
      </c>
      <c r="G45" s="227">
        <v>5350</v>
      </c>
      <c r="H45" s="227">
        <v>1215</v>
      </c>
    </row>
    <row r="46" spans="1:8" ht="21" customHeight="1">
      <c r="A46" s="226">
        <v>45566</v>
      </c>
      <c r="B46" s="227">
        <v>7574.02</v>
      </c>
      <c r="C46" s="227">
        <v>3030</v>
      </c>
      <c r="D46" s="227">
        <v>10250</v>
      </c>
      <c r="E46" s="227">
        <v>4800</v>
      </c>
      <c r="G46" s="227">
        <v>5250</v>
      </c>
      <c r="H46" s="227">
        <v>1065</v>
      </c>
    </row>
    <row r="47" spans="1:8" ht="21" customHeight="1">
      <c r="A47" s="226">
        <v>45597</v>
      </c>
      <c r="B47" s="227">
        <v>7114.27</v>
      </c>
      <c r="C47" s="227">
        <v>2900</v>
      </c>
      <c r="D47" s="227">
        <v>10000</v>
      </c>
      <c r="E47" s="227">
        <v>4250</v>
      </c>
      <c r="F47" s="227">
        <v>6150</v>
      </c>
      <c r="G47" s="227">
        <v>4980</v>
      </c>
      <c r="H47" s="227">
        <v>910</v>
      </c>
    </row>
    <row r="48" spans="1:8" ht="21" customHeight="1">
      <c r="A48" s="226">
        <v>45627</v>
      </c>
      <c r="B48" s="227">
        <v>7079.9</v>
      </c>
      <c r="C48" s="227">
        <v>2730</v>
      </c>
      <c r="D48" s="227">
        <v>9675</v>
      </c>
      <c r="E48" s="227">
        <v>4080</v>
      </c>
      <c r="F48" s="227">
        <v>5700</v>
      </c>
      <c r="G48" s="227">
        <v>4350</v>
      </c>
      <c r="H48" s="227">
        <v>925</v>
      </c>
    </row>
    <row r="49" spans="1:8" ht="21" customHeight="1">
      <c r="A49" s="226">
        <v>45658</v>
      </c>
      <c r="B49" s="227">
        <v>7109.2</v>
      </c>
      <c r="C49" s="227">
        <v>2930</v>
      </c>
      <c r="D49" s="227">
        <v>9450</v>
      </c>
      <c r="E49" s="227">
        <v>4220</v>
      </c>
      <c r="F49" s="227">
        <v>6025</v>
      </c>
      <c r="G49" s="227">
        <v>4770</v>
      </c>
      <c r="H49" s="227">
        <v>925</v>
      </c>
    </row>
    <row r="50" spans="1:8" ht="21" customHeight="1">
      <c r="A50" s="226">
        <v>45689</v>
      </c>
      <c r="B50" s="227">
        <v>6270.6</v>
      </c>
      <c r="C50" s="227">
        <v>2500</v>
      </c>
      <c r="D50" s="227">
        <v>8425</v>
      </c>
      <c r="E50" s="227">
        <v>3360</v>
      </c>
      <c r="F50" s="227">
        <v>4600</v>
      </c>
      <c r="G50" s="227">
        <v>4030</v>
      </c>
      <c r="H50" s="227">
        <v>875</v>
      </c>
    </row>
    <row r="51" spans="1:8" ht="21" customHeight="1">
      <c r="A51" s="226">
        <v>45717</v>
      </c>
      <c r="B51" s="227">
        <v>6510.62</v>
      </c>
      <c r="C51" s="227">
        <v>2340</v>
      </c>
      <c r="D51" s="227">
        <v>8500</v>
      </c>
      <c r="E51" s="227">
        <v>4050</v>
      </c>
      <c r="F51" s="227">
        <v>5200</v>
      </c>
      <c r="G51" s="227">
        <v>4240</v>
      </c>
      <c r="H51" s="227">
        <v>905</v>
      </c>
    </row>
    <row r="52" spans="1:8" ht="21" customHeight="1">
      <c r="A52" s="226">
        <v>45748</v>
      </c>
      <c r="B52" s="227">
        <v>6766.79</v>
      </c>
      <c r="C52" s="227">
        <v>2850</v>
      </c>
      <c r="D52" s="227">
        <v>8825</v>
      </c>
      <c r="E52" s="227">
        <v>3850</v>
      </c>
      <c r="F52" s="227">
        <v>4890</v>
      </c>
      <c r="G52" s="227">
        <v>4180</v>
      </c>
      <c r="H52" s="227">
        <v>1185</v>
      </c>
    </row>
    <row r="53" spans="1:8" ht="21" customHeight="1">
      <c r="A53" s="226">
        <v>45778</v>
      </c>
      <c r="B53" s="227">
        <v>7175.82</v>
      </c>
      <c r="C53" s="227">
        <v>3000</v>
      </c>
      <c r="D53" s="227">
        <v>9400</v>
      </c>
      <c r="E53" s="227">
        <v>4450</v>
      </c>
      <c r="F53" s="227">
        <v>5300</v>
      </c>
      <c r="G53" s="227">
        <v>4490</v>
      </c>
      <c r="H53" s="227">
        <v>1295</v>
      </c>
    </row>
    <row r="54" spans="1:8" ht="21" customHeight="1">
      <c r="A54" s="226">
        <v>45809</v>
      </c>
      <c r="B54" s="227">
        <v>6927.68</v>
      </c>
      <c r="C54" s="227">
        <v>2580</v>
      </c>
      <c r="D54" s="227">
        <v>8675</v>
      </c>
      <c r="E54" s="227">
        <v>3740</v>
      </c>
      <c r="F54" s="227">
        <v>4880</v>
      </c>
      <c r="G54" s="227">
        <v>4120</v>
      </c>
      <c r="H54" s="227">
        <v>1315</v>
      </c>
    </row>
    <row r="55" spans="1:8" ht="21" customHeight="1">
      <c r="A55" s="226">
        <v>45839</v>
      </c>
      <c r="B55" s="227">
        <v>7484.34</v>
      </c>
      <c r="C55" s="227">
        <v>2730</v>
      </c>
      <c r="D55" s="227">
        <v>8275</v>
      </c>
      <c r="E55" s="227">
        <v>3710</v>
      </c>
      <c r="F55" s="227">
        <v>4510</v>
      </c>
      <c r="G55" s="227">
        <v>4010</v>
      </c>
      <c r="H55" s="227">
        <v>1410</v>
      </c>
    </row>
    <row r="56" spans="1:8" ht="21" customHeight="1">
      <c r="A56" s="226">
        <v>45870</v>
      </c>
      <c r="B56" s="227">
        <v>7830.49</v>
      </c>
      <c r="C56" s="227">
        <v>2710</v>
      </c>
      <c r="D56" s="227">
        <v>8075</v>
      </c>
      <c r="E56" s="227">
        <v>4050</v>
      </c>
      <c r="F56" s="227">
        <v>4730</v>
      </c>
      <c r="G56" s="227">
        <v>4380</v>
      </c>
      <c r="H56" s="227">
        <v>1490</v>
      </c>
    </row>
    <row r="57" spans="1:8" ht="21" customHeight="1">
      <c r="A57" s="226">
        <v>45901</v>
      </c>
      <c r="B57" s="227">
        <v>8061.06</v>
      </c>
      <c r="C57" s="227">
        <v>2590</v>
      </c>
      <c r="D57" s="227">
        <v>7625</v>
      </c>
      <c r="E57" s="227">
        <v>3900</v>
      </c>
      <c r="F57" s="227">
        <v>4400</v>
      </c>
      <c r="G57" s="227">
        <v>4100</v>
      </c>
      <c r="H57" s="227">
        <v>1350</v>
      </c>
    </row>
    <row r="58" spans="1:8" ht="21" customHeight="1">
      <c r="A58" s="226">
        <v>45931</v>
      </c>
      <c r="B58" s="227">
        <v>8163.88</v>
      </c>
      <c r="C58" s="227">
        <v>2550</v>
      </c>
      <c r="D58" s="227">
        <v>8525</v>
      </c>
      <c r="E58" s="227">
        <v>3980</v>
      </c>
      <c r="F58" s="227">
        <v>4720</v>
      </c>
      <c r="G58" s="227">
        <v>4380</v>
      </c>
      <c r="H58" s="227">
        <v>1370</v>
      </c>
    </row>
    <row r="59" spans="1:8" ht="21" customHeight="1">
      <c r="A59" s="226">
        <v>45962</v>
      </c>
      <c r="B59" s="227">
        <v>8508.7099999999991</v>
      </c>
      <c r="C59" s="227">
        <v>2340</v>
      </c>
      <c r="D59" s="227">
        <v>8275</v>
      </c>
      <c r="E59" s="227">
        <v>3680</v>
      </c>
      <c r="F59" s="227">
        <v>4830</v>
      </c>
      <c r="G59" s="227">
        <v>4260</v>
      </c>
      <c r="H59" s="227">
        <v>1315</v>
      </c>
    </row>
    <row r="60" spans="1:8" ht="21" customHeight="1">
      <c r="A60" s="226">
        <v>45992</v>
      </c>
      <c r="B60" s="227">
        <v>8646.94</v>
      </c>
      <c r="C60" s="227">
        <v>2230</v>
      </c>
      <c r="D60" s="227">
        <v>8075</v>
      </c>
      <c r="E60" s="227">
        <v>3660</v>
      </c>
      <c r="F60" s="227">
        <v>5100</v>
      </c>
      <c r="G60" s="227">
        <v>4370</v>
      </c>
      <c r="H60" s="227">
        <v>1205</v>
      </c>
    </row>
    <row r="61" spans="1:8" ht="21" customHeight="1">
      <c r="A61" s="226">
        <v>46023</v>
      </c>
      <c r="B61" s="227">
        <v>8329.61</v>
      </c>
      <c r="C61" s="227">
        <v>2250</v>
      </c>
      <c r="D61" s="227">
        <v>7400</v>
      </c>
      <c r="E61" s="227">
        <v>3810</v>
      </c>
      <c r="F61" s="227">
        <v>4820</v>
      </c>
      <c r="G61" s="227">
        <v>4490</v>
      </c>
      <c r="H61" s="227">
        <v>1205</v>
      </c>
    </row>
    <row r="62" spans="1:8" ht="21" customHeight="1">
      <c r="A62" s="226">
        <v>46054</v>
      </c>
      <c r="B62" s="227">
        <v>8235.49</v>
      </c>
      <c r="C62" s="227">
        <v>2360</v>
      </c>
      <c r="D62" s="227">
        <v>7175</v>
      </c>
      <c r="E62" s="227">
        <v>3910</v>
      </c>
      <c r="F62" s="227">
        <v>5275</v>
      </c>
      <c r="G62" s="227">
        <v>4400</v>
      </c>
      <c r="H62" s="227">
        <v>1150</v>
      </c>
    </row>
    <row r="63" spans="1:8" ht="21" customHeight="1">
      <c r="A63" s="226">
        <v>46082</v>
      </c>
      <c r="B63" s="227">
        <v>7048.22</v>
      </c>
      <c r="C63" s="227">
        <v>2110</v>
      </c>
      <c r="D63" s="227">
        <v>6450</v>
      </c>
      <c r="E63" s="227">
        <v>3330</v>
      </c>
      <c r="F63" s="227">
        <v>4720</v>
      </c>
      <c r="G63" s="227">
        <v>3760</v>
      </c>
      <c r="H63" s="227">
        <v>1065</v>
      </c>
    </row>
    <row r="64" spans="1:8" ht="21" customHeight="1">
      <c r="A64" s="226">
        <v>46113</v>
      </c>
      <c r="B64" s="227">
        <v>6956.8</v>
      </c>
      <c r="C64" s="227">
        <v>1775</v>
      </c>
      <c r="D64" s="227">
        <v>5850</v>
      </c>
      <c r="E64" s="227">
        <v>2990</v>
      </c>
      <c r="F64" s="227">
        <v>4390</v>
      </c>
      <c r="G64" s="227">
        <v>3720</v>
      </c>
      <c r="H64" s="227">
        <v>1000</v>
      </c>
    </row>
    <row r="65" spans="1:8" ht="21" customHeight="1">
      <c r="A65" s="226">
        <v>46143</v>
      </c>
      <c r="B65" s="227">
        <v>6127.38</v>
      </c>
      <c r="C65" s="227">
        <v>1980</v>
      </c>
      <c r="D65" s="227">
        <v>5700</v>
      </c>
      <c r="E65" s="227">
        <v>2950</v>
      </c>
      <c r="F65" s="227">
        <v>4080</v>
      </c>
      <c r="G65" s="227">
        <v>3700</v>
      </c>
      <c r="H65" s="227">
        <v>930</v>
      </c>
    </row>
    <row r="66" spans="1:8" ht="21" customHeight="1">
      <c r="A66" s="226">
        <v>46174</v>
      </c>
      <c r="B66" s="227">
        <v>5643.19</v>
      </c>
      <c r="C66" s="227">
        <v>1705</v>
      </c>
      <c r="D66" s="227">
        <v>5550</v>
      </c>
      <c r="E66" s="227">
        <v>2730</v>
      </c>
      <c r="F66" s="227">
        <v>3850</v>
      </c>
      <c r="G66" s="227">
        <v>3160</v>
      </c>
      <c r="H66" s="227">
        <v>980</v>
      </c>
    </row>
    <row r="67" spans="1:8" ht="21" customHeight="1">
      <c r="A67" s="226">
        <v>46204</v>
      </c>
      <c r="B67" s="227">
        <v>6236.13</v>
      </c>
      <c r="C67" s="227">
        <v>1820</v>
      </c>
      <c r="D67" s="227">
        <v>6325</v>
      </c>
      <c r="E67" s="227">
        <v>3040</v>
      </c>
      <c r="F67" s="227">
        <v>4190</v>
      </c>
      <c r="G67" s="227">
        <v>3530</v>
      </c>
      <c r="H67" s="227">
        <v>990</v>
      </c>
    </row>
    <row r="68" spans="1:8" ht="21" customHeight="1">
      <c r="A68" s="226">
        <v>46235</v>
      </c>
      <c r="B68" s="227">
        <v>6525.48</v>
      </c>
      <c r="C68" s="227">
        <v>1775</v>
      </c>
      <c r="D68" s="227">
        <v>6475</v>
      </c>
      <c r="E68" s="227">
        <v>3250</v>
      </c>
      <c r="F68" s="227">
        <v>4230</v>
      </c>
      <c r="G68" s="227">
        <v>3860</v>
      </c>
      <c r="H68" s="227">
        <v>985</v>
      </c>
    </row>
    <row r="69" spans="1:8" ht="21" customHeight="1">
      <c r="A69" s="226">
        <v>46266</v>
      </c>
      <c r="B69" s="227">
        <v>6071.14</v>
      </c>
      <c r="C69" s="227">
        <v>1420</v>
      </c>
      <c r="D69" s="227">
        <v>6075</v>
      </c>
      <c r="E69" s="227">
        <v>3140</v>
      </c>
      <c r="F69" s="227">
        <v>4010</v>
      </c>
      <c r="G69" s="227">
        <v>3390</v>
      </c>
      <c r="H69" s="227">
        <v>940</v>
      </c>
    </row>
    <row r="70" spans="1:8" ht="21" customHeight="1">
      <c r="A70" s="226">
        <v>46296</v>
      </c>
      <c r="B70" s="227">
        <v>6147.39</v>
      </c>
      <c r="C70" s="227">
        <v>1375</v>
      </c>
      <c r="D70" s="227">
        <v>6050</v>
      </c>
      <c r="E70" s="227">
        <v>3140</v>
      </c>
      <c r="F70" s="227">
        <v>4110</v>
      </c>
      <c r="G70" s="227">
        <v>3440</v>
      </c>
      <c r="H70" s="227">
        <v>960</v>
      </c>
    </row>
    <row r="71" spans="1:8" ht="21" customHeight="1"/>
    <row r="72" spans="1:8" ht="21" customHeight="1">
      <c r="A72" s="22" t="s">
        <v>1198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404040"/>
  </sheetPr>
  <dimension ref="A1:D16"/>
  <sheetViews>
    <sheetView showGridLines="0" workbookViewId="0">
      <pane ySplit="2" topLeftCell="A3" activePane="bottomLeft" state="frozen"/>
      <selection pane="bottomLeft"/>
    </sheetView>
  </sheetViews>
  <sheetFormatPr defaultColWidth="10.85546875" defaultRowHeight="15"/>
  <cols>
    <col min="1" max="1" width="42" style="11" customWidth="1"/>
    <col min="2" max="2" width="60" customWidth="1"/>
    <col min="3" max="4" width="17.42578125" customWidth="1"/>
  </cols>
  <sheetData>
    <row r="1" spans="1:4" ht="27.95" customHeight="1">
      <c r="A1" s="228" t="s">
        <v>1199</v>
      </c>
      <c r="B1" s="228"/>
      <c r="C1" s="228"/>
      <c r="D1" s="228"/>
    </row>
    <row r="2" spans="1:4" ht="23.1" customHeight="1">
      <c r="A2" s="229" t="s">
        <v>1200</v>
      </c>
      <c r="B2" s="230"/>
      <c r="C2" s="230"/>
      <c r="D2" s="230"/>
    </row>
    <row r="3" spans="1:4" ht="21" customHeight="1"/>
    <row r="4" spans="1:4" ht="22.5" customHeight="1">
      <c r="A4" s="35" t="s">
        <v>1201</v>
      </c>
      <c r="B4" s="35" t="s">
        <v>1202</v>
      </c>
      <c r="C4" s="35" t="s">
        <v>1203</v>
      </c>
      <c r="D4" s="35"/>
    </row>
    <row r="5" spans="1:4" ht="22.5" customHeight="1">
      <c r="A5" s="35" t="s">
        <v>1204</v>
      </c>
      <c r="B5" s="35" t="s">
        <v>1205</v>
      </c>
      <c r="C5" s="21" t="s">
        <v>1206</v>
      </c>
      <c r="D5" s="35"/>
    </row>
    <row r="6" spans="1:4" ht="21" customHeight="1">
      <c r="A6" s="73" t="s">
        <v>1204</v>
      </c>
      <c r="B6" s="132" t="s">
        <v>1207</v>
      </c>
      <c r="C6" s="16" t="s">
        <v>1208</v>
      </c>
    </row>
    <row r="7" spans="1:4" ht="22.5" customHeight="1">
      <c r="A7" s="35" t="s">
        <v>1209</v>
      </c>
      <c r="B7" s="35" t="s">
        <v>1210</v>
      </c>
      <c r="C7" s="21" t="s">
        <v>1211</v>
      </c>
      <c r="D7" s="35"/>
    </row>
    <row r="8" spans="1:4" ht="22.5" customHeight="1">
      <c r="A8" s="35" t="s">
        <v>1212</v>
      </c>
      <c r="B8" s="35" t="s">
        <v>1213</v>
      </c>
      <c r="C8" s="21" t="s">
        <v>1214</v>
      </c>
      <c r="D8" s="35"/>
    </row>
    <row r="9" spans="1:4" ht="22.5" customHeight="1">
      <c r="A9" s="35" t="s">
        <v>1215</v>
      </c>
      <c r="B9" s="35" t="s">
        <v>1213</v>
      </c>
      <c r="C9" s="21" t="s">
        <v>1216</v>
      </c>
      <c r="D9" s="35"/>
    </row>
    <row r="10" spans="1:4" ht="22.5" customHeight="1">
      <c r="A10" s="35" t="s">
        <v>1217</v>
      </c>
      <c r="B10" s="35" t="s">
        <v>1213</v>
      </c>
      <c r="C10" s="21" t="s">
        <v>1218</v>
      </c>
      <c r="D10" s="35"/>
    </row>
    <row r="11" spans="1:4" ht="22.5" customHeight="1">
      <c r="A11" s="35" t="s">
        <v>1219</v>
      </c>
      <c r="B11" s="35" t="s">
        <v>1213</v>
      </c>
      <c r="C11" s="21" t="s">
        <v>1220</v>
      </c>
      <c r="D11" s="35"/>
    </row>
    <row r="12" spans="1:4" ht="22.5" customHeight="1">
      <c r="A12" s="35" t="s">
        <v>1221</v>
      </c>
      <c r="B12" s="35" t="s">
        <v>1213</v>
      </c>
      <c r="C12" s="21" t="s">
        <v>1222</v>
      </c>
      <c r="D12" s="35"/>
    </row>
    <row r="13" spans="1:4" ht="22.5" customHeight="1">
      <c r="A13" s="35" t="s">
        <v>1223</v>
      </c>
      <c r="B13" s="35" t="s">
        <v>1213</v>
      </c>
      <c r="C13" s="21" t="s">
        <v>1224</v>
      </c>
      <c r="D13" s="35"/>
    </row>
    <row r="14" spans="1:4" ht="22.5" customHeight="1">
      <c r="A14" s="35" t="s">
        <v>1225</v>
      </c>
      <c r="B14" s="35" t="s">
        <v>1213</v>
      </c>
      <c r="C14" s="21" t="s">
        <v>1226</v>
      </c>
      <c r="D14" s="35"/>
    </row>
    <row r="15" spans="1:4" ht="86.25" customHeight="1">
      <c r="A15" s="35" t="s">
        <v>1227</v>
      </c>
      <c r="B15" s="35" t="s">
        <v>1213</v>
      </c>
      <c r="C15" s="21" t="s">
        <v>1228</v>
      </c>
    </row>
    <row r="16" spans="1:4" ht="409.5">
      <c r="A16" s="35" t="s">
        <v>1229</v>
      </c>
      <c r="B16" s="35" t="s">
        <v>1213</v>
      </c>
      <c r="C16" s="21" t="s">
        <v>1230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34"/>
  <sheetViews>
    <sheetView workbookViewId="0">
      <pane ySplit="5" topLeftCell="A6" activePane="bottomLeft" state="frozen"/>
      <selection pane="bottomLeft"/>
    </sheetView>
  </sheetViews>
  <sheetFormatPr defaultRowHeight="12.75"/>
  <cols>
    <col min="1" max="1" width="6" customWidth="1"/>
    <col min="2" max="2" width="53" customWidth="1"/>
    <col min="3" max="3" width="13" customWidth="1"/>
    <col min="4" max="4" width="14" customWidth="1"/>
    <col min="5" max="21" width="13" customWidth="1"/>
  </cols>
  <sheetData>
    <row r="1" spans="1:21" ht="23.1" customHeight="1">
      <c r="A1" s="5" t="s">
        <v>1231</v>
      </c>
      <c r="B1" s="5"/>
      <c r="C1" s="5"/>
      <c r="D1" s="5"/>
      <c r="E1" s="5"/>
      <c r="F1" s="5"/>
      <c r="G1" s="5"/>
      <c r="H1" s="5"/>
      <c r="I1" s="5"/>
      <c r="J1" s="5"/>
      <c r="K1" s="5"/>
      <c r="L1" s="5"/>
      <c r="M1" s="5"/>
      <c r="N1" s="5"/>
      <c r="O1" s="5"/>
      <c r="P1" s="5"/>
      <c r="Q1" s="5"/>
      <c r="R1" s="5"/>
      <c r="S1" s="5"/>
      <c r="T1" s="5"/>
      <c r="U1" s="5"/>
    </row>
    <row r="2" spans="1:21" ht="23.1" customHeight="1">
      <c r="A2" s="5"/>
      <c r="B2" s="5"/>
      <c r="C2" s="5"/>
      <c r="D2" s="5"/>
      <c r="E2" s="5"/>
      <c r="F2" s="5"/>
      <c r="G2" s="5"/>
      <c r="H2" s="5"/>
      <c r="I2" s="5"/>
      <c r="J2" s="5"/>
      <c r="K2" s="5"/>
      <c r="L2" s="5"/>
      <c r="M2" s="5"/>
      <c r="N2" s="5"/>
      <c r="O2" s="5"/>
      <c r="P2" s="5"/>
      <c r="Q2" s="5"/>
      <c r="R2" s="5"/>
      <c r="S2" s="5"/>
      <c r="T2" s="5"/>
      <c r="U2" s="5"/>
    </row>
    <row r="3" spans="1:21" ht="24" customHeight="1">
      <c r="A3" s="4" t="s">
        <v>1232</v>
      </c>
      <c r="B3" s="4"/>
      <c r="C3" s="4"/>
      <c r="D3" s="4"/>
      <c r="E3" s="4"/>
      <c r="F3" s="4"/>
      <c r="G3" s="4"/>
      <c r="H3" s="4"/>
      <c r="I3" s="4"/>
      <c r="J3" s="4"/>
      <c r="K3" s="4"/>
      <c r="L3" s="4"/>
      <c r="M3" s="4"/>
      <c r="N3" s="4"/>
      <c r="O3" s="4"/>
      <c r="P3" s="4"/>
      <c r="Q3" s="4"/>
      <c r="R3" s="4"/>
      <c r="S3" s="4"/>
      <c r="T3" s="4"/>
      <c r="U3" s="4"/>
    </row>
    <row r="5" spans="1:21" ht="26.1" customHeight="1">
      <c r="B5" s="241" t="s">
        <v>1233</v>
      </c>
      <c r="C5" s="241" t="s">
        <v>1234</v>
      </c>
      <c r="D5" s="241" t="s">
        <v>1235</v>
      </c>
      <c r="E5" s="241" t="str">
        <f>Sheet1!E40</f>
        <v>FY21A</v>
      </c>
      <c r="F5" s="241" t="str">
        <f>Sheet1!F40</f>
        <v>FY22A</v>
      </c>
      <c r="G5" s="241" t="str">
        <f>Sheet1!G40</f>
        <v>FY23A</v>
      </c>
      <c r="H5" s="241" t="str">
        <f>Sheet1!H40</f>
        <v>FY24A</v>
      </c>
      <c r="I5" s="241" t="str">
        <f>Sheet1!I40</f>
        <v>FY25A</v>
      </c>
      <c r="J5" s="241" t="str">
        <f>Sheet1!J40</f>
        <v>FY26E</v>
      </c>
      <c r="K5" s="241" t="str">
        <f>Sheet1!K40</f>
        <v>FY27E</v>
      </c>
      <c r="L5" s="241" t="str">
        <f>Sheet1!L40</f>
        <v>FY28E</v>
      </c>
      <c r="M5" s="241" t="str">
        <f>Sheet1!M40</f>
        <v>FY29E</v>
      </c>
      <c r="N5" s="241" t="str">
        <f>Sheet1!N40</f>
        <v>FY30E</v>
      </c>
      <c r="O5" s="241" t="str">
        <f>Sheet1!O40</f>
        <v>FY31E</v>
      </c>
      <c r="P5" s="241" t="str">
        <f>Sheet1!P40</f>
        <v>FY32E</v>
      </c>
      <c r="Q5" s="241" t="str">
        <f>Sheet1!Q40</f>
        <v>FY33E</v>
      </c>
      <c r="R5" s="241" t="str">
        <f>Sheet1!R40</f>
        <v>FY34E</v>
      </c>
      <c r="S5" s="241" t="str">
        <f>Sheet1!S40</f>
        <v>FY35E</v>
      </c>
    </row>
    <row r="6" spans="1:21" ht="20.100000000000001" customHeight="1">
      <c r="B6" s="3" t="s">
        <v>1236</v>
      </c>
      <c r="C6" s="3"/>
      <c r="D6" s="3"/>
      <c r="E6" s="2"/>
      <c r="F6" s="2"/>
      <c r="G6" s="2"/>
      <c r="H6" s="2"/>
      <c r="I6" s="2"/>
      <c r="J6" s="2"/>
      <c r="K6" s="2"/>
      <c r="L6" s="2"/>
      <c r="M6" s="2"/>
      <c r="N6" s="2"/>
      <c r="O6" s="2"/>
      <c r="P6" s="2"/>
      <c r="Q6" s="2"/>
      <c r="R6" s="2"/>
      <c r="S6" s="2"/>
    </row>
    <row r="7" spans="1:21">
      <c r="B7" t="s">
        <v>184</v>
      </c>
      <c r="D7" t="s">
        <v>1237</v>
      </c>
      <c r="E7" s="242">
        <f>IF(Sheet1!E20="","",Sheet1!E20)</f>
        <v>1095</v>
      </c>
      <c r="F7" s="242" t="str">
        <f>IF(Sheet1!F20="","",Sheet1!F20)</f>
        <v/>
      </c>
      <c r="G7" s="242" t="str">
        <f>IF(Sheet1!G20="","",Sheet1!G20)</f>
        <v/>
      </c>
      <c r="H7" s="242" t="str">
        <f>IF(Sheet1!H20="","",Sheet1!H20)</f>
        <v/>
      </c>
      <c r="I7" s="242" t="str">
        <f>IF(Sheet1!I20="","",Sheet1!I20)</f>
        <v/>
      </c>
      <c r="J7" s="242" t="str">
        <f>IF(Sheet1!J20="","",Sheet1!J20)</f>
        <v/>
      </c>
      <c r="K7" s="242" t="str">
        <f>IF(Sheet1!K20="","",Sheet1!K20)</f>
        <v/>
      </c>
      <c r="L7" s="242" t="str">
        <f>IF(Sheet1!L20="","",Sheet1!L20)</f>
        <v/>
      </c>
      <c r="M7" s="242" t="str">
        <f>IF(Sheet1!M20="","",Sheet1!M20)</f>
        <v/>
      </c>
      <c r="N7" s="242" t="str">
        <f>IF(Sheet1!N20="","",Sheet1!N20)</f>
        <v/>
      </c>
      <c r="O7" s="242" t="str">
        <f>IF(Sheet1!O20="","",Sheet1!O20)</f>
        <v/>
      </c>
      <c r="P7" s="242" t="str">
        <f>IF(Sheet1!P20="","",Sheet1!P20)</f>
        <v/>
      </c>
      <c r="Q7" s="242" t="str">
        <f>IF(Sheet1!Q20="","",Sheet1!Q20)</f>
        <v/>
      </c>
      <c r="R7" s="242" t="str">
        <f>IF(Sheet1!R20="","",Sheet1!R20)</f>
        <v/>
      </c>
      <c r="S7" s="242" t="str">
        <f>IF(Sheet1!S20="","",Sheet1!S20)</f>
        <v/>
      </c>
    </row>
    <row r="8" spans="1:21">
      <c r="B8" t="s">
        <v>187</v>
      </c>
      <c r="D8" t="s">
        <v>1238</v>
      </c>
      <c r="E8" s="242">
        <f>IF(Sheet1!E21="","",Sheet1!E21)</f>
        <v>46129.26</v>
      </c>
      <c r="F8" s="242" t="str">
        <f>IF(Sheet1!F21="","",Sheet1!F21)</f>
        <v/>
      </c>
      <c r="G8" s="242" t="str">
        <f>IF(Sheet1!G21="","",Sheet1!G21)</f>
        <v/>
      </c>
      <c r="H8" s="242" t="str">
        <f>IF(Sheet1!H21="","",Sheet1!H21)</f>
        <v/>
      </c>
      <c r="I8" s="242" t="str">
        <f>IF(Sheet1!I21="","",Sheet1!I21)</f>
        <v/>
      </c>
      <c r="J8" s="242" t="str">
        <f>IF(Sheet1!J21="","",Sheet1!J21)</f>
        <v/>
      </c>
      <c r="K8" s="242" t="str">
        <f>IF(Sheet1!K21="","",Sheet1!K21)</f>
        <v/>
      </c>
      <c r="L8" s="242" t="str">
        <f>IF(Sheet1!L21="","",Sheet1!L21)</f>
        <v/>
      </c>
      <c r="M8" s="242" t="str">
        <f>IF(Sheet1!M21="","",Sheet1!M21)</f>
        <v/>
      </c>
      <c r="N8" s="242" t="str">
        <f>IF(Sheet1!N21="","",Sheet1!N21)</f>
        <v/>
      </c>
      <c r="O8" s="242" t="str">
        <f>IF(Sheet1!O21="","",Sheet1!O21)</f>
        <v/>
      </c>
      <c r="P8" s="242" t="str">
        <f>IF(Sheet1!P21="","",Sheet1!P21)</f>
        <v/>
      </c>
      <c r="Q8" s="242" t="str">
        <f>IF(Sheet1!Q21="","",Sheet1!Q21)</f>
        <v/>
      </c>
      <c r="R8" s="242" t="str">
        <f>IF(Sheet1!R21="","",Sheet1!R21)</f>
        <v/>
      </c>
      <c r="S8" s="242" t="str">
        <f>IF(Sheet1!S21="","",Sheet1!S21)</f>
        <v/>
      </c>
    </row>
    <row r="9" spans="1:21">
      <c r="B9" t="s">
        <v>190</v>
      </c>
      <c r="D9" t="s">
        <v>1239</v>
      </c>
      <c r="E9" s="242">
        <f>IF(Sheet1!E22="","",Sheet1!E22)</f>
        <v>46304</v>
      </c>
      <c r="F9" s="242" t="str">
        <f>IF(Sheet1!F22="","",Sheet1!F22)</f>
        <v/>
      </c>
      <c r="G9" s="242" t="str">
        <f>IF(Sheet1!G22="","",Sheet1!G22)</f>
        <v/>
      </c>
      <c r="H9" s="242" t="str">
        <f>IF(Sheet1!H22="","",Sheet1!H22)</f>
        <v/>
      </c>
      <c r="I9" s="242" t="str">
        <f>IF(Sheet1!I22="","",Sheet1!I22)</f>
        <v/>
      </c>
      <c r="J9" s="242" t="str">
        <f>IF(Sheet1!J22="","",Sheet1!J22)</f>
        <v/>
      </c>
      <c r="K9" s="242" t="str">
        <f>IF(Sheet1!K22="","",Sheet1!K22)</f>
        <v/>
      </c>
      <c r="L9" s="242" t="str">
        <f>IF(Sheet1!L22="","",Sheet1!L22)</f>
        <v/>
      </c>
      <c r="M9" s="242" t="str">
        <f>IF(Sheet1!M22="","",Sheet1!M22)</f>
        <v/>
      </c>
      <c r="N9" s="242" t="str">
        <f>IF(Sheet1!N22="","",Sheet1!N22)</f>
        <v/>
      </c>
      <c r="O9" s="242" t="str">
        <f>IF(Sheet1!O22="","",Sheet1!O22)</f>
        <v/>
      </c>
      <c r="P9" s="242" t="str">
        <f>IF(Sheet1!P22="","",Sheet1!P22)</f>
        <v/>
      </c>
      <c r="Q9" s="242" t="str">
        <f>IF(Sheet1!Q22="","",Sheet1!Q22)</f>
        <v/>
      </c>
      <c r="R9" s="242" t="str">
        <f>IF(Sheet1!R22="","",Sheet1!R22)</f>
        <v/>
      </c>
      <c r="S9" s="242" t="str">
        <f>IF(Sheet1!S22="","",Sheet1!S22)</f>
        <v/>
      </c>
    </row>
    <row r="10" spans="1:21">
      <c r="B10" t="s">
        <v>204</v>
      </c>
      <c r="D10" t="s">
        <v>1240</v>
      </c>
      <c r="E10" s="242">
        <f>IF(Sheet1!E28="","",Sheet1!E28)</f>
        <v>0.11229724000000002</v>
      </c>
      <c r="F10" s="242" t="str">
        <f>IF(Sheet1!F28="","",Sheet1!F28)</f>
        <v/>
      </c>
      <c r="G10" s="242" t="str">
        <f>IF(Sheet1!G28="","",Sheet1!G28)</f>
        <v/>
      </c>
      <c r="H10" s="242" t="str">
        <f>IF(Sheet1!H28="","",Sheet1!H28)</f>
        <v/>
      </c>
      <c r="I10" s="242" t="str">
        <f>IF(Sheet1!I28="","",Sheet1!I28)</f>
        <v/>
      </c>
      <c r="J10" s="242" t="str">
        <f>IF(Sheet1!J28="","",Sheet1!J28)</f>
        <v/>
      </c>
      <c r="K10" s="242" t="str">
        <f>IF(Sheet1!K28="","",Sheet1!K28)</f>
        <v/>
      </c>
      <c r="L10" s="242" t="str">
        <f>IF(Sheet1!L28="","",Sheet1!L28)</f>
        <v/>
      </c>
      <c r="M10" s="242" t="str">
        <f>IF(Sheet1!M28="","",Sheet1!M28)</f>
        <v/>
      </c>
      <c r="N10" s="242" t="str">
        <f>IF(Sheet1!N28="","",Sheet1!N28)</f>
        <v/>
      </c>
      <c r="O10" s="242" t="str">
        <f>IF(Sheet1!O28="","",Sheet1!O28)</f>
        <v/>
      </c>
      <c r="P10" s="242" t="str">
        <f>IF(Sheet1!P28="","",Sheet1!P28)</f>
        <v/>
      </c>
      <c r="Q10" s="242" t="str">
        <f>IF(Sheet1!Q28="","",Sheet1!Q28)</f>
        <v/>
      </c>
      <c r="R10" s="242" t="str">
        <f>IF(Sheet1!R28="","",Sheet1!R28)</f>
        <v/>
      </c>
      <c r="S10" s="242" t="str">
        <f>IF(Sheet1!S28="","",Sheet1!S28)</f>
        <v/>
      </c>
    </row>
    <row r="11" spans="1:21">
      <c r="B11" t="s">
        <v>212</v>
      </c>
      <c r="D11" t="s">
        <v>1241</v>
      </c>
      <c r="E11" s="242">
        <f>IF(Sheet1!E34="","",Sheet1!E34)</f>
        <v>0.11229724000000002</v>
      </c>
      <c r="F11" s="242" t="str">
        <f>IF(Sheet1!F34="","",Sheet1!F34)</f>
        <v/>
      </c>
      <c r="G11" s="242" t="str">
        <f>IF(Sheet1!G34="","",Sheet1!G34)</f>
        <v/>
      </c>
      <c r="H11" s="242" t="str">
        <f>IF(Sheet1!H34="","",Sheet1!H34)</f>
        <v/>
      </c>
      <c r="I11" s="242" t="str">
        <f>IF(Sheet1!I34="","",Sheet1!I34)</f>
        <v/>
      </c>
      <c r="J11" s="242" t="str">
        <f>IF(Sheet1!J34="","",Sheet1!J34)</f>
        <v/>
      </c>
      <c r="K11" s="242" t="str">
        <f>IF(Sheet1!K34="","",Sheet1!K34)</f>
        <v/>
      </c>
      <c r="L11" s="242" t="str">
        <f>IF(Sheet1!L34="","",Sheet1!L34)</f>
        <v/>
      </c>
      <c r="M11" s="242" t="str">
        <f>IF(Sheet1!M34="","",Sheet1!M34)</f>
        <v/>
      </c>
      <c r="N11" s="242" t="str">
        <f>IF(Sheet1!N34="","",Sheet1!N34)</f>
        <v/>
      </c>
      <c r="O11" s="242" t="str">
        <f>IF(Sheet1!O34="","",Sheet1!O34)</f>
        <v/>
      </c>
      <c r="P11" s="242" t="str">
        <f>IF(Sheet1!P34="","",Sheet1!P34)</f>
        <v/>
      </c>
      <c r="Q11" s="242" t="str">
        <f>IF(Sheet1!Q34="","",Sheet1!Q34)</f>
        <v/>
      </c>
      <c r="R11" s="242" t="str">
        <f>IF(Sheet1!R34="","",Sheet1!R34)</f>
        <v/>
      </c>
      <c r="S11" s="242" t="str">
        <f>IF(Sheet1!S34="","",Sheet1!S34)</f>
        <v/>
      </c>
    </row>
    <row r="12" spans="1:21">
      <c r="B12" t="s">
        <v>213</v>
      </c>
      <c r="D12" t="s">
        <v>1242</v>
      </c>
      <c r="E12" s="242">
        <f>IF(Sheet1!E35="","",Sheet1!E35)</f>
        <v>0.2</v>
      </c>
      <c r="F12" s="242" t="str">
        <f>IF(Sheet1!F35="","",Sheet1!F35)</f>
        <v/>
      </c>
      <c r="G12" s="242" t="str">
        <f>IF(Sheet1!G35="","",Sheet1!G35)</f>
        <v/>
      </c>
      <c r="H12" s="242" t="str">
        <f>IF(Sheet1!H35="","",Sheet1!H35)</f>
        <v/>
      </c>
      <c r="I12" s="242" t="str">
        <f>IF(Sheet1!I35="","",Sheet1!I35)</f>
        <v/>
      </c>
      <c r="J12" s="242" t="str">
        <f>IF(Sheet1!J35="","",Sheet1!J35)</f>
        <v/>
      </c>
      <c r="K12" s="242" t="str">
        <f>IF(Sheet1!K35="","",Sheet1!K35)</f>
        <v/>
      </c>
      <c r="L12" s="242" t="str">
        <f>IF(Sheet1!L35="","",Sheet1!L35)</f>
        <v/>
      </c>
      <c r="M12" s="242" t="str">
        <f>IF(Sheet1!M35="","",Sheet1!M35)</f>
        <v/>
      </c>
      <c r="N12" s="242" t="str">
        <f>IF(Sheet1!N35="","",Sheet1!N35)</f>
        <v/>
      </c>
      <c r="O12" s="242" t="str">
        <f>IF(Sheet1!O35="","",Sheet1!O35)</f>
        <v/>
      </c>
      <c r="P12" s="242" t="str">
        <f>IF(Sheet1!P35="","",Sheet1!P35)</f>
        <v/>
      </c>
      <c r="Q12" s="242" t="str">
        <f>IF(Sheet1!Q35="","",Sheet1!Q35)</f>
        <v/>
      </c>
      <c r="R12" s="242" t="str">
        <f>IF(Sheet1!R35="","",Sheet1!R35)</f>
        <v/>
      </c>
      <c r="S12" s="242" t="str">
        <f>IF(Sheet1!S35="","",Sheet1!S35)</f>
        <v/>
      </c>
    </row>
    <row r="13" spans="1:21" ht="20.100000000000001" customHeight="1">
      <c r="B13" s="3" t="s">
        <v>1243</v>
      </c>
      <c r="C13" s="3"/>
      <c r="D13" s="3"/>
      <c r="E13" s="2"/>
      <c r="F13" s="2"/>
      <c r="G13" s="2"/>
      <c r="H13" s="2"/>
      <c r="I13" s="2"/>
      <c r="J13" s="2"/>
      <c r="K13" s="2"/>
      <c r="L13" s="2"/>
      <c r="M13" s="2"/>
      <c r="N13" s="2"/>
      <c r="O13" s="2"/>
      <c r="P13" s="2"/>
      <c r="Q13" s="2"/>
      <c r="R13" s="2"/>
      <c r="S13" s="2"/>
    </row>
    <row r="14" spans="1:21">
      <c r="B14" t="s">
        <v>626</v>
      </c>
      <c r="D14" t="s">
        <v>1244</v>
      </c>
      <c r="E14" s="242">
        <f>IF(Sheet1!E402="","",Sheet1!E402)</f>
        <v>2019.8393035289646</v>
      </c>
      <c r="F14" s="242" t="str">
        <f>IF(Sheet1!F402="","",Sheet1!F402)</f>
        <v/>
      </c>
      <c r="G14" s="242" t="str">
        <f>IF(Sheet1!G402="","",Sheet1!G402)</f>
        <v/>
      </c>
      <c r="H14" s="242" t="str">
        <f>IF(Sheet1!H402="","",Sheet1!H402)</f>
        <v/>
      </c>
      <c r="I14" s="242" t="str">
        <f>IF(Sheet1!I402="","",Sheet1!I402)</f>
        <v/>
      </c>
      <c r="J14" s="242" t="str">
        <f>IF(Sheet1!J402="","",Sheet1!J402)</f>
        <v/>
      </c>
      <c r="K14" s="242" t="str">
        <f>IF(Sheet1!K402="","",Sheet1!K402)</f>
        <v/>
      </c>
      <c r="L14" s="242" t="str">
        <f>IF(Sheet1!L402="","",Sheet1!L402)</f>
        <v/>
      </c>
      <c r="M14" s="242" t="str">
        <f>IF(Sheet1!M402="","",Sheet1!M402)</f>
        <v/>
      </c>
      <c r="N14" s="242" t="str">
        <f>IF(Sheet1!N402="","",Sheet1!N402)</f>
        <v/>
      </c>
      <c r="O14" s="242" t="str">
        <f>IF(Sheet1!O402="","",Sheet1!O402)</f>
        <v/>
      </c>
      <c r="P14" s="242" t="str">
        <f>IF(Sheet1!P402="","",Sheet1!P402)</f>
        <v/>
      </c>
      <c r="Q14" s="242" t="str">
        <f>IF(Sheet1!Q402="","",Sheet1!Q402)</f>
        <v/>
      </c>
      <c r="R14" s="242" t="str">
        <f>IF(Sheet1!R402="","",Sheet1!R402)</f>
        <v/>
      </c>
      <c r="S14" s="242" t="str">
        <f>IF(Sheet1!S402="","",Sheet1!S402)</f>
        <v/>
      </c>
    </row>
    <row r="15" spans="1:21">
      <c r="B15" t="s">
        <v>627</v>
      </c>
      <c r="D15" t="s">
        <v>1245</v>
      </c>
      <c r="E15" s="242">
        <f>IF(Sheet1!E403="","",Sheet1!E403)</f>
        <v>2019.8393035289655</v>
      </c>
      <c r="F15" s="242" t="str">
        <f>IF(Sheet1!F403="","",Sheet1!F403)</f>
        <v/>
      </c>
      <c r="G15" s="242" t="str">
        <f>IF(Sheet1!G403="","",Sheet1!G403)</f>
        <v/>
      </c>
      <c r="H15" s="242" t="str">
        <f>IF(Sheet1!H403="","",Sheet1!H403)</f>
        <v/>
      </c>
      <c r="I15" s="242" t="str">
        <f>IF(Sheet1!I403="","",Sheet1!I403)</f>
        <v/>
      </c>
      <c r="J15" s="242" t="str">
        <f>IF(Sheet1!J403="","",Sheet1!J403)</f>
        <v/>
      </c>
      <c r="K15" s="242" t="str">
        <f>IF(Sheet1!K403="","",Sheet1!K403)</f>
        <v/>
      </c>
      <c r="L15" s="242" t="str">
        <f>IF(Sheet1!L403="","",Sheet1!L403)</f>
        <v/>
      </c>
      <c r="M15" s="242" t="str">
        <f>IF(Sheet1!M403="","",Sheet1!M403)</f>
        <v/>
      </c>
      <c r="N15" s="242" t="str">
        <f>IF(Sheet1!N403="","",Sheet1!N403)</f>
        <v/>
      </c>
      <c r="O15" s="242" t="str">
        <f>IF(Sheet1!O403="","",Sheet1!O403)</f>
        <v/>
      </c>
      <c r="P15" s="242" t="str">
        <f>IF(Sheet1!P403="","",Sheet1!P403)</f>
        <v/>
      </c>
      <c r="Q15" s="242" t="str">
        <f>IF(Sheet1!Q403="","",Sheet1!Q403)</f>
        <v/>
      </c>
      <c r="R15" s="242" t="str">
        <f>IF(Sheet1!R403="","",Sheet1!R403)</f>
        <v/>
      </c>
      <c r="S15" s="242" t="str">
        <f>IF(Sheet1!S403="","",Sheet1!S403)</f>
        <v/>
      </c>
    </row>
    <row r="16" spans="1:21">
      <c r="B16" t="s">
        <v>628</v>
      </c>
      <c r="D16" t="s">
        <v>1246</v>
      </c>
      <c r="E16" s="242">
        <f>IF(Sheet1!E404="","",Sheet1!E404)</f>
        <v>2206.4988206071985</v>
      </c>
      <c r="F16" s="242" t="str">
        <f>IF(Sheet1!F404="","",Sheet1!F404)</f>
        <v/>
      </c>
      <c r="G16" s="242" t="str">
        <f>IF(Sheet1!G404="","",Sheet1!G404)</f>
        <v/>
      </c>
      <c r="H16" s="242" t="str">
        <f>IF(Sheet1!H404="","",Sheet1!H404)</f>
        <v/>
      </c>
      <c r="I16" s="242" t="str">
        <f>IF(Sheet1!I404="","",Sheet1!I404)</f>
        <v/>
      </c>
      <c r="J16" s="242" t="str">
        <f>IF(Sheet1!J404="","",Sheet1!J404)</f>
        <v/>
      </c>
      <c r="K16" s="242" t="str">
        <f>IF(Sheet1!K404="","",Sheet1!K404)</f>
        <v/>
      </c>
      <c r="L16" s="242" t="str">
        <f>IF(Sheet1!L404="","",Sheet1!L404)</f>
        <v/>
      </c>
      <c r="M16" s="242" t="str">
        <f>IF(Sheet1!M404="","",Sheet1!M404)</f>
        <v/>
      </c>
      <c r="N16" s="242" t="str">
        <f>IF(Sheet1!N404="","",Sheet1!N404)</f>
        <v/>
      </c>
      <c r="O16" s="242" t="str">
        <f>IF(Sheet1!O404="","",Sheet1!O404)</f>
        <v/>
      </c>
      <c r="P16" s="242" t="str">
        <f>IF(Sheet1!P404="","",Sheet1!P404)</f>
        <v/>
      </c>
      <c r="Q16" s="242" t="str">
        <f>IF(Sheet1!Q404="","",Sheet1!Q404)</f>
        <v/>
      </c>
      <c r="R16" s="242" t="str">
        <f>IF(Sheet1!R404="","",Sheet1!R404)</f>
        <v/>
      </c>
      <c r="S16" s="242" t="str">
        <f>IF(Sheet1!S404="","",Sheet1!S404)</f>
        <v/>
      </c>
    </row>
    <row r="17" spans="2:19">
      <c r="B17" t="s">
        <v>629</v>
      </c>
      <c r="D17" t="s">
        <v>1247</v>
      </c>
      <c r="E17" s="242">
        <f>IF(Sheet1!E405="","",Sheet1!E405)</f>
        <v>2206.4988206071994</v>
      </c>
      <c r="F17" s="242" t="str">
        <f>IF(Sheet1!F405="","",Sheet1!F405)</f>
        <v/>
      </c>
      <c r="G17" s="242" t="str">
        <f>IF(Sheet1!G405="","",Sheet1!G405)</f>
        <v/>
      </c>
      <c r="H17" s="242" t="str">
        <f>IF(Sheet1!H405="","",Sheet1!H405)</f>
        <v/>
      </c>
      <c r="I17" s="242" t="str">
        <f>IF(Sheet1!I405="","",Sheet1!I405)</f>
        <v/>
      </c>
      <c r="J17" s="242" t="str">
        <f>IF(Sheet1!J405="","",Sheet1!J405)</f>
        <v/>
      </c>
      <c r="K17" s="242" t="str">
        <f>IF(Sheet1!K405="","",Sheet1!K405)</f>
        <v/>
      </c>
      <c r="L17" s="242" t="str">
        <f>IF(Sheet1!L405="","",Sheet1!L405)</f>
        <v/>
      </c>
      <c r="M17" s="242" t="str">
        <f>IF(Sheet1!M405="","",Sheet1!M405)</f>
        <v/>
      </c>
      <c r="N17" s="242" t="str">
        <f>IF(Sheet1!N405="","",Sheet1!N405)</f>
        <v/>
      </c>
      <c r="O17" s="242" t="str">
        <f>IF(Sheet1!O405="","",Sheet1!O405)</f>
        <v/>
      </c>
      <c r="P17" s="242" t="str">
        <f>IF(Sheet1!P405="","",Sheet1!P405)</f>
        <v/>
      </c>
      <c r="Q17" s="242" t="str">
        <f>IF(Sheet1!Q405="","",Sheet1!Q405)</f>
        <v/>
      </c>
      <c r="R17" s="242" t="str">
        <f>IF(Sheet1!R405="","",Sheet1!R405)</f>
        <v/>
      </c>
      <c r="S17" s="242" t="str">
        <f>IF(Sheet1!S405="","",Sheet1!S405)</f>
        <v/>
      </c>
    </row>
    <row r="18" spans="2:19">
      <c r="B18" t="s">
        <v>630</v>
      </c>
      <c r="D18" t="s">
        <v>1248</v>
      </c>
      <c r="E18" s="242">
        <f>IF(Sheet1!E406="","",Sheet1!E406)</f>
        <v>1881.1248033402114</v>
      </c>
      <c r="F18" s="242" t="str">
        <f>IF(Sheet1!F406="","",Sheet1!F406)</f>
        <v/>
      </c>
      <c r="G18" s="242" t="str">
        <f>IF(Sheet1!G406="","",Sheet1!G406)</f>
        <v/>
      </c>
      <c r="H18" s="242" t="str">
        <f>IF(Sheet1!H406="","",Sheet1!H406)</f>
        <v/>
      </c>
      <c r="I18" s="242" t="str">
        <f>IF(Sheet1!I406="","",Sheet1!I406)</f>
        <v/>
      </c>
      <c r="J18" s="242" t="str">
        <f>IF(Sheet1!J406="","",Sheet1!J406)</f>
        <v/>
      </c>
      <c r="K18" s="242" t="str">
        <f>IF(Sheet1!K406="","",Sheet1!K406)</f>
        <v/>
      </c>
      <c r="L18" s="242" t="str">
        <f>IF(Sheet1!L406="","",Sheet1!L406)</f>
        <v/>
      </c>
      <c r="M18" s="242" t="str">
        <f>IF(Sheet1!M406="","",Sheet1!M406)</f>
        <v/>
      </c>
      <c r="N18" s="242" t="str">
        <f>IF(Sheet1!N406="","",Sheet1!N406)</f>
        <v/>
      </c>
      <c r="O18" s="242" t="str">
        <f>IF(Sheet1!O406="","",Sheet1!O406)</f>
        <v/>
      </c>
      <c r="P18" s="242" t="str">
        <f>IF(Sheet1!P406="","",Sheet1!P406)</f>
        <v/>
      </c>
      <c r="Q18" s="242" t="str">
        <f>IF(Sheet1!Q406="","",Sheet1!Q406)</f>
        <v/>
      </c>
      <c r="R18" s="242" t="str">
        <f>IF(Sheet1!R406="","",Sheet1!R406)</f>
        <v/>
      </c>
      <c r="S18" s="242" t="str">
        <f>IF(Sheet1!S406="","",Sheet1!S406)</f>
        <v/>
      </c>
    </row>
    <row r="19" spans="2:19">
      <c r="B19" t="s">
        <v>631</v>
      </c>
      <c r="D19" t="s">
        <v>1249</v>
      </c>
      <c r="E19" s="242">
        <f>IF(Sheet1!E407="","",Sheet1!E407)</f>
        <v>0.71792219483124331</v>
      </c>
      <c r="F19" s="242" t="str">
        <f>IF(Sheet1!F407="","",Sheet1!F407)</f>
        <v/>
      </c>
      <c r="G19" s="242" t="str">
        <f>IF(Sheet1!G407="","",Sheet1!G407)</f>
        <v/>
      </c>
      <c r="H19" s="242" t="str">
        <f>IF(Sheet1!H407="","",Sheet1!H407)</f>
        <v/>
      </c>
      <c r="I19" s="242" t="str">
        <f>IF(Sheet1!I407="","",Sheet1!I407)</f>
        <v/>
      </c>
      <c r="J19" s="242" t="str">
        <f>IF(Sheet1!J407="","",Sheet1!J407)</f>
        <v/>
      </c>
      <c r="K19" s="242" t="str">
        <f>IF(Sheet1!K407="","",Sheet1!K407)</f>
        <v/>
      </c>
      <c r="L19" s="242" t="str">
        <f>IF(Sheet1!L407="","",Sheet1!L407)</f>
        <v/>
      </c>
      <c r="M19" s="242" t="str">
        <f>IF(Sheet1!M407="","",Sheet1!M407)</f>
        <v/>
      </c>
      <c r="N19" s="242" t="str">
        <f>IF(Sheet1!N407="","",Sheet1!N407)</f>
        <v/>
      </c>
      <c r="O19" s="242" t="str">
        <f>IF(Sheet1!O407="","",Sheet1!O407)</f>
        <v/>
      </c>
      <c r="P19" s="242" t="str">
        <f>IF(Sheet1!P407="","",Sheet1!P407)</f>
        <v/>
      </c>
      <c r="Q19" s="242" t="str">
        <f>IF(Sheet1!Q407="","",Sheet1!Q407)</f>
        <v/>
      </c>
      <c r="R19" s="242" t="str">
        <f>IF(Sheet1!R407="","",Sheet1!R407)</f>
        <v/>
      </c>
      <c r="S19" s="242" t="str">
        <f>IF(Sheet1!S407="","",Sheet1!S407)</f>
        <v/>
      </c>
    </row>
    <row r="20" spans="2:19">
      <c r="B20" t="s">
        <v>632</v>
      </c>
      <c r="D20" t="s">
        <v>1250</v>
      </c>
      <c r="E20" s="242" t="str">
        <f>IF(Sheet1!E408="","",Sheet1!E408)</f>
        <v>BUY</v>
      </c>
      <c r="F20" s="242" t="str">
        <f>IF(Sheet1!F408="","",Sheet1!F408)</f>
        <v/>
      </c>
      <c r="G20" s="242" t="str">
        <f>IF(Sheet1!G408="","",Sheet1!G408)</f>
        <v/>
      </c>
      <c r="H20" s="242" t="str">
        <f>IF(Sheet1!H408="","",Sheet1!H408)</f>
        <v/>
      </c>
      <c r="I20" s="242" t="str">
        <f>IF(Sheet1!I408="","",Sheet1!I408)</f>
        <v/>
      </c>
      <c r="J20" s="242" t="str">
        <f>IF(Sheet1!J408="","",Sheet1!J408)</f>
        <v/>
      </c>
      <c r="K20" s="242" t="str">
        <f>IF(Sheet1!K408="","",Sheet1!K408)</f>
        <v/>
      </c>
      <c r="L20" s="242" t="str">
        <f>IF(Sheet1!L408="","",Sheet1!L408)</f>
        <v/>
      </c>
      <c r="M20" s="242" t="str">
        <f>IF(Sheet1!M408="","",Sheet1!M408)</f>
        <v/>
      </c>
      <c r="N20" s="242" t="str">
        <f>IF(Sheet1!N408="","",Sheet1!N408)</f>
        <v/>
      </c>
      <c r="O20" s="242" t="str">
        <f>IF(Sheet1!O408="","",Sheet1!O408)</f>
        <v/>
      </c>
      <c r="P20" s="242" t="str">
        <f>IF(Sheet1!P408="","",Sheet1!P408)</f>
        <v/>
      </c>
      <c r="Q20" s="242" t="str">
        <f>IF(Sheet1!Q408="","",Sheet1!Q408)</f>
        <v/>
      </c>
      <c r="R20" s="242" t="str">
        <f>IF(Sheet1!R408="","",Sheet1!R408)</f>
        <v/>
      </c>
      <c r="S20" s="242" t="str">
        <f>IF(Sheet1!S408="","",Sheet1!S408)</f>
        <v/>
      </c>
    </row>
    <row r="21" spans="2:19">
      <c r="B21" t="s">
        <v>633</v>
      </c>
      <c r="D21" t="s">
        <v>1251</v>
      </c>
      <c r="E21" s="242">
        <f>IF(Sheet1!E409="","",Sheet1!E409)</f>
        <v>1.4742427406059562</v>
      </c>
      <c r="F21" s="242" t="str">
        <f>IF(Sheet1!F409="","",Sheet1!F409)</f>
        <v/>
      </c>
      <c r="G21" s="242" t="str">
        <f>IF(Sheet1!G409="","",Sheet1!G409)</f>
        <v/>
      </c>
      <c r="H21" s="242" t="str">
        <f>IF(Sheet1!H409="","",Sheet1!H409)</f>
        <v/>
      </c>
      <c r="I21" s="242" t="str">
        <f>IF(Sheet1!I409="","",Sheet1!I409)</f>
        <v/>
      </c>
      <c r="J21" s="242" t="str">
        <f>IF(Sheet1!J409="","",Sheet1!J409)</f>
        <v/>
      </c>
      <c r="K21" s="242" t="str">
        <f>IF(Sheet1!K409="","",Sheet1!K409)</f>
        <v/>
      </c>
      <c r="L21" s="242" t="str">
        <f>IF(Sheet1!L409="","",Sheet1!L409)</f>
        <v/>
      </c>
      <c r="M21" s="242" t="str">
        <f>IF(Sheet1!M409="","",Sheet1!M409)</f>
        <v/>
      </c>
      <c r="N21" s="242" t="str">
        <f>IF(Sheet1!N409="","",Sheet1!N409)</f>
        <v/>
      </c>
      <c r="O21" s="242" t="str">
        <f>IF(Sheet1!O409="","",Sheet1!O409)</f>
        <v/>
      </c>
      <c r="P21" s="242" t="str">
        <f>IF(Sheet1!P409="","",Sheet1!P409)</f>
        <v/>
      </c>
      <c r="Q21" s="242" t="str">
        <f>IF(Sheet1!Q409="","",Sheet1!Q409)</f>
        <v/>
      </c>
      <c r="R21" s="242" t="str">
        <f>IF(Sheet1!R409="","",Sheet1!R409)</f>
        <v/>
      </c>
      <c r="S21" s="242" t="str">
        <f>IF(Sheet1!S409="","",Sheet1!S409)</f>
        <v/>
      </c>
    </row>
    <row r="22" spans="2:19">
      <c r="B22" t="s">
        <v>634</v>
      </c>
      <c r="D22" t="s">
        <v>1252</v>
      </c>
      <c r="E22" s="242">
        <f>IF(Sheet1!E410="","",Sheet1!E410)</f>
        <v>8.9744505577649356</v>
      </c>
      <c r="F22" s="242" t="str">
        <f>IF(Sheet1!F410="","",Sheet1!F410)</f>
        <v/>
      </c>
      <c r="G22" s="242" t="str">
        <f>IF(Sheet1!G410="","",Sheet1!G410)</f>
        <v/>
      </c>
      <c r="H22" s="242" t="str">
        <f>IF(Sheet1!H410="","",Sheet1!H410)</f>
        <v/>
      </c>
      <c r="I22" s="242" t="str">
        <f>IF(Sheet1!I410="","",Sheet1!I410)</f>
        <v/>
      </c>
      <c r="J22" s="242" t="str">
        <f>IF(Sheet1!J410="","",Sheet1!J410)</f>
        <v/>
      </c>
      <c r="K22" s="242" t="str">
        <f>IF(Sheet1!K410="","",Sheet1!K410)</f>
        <v/>
      </c>
      <c r="L22" s="242" t="str">
        <f>IF(Sheet1!L410="","",Sheet1!L410)</f>
        <v/>
      </c>
      <c r="M22" s="242" t="str">
        <f>IF(Sheet1!M410="","",Sheet1!M410)</f>
        <v/>
      </c>
      <c r="N22" s="242" t="str">
        <f>IF(Sheet1!N410="","",Sheet1!N410)</f>
        <v/>
      </c>
      <c r="O22" s="242" t="str">
        <f>IF(Sheet1!O410="","",Sheet1!O410)</f>
        <v/>
      </c>
      <c r="P22" s="242" t="str">
        <f>IF(Sheet1!P410="","",Sheet1!P410)</f>
        <v/>
      </c>
      <c r="Q22" s="242" t="str">
        <f>IF(Sheet1!Q410="","",Sheet1!Q410)</f>
        <v/>
      </c>
      <c r="R22" s="242" t="str">
        <f>IF(Sheet1!R410="","",Sheet1!R410)</f>
        <v/>
      </c>
      <c r="S22" s="242" t="str">
        <f>IF(Sheet1!S410="","",Sheet1!S410)</f>
        <v/>
      </c>
    </row>
    <row r="23" spans="2:19">
      <c r="B23" t="s">
        <v>635</v>
      </c>
      <c r="D23" t="s">
        <v>1253</v>
      </c>
      <c r="E23" s="242">
        <f>IF(Sheet1!E411="","",Sheet1!E411)</f>
        <v>1142.266280151722</v>
      </c>
      <c r="F23" s="242">
        <f>IF(Sheet1!F411="","",Sheet1!F411)</f>
        <v>0.7</v>
      </c>
      <c r="G23" s="242" t="str">
        <f>IF(Sheet1!G411="","",Sheet1!G411)</f>
        <v/>
      </c>
      <c r="H23" s="242" t="str">
        <f>IF(Sheet1!H411="","",Sheet1!H411)</f>
        <v/>
      </c>
      <c r="I23" s="242" t="str">
        <f>IF(Sheet1!I411="","",Sheet1!I411)</f>
        <v/>
      </c>
      <c r="J23" s="242" t="str">
        <f>IF(Sheet1!J411="","",Sheet1!J411)</f>
        <v/>
      </c>
      <c r="K23" s="242" t="str">
        <f>IF(Sheet1!K411="","",Sheet1!K411)</f>
        <v/>
      </c>
      <c r="L23" s="242" t="str">
        <f>IF(Sheet1!L411="","",Sheet1!L411)</f>
        <v/>
      </c>
      <c r="M23" s="242" t="str">
        <f>IF(Sheet1!M411="","",Sheet1!M411)</f>
        <v/>
      </c>
      <c r="N23" s="242" t="str">
        <f>IF(Sheet1!N411="","",Sheet1!N411)</f>
        <v/>
      </c>
      <c r="O23" s="242" t="str">
        <f>IF(Sheet1!O411="","",Sheet1!O411)</f>
        <v/>
      </c>
      <c r="P23" s="242" t="str">
        <f>IF(Sheet1!P411="","",Sheet1!P411)</f>
        <v/>
      </c>
      <c r="Q23" s="242" t="str">
        <f>IF(Sheet1!Q411="","",Sheet1!Q411)</f>
        <v/>
      </c>
      <c r="R23" s="242" t="str">
        <f>IF(Sheet1!R411="","",Sheet1!R411)</f>
        <v/>
      </c>
      <c r="S23" s="242" t="str">
        <f>IF(Sheet1!S411="","",Sheet1!S411)</f>
        <v/>
      </c>
    </row>
    <row r="24" spans="2:19" ht="20.100000000000001" customHeight="1">
      <c r="B24" s="3" t="s">
        <v>1254</v>
      </c>
      <c r="C24" s="3"/>
      <c r="D24" s="3"/>
      <c r="E24" s="2"/>
      <c r="F24" s="2"/>
      <c r="G24" s="2"/>
      <c r="H24" s="2"/>
      <c r="I24" s="2"/>
      <c r="J24" s="2"/>
      <c r="K24" s="2"/>
      <c r="L24" s="2"/>
      <c r="M24" s="2"/>
      <c r="N24" s="2"/>
      <c r="O24" s="2"/>
      <c r="P24" s="2"/>
      <c r="Q24" s="2"/>
      <c r="R24" s="2"/>
      <c r="S24" s="2"/>
    </row>
    <row r="25" spans="2:19">
      <c r="B25" t="s">
        <v>373</v>
      </c>
      <c r="D25" t="s">
        <v>1255</v>
      </c>
      <c r="E25" s="242">
        <f>IF(Sheet1!E153="","",Sheet1!E153)</f>
        <v>1079.6440000000002</v>
      </c>
      <c r="F25" s="242">
        <f>IF(Sheet1!F153="","",Sheet1!F153)</f>
        <v>1387.6740000000009</v>
      </c>
      <c r="G25" s="242">
        <f>IF(Sheet1!G153="","",Sheet1!G153)</f>
        <v>1887.614999999998</v>
      </c>
      <c r="H25" s="242">
        <f>IF(Sheet1!H153="","",Sheet1!H153)</f>
        <v>2272.2559999999985</v>
      </c>
      <c r="I25" s="242">
        <f>IF(Sheet1!I153="","",Sheet1!I153)</f>
        <v>2440.4939999999997</v>
      </c>
      <c r="J25" s="242">
        <f>IF(Sheet1!J153="","",Sheet1!J153)</f>
        <v>2744.2646895637067</v>
      </c>
      <c r="K25" s="242">
        <f>IF(Sheet1!K153="","",Sheet1!K153)</f>
        <v>3383.1333635247929</v>
      </c>
      <c r="L25" s="242">
        <f>IF(Sheet1!L153="","",Sheet1!L153)</f>
        <v>3933.3859950677906</v>
      </c>
      <c r="M25" s="242">
        <f>IF(Sheet1!M153="","",Sheet1!M153)</f>
        <v>4434.047019704818</v>
      </c>
      <c r="N25" s="242">
        <f>IF(Sheet1!N153="","",Sheet1!N153)</f>
        <v>4933.4401665013856</v>
      </c>
      <c r="O25" s="242">
        <f>IF(Sheet1!O153="","",Sheet1!O153)</f>
        <v>5398.1769650896231</v>
      </c>
      <c r="P25" s="242">
        <f>IF(Sheet1!P153="","",Sheet1!P153)</f>
        <v>5880.6152434014903</v>
      </c>
      <c r="Q25" s="242">
        <f>IF(Sheet1!Q153="","",Sheet1!Q153)</f>
        <v>6367.2752058349961</v>
      </c>
      <c r="R25" s="242">
        <f>IF(Sheet1!R153="","",Sheet1!R153)</f>
        <v>6852.2469433524811</v>
      </c>
      <c r="S25" s="242">
        <f>IF(Sheet1!S153="","",Sheet1!S153)</f>
        <v>7329.1398231595222</v>
      </c>
    </row>
    <row r="26" spans="2:19">
      <c r="B26" t="s">
        <v>393</v>
      </c>
      <c r="D26" t="s">
        <v>1256</v>
      </c>
      <c r="E26" s="242">
        <f>IF(Sheet1!E169="","",Sheet1!E169)</f>
        <v>265289</v>
      </c>
      <c r="F26" s="242">
        <f>IF(Sheet1!F169="","",Sheet1!F169)</f>
        <v>305727</v>
      </c>
      <c r="G26" s="242">
        <f>IF(Sheet1!G169="","",Sheet1!G169)</f>
        <v>353624</v>
      </c>
      <c r="H26" s="242">
        <f>IF(Sheet1!H169="","",Sheet1!H169)</f>
        <v>408613</v>
      </c>
      <c r="I26" s="242">
        <f>IF(Sheet1!I169="","",Sheet1!I169)</f>
        <v>456193</v>
      </c>
      <c r="J26" s="242">
        <f>IF(Sheet1!J169="","",Sheet1!J169)</f>
        <v>512440.95989619783</v>
      </c>
      <c r="K26" s="242">
        <f>IF(Sheet1!K169="","",Sheet1!K169)</f>
        <v>580330.32661470189</v>
      </c>
      <c r="L26" s="242">
        <f>IF(Sheet1!L169="","",Sheet1!L169)</f>
        <v>641717.00022929918</v>
      </c>
      <c r="M26" s="242">
        <f>IF(Sheet1!M169="","",Sheet1!M169)</f>
        <v>711886.84094175894</v>
      </c>
      <c r="N26" s="242">
        <f>IF(Sheet1!N169="","",Sheet1!N169)</f>
        <v>783779.24640089413</v>
      </c>
      <c r="O26" s="242">
        <f>IF(Sheet1!O169="","",Sheet1!O169)</f>
        <v>856133.85600439331</v>
      </c>
      <c r="P26" s="242">
        <f>IF(Sheet1!P169="","",Sheet1!P169)</f>
        <v>928716.02492979157</v>
      </c>
      <c r="Q26" s="242">
        <f>IF(Sheet1!Q169="","",Sheet1!Q169)</f>
        <v>1000452.683660768</v>
      </c>
      <c r="R26" s="242">
        <f>IF(Sheet1!R169="","",Sheet1!R169)</f>
        <v>1071190.8570160782</v>
      </c>
      <c r="S26" s="242">
        <f>IF(Sheet1!S169="","",Sheet1!S169)</f>
        <v>1139887.1734859913</v>
      </c>
    </row>
    <row r="27" spans="2:19">
      <c r="B27" t="s">
        <v>416</v>
      </c>
      <c r="D27" t="s">
        <v>1257</v>
      </c>
      <c r="E27" s="242" t="str">
        <f>IF(Sheet1!E187="","",Sheet1!E187)</f>
        <v/>
      </c>
      <c r="F27" s="242" t="str">
        <f>IF(Sheet1!F187="","",Sheet1!F187)</f>
        <v/>
      </c>
      <c r="G27" s="242" t="str">
        <f>IF(Sheet1!G187="","",Sheet1!G187)</f>
        <v/>
      </c>
      <c r="H27" s="242" t="str">
        <f>IF(Sheet1!H187="","",Sheet1!H187)</f>
        <v/>
      </c>
      <c r="I27" s="242" t="str">
        <f>IF(Sheet1!I187="","",Sheet1!I187)</f>
        <v/>
      </c>
      <c r="J27" s="242">
        <f>IF(Sheet1!J187="","",Sheet1!J187)</f>
        <v>-1330.537705829187</v>
      </c>
      <c r="K27" s="242">
        <f>IF(Sheet1!K187="","",Sheet1!K187)</f>
        <v>-1763.4714237001863</v>
      </c>
      <c r="L27" s="242">
        <f>IF(Sheet1!L187="","",Sheet1!L187)</f>
        <v>-1779.1814125427009</v>
      </c>
      <c r="M27" s="242">
        <f>IF(Sheet1!M187="","",Sheet1!M187)</f>
        <v>-1601.2199675889315</v>
      </c>
      <c r="N27" s="242">
        <f>IF(Sheet1!N187="","",Sheet1!N187)</f>
        <v>-1571.6266488645833</v>
      </c>
      <c r="O27" s="242">
        <f>IF(Sheet1!O187="","",Sheet1!O187)</f>
        <v>-1634.8733619175473</v>
      </c>
      <c r="P27" s="242">
        <f>IF(Sheet1!P187="","",Sheet1!P187)</f>
        <v>-1691.7331070422842</v>
      </c>
      <c r="Q27" s="242">
        <f>IF(Sheet1!Q187="","",Sheet1!Q187)</f>
        <v>-1705.8492529276664</v>
      </c>
      <c r="R27" s="242">
        <f>IF(Sheet1!R187="","",Sheet1!R187)</f>
        <v>-1699.0650586846095</v>
      </c>
      <c r="S27" s="242">
        <f>IF(Sheet1!S187="","",Sheet1!S187)</f>
        <v>-1669.6973506047725</v>
      </c>
    </row>
    <row r="28" spans="2:19">
      <c r="B28" t="s">
        <v>540</v>
      </c>
      <c r="D28" t="s">
        <v>1258</v>
      </c>
      <c r="E28" s="242">
        <f>IF(Sheet1!E315="","",Sheet1!E315)</f>
        <v>0.22090000000000001</v>
      </c>
      <c r="F28" s="242">
        <f>IF(Sheet1!F315="","",Sheet1!F315)</f>
        <v>0.2029</v>
      </c>
      <c r="G28" s="242">
        <f>IF(Sheet1!G315="","",Sheet1!G315)</f>
        <v>0.2104</v>
      </c>
      <c r="H28" s="242">
        <f>IF(Sheet1!H315="","",Sheet1!H315)</f>
        <v>0.214</v>
      </c>
      <c r="I28" s="242">
        <f>IF(Sheet1!I315="","",Sheet1!I315)</f>
        <v>0.22</v>
      </c>
      <c r="J28" s="242" t="str">
        <f>IF(Sheet1!J315="","",Sheet1!J315)</f>
        <v/>
      </c>
      <c r="K28" s="242" t="str">
        <f>IF(Sheet1!K315="","",Sheet1!K315)</f>
        <v/>
      </c>
      <c r="L28" s="242" t="str">
        <f>IF(Sheet1!L315="","",Sheet1!L315)</f>
        <v/>
      </c>
      <c r="M28" s="242" t="str">
        <f>IF(Sheet1!M315="","",Sheet1!M315)</f>
        <v/>
      </c>
      <c r="N28" s="242" t="str">
        <f>IF(Sheet1!N315="","",Sheet1!N315)</f>
        <v/>
      </c>
      <c r="O28" s="242" t="str">
        <f>IF(Sheet1!O315="","",Sheet1!O315)</f>
        <v/>
      </c>
      <c r="P28" s="242" t="str">
        <f>IF(Sheet1!P315="","",Sheet1!P315)</f>
        <v/>
      </c>
      <c r="Q28" s="242" t="str">
        <f>IF(Sheet1!Q315="","",Sheet1!Q315)</f>
        <v/>
      </c>
      <c r="R28" s="242" t="str">
        <f>IF(Sheet1!R315="","",Sheet1!R315)</f>
        <v/>
      </c>
      <c r="S28" s="242" t="str">
        <f>IF(Sheet1!S315="","",Sheet1!S315)</f>
        <v/>
      </c>
    </row>
    <row r="29" spans="2:19">
      <c r="B29" t="s">
        <v>556</v>
      </c>
      <c r="D29" t="s">
        <v>1259</v>
      </c>
      <c r="E29" s="242">
        <f>IF(Sheet1!E328="","",Sheet1!E328)</f>
        <v>0.22086521815038754</v>
      </c>
      <c r="F29" s="242">
        <f>IF(Sheet1!F328="","",Sheet1!F328)</f>
        <v>0.20293205958405799</v>
      </c>
      <c r="G29" s="242">
        <f>IF(Sheet1!G328="","",Sheet1!G328)</f>
        <v>0.21044249323486508</v>
      </c>
      <c r="H29" s="242">
        <f>IF(Sheet1!H328="","",Sheet1!H328)</f>
        <v>0.21403664446695822</v>
      </c>
      <c r="I29" s="242">
        <f>IF(Sheet1!I328="","",Sheet1!I328)</f>
        <v>0.21996524721384358</v>
      </c>
      <c r="J29" s="242">
        <f>IF(Sheet1!J328="","",Sheet1!J328)</f>
        <v>0.22000883624760575</v>
      </c>
      <c r="K29" s="242">
        <f>IF(Sheet1!K328="","",Sheet1!K328)</f>
        <v>0.24524347352430514</v>
      </c>
      <c r="L29" s="242">
        <f>IF(Sheet1!L328="","",Sheet1!L328)</f>
        <v>0.24758546831325884</v>
      </c>
      <c r="M29" s="242">
        <f>IF(Sheet1!M328="","",Sheet1!M328)</f>
        <v>0.25175609540588806</v>
      </c>
      <c r="N29" s="242">
        <f>IF(Sheet1!N328="","",Sheet1!N328)</f>
        <v>0.25651249954318212</v>
      </c>
      <c r="O29" s="242">
        <f>IF(Sheet1!O328="","",Sheet1!O328)</f>
        <v>0.26208880727592776</v>
      </c>
      <c r="P29" s="242">
        <f>IF(Sheet1!P328="","",Sheet1!P328)</f>
        <v>0.26524103865691562</v>
      </c>
      <c r="Q29" s="242">
        <f>IF(Sheet1!Q328="","",Sheet1!Q328)</f>
        <v>0.26615704261128365</v>
      </c>
      <c r="R29" s="242">
        <f>IF(Sheet1!R328="","",Sheet1!R328)</f>
        <v>0.26672525733579877</v>
      </c>
      <c r="S29" s="242">
        <f>IF(Sheet1!S328="","",Sheet1!S328)</f>
        <v>0.26696652662695464</v>
      </c>
    </row>
    <row r="30" spans="2:19">
      <c r="B30" t="s">
        <v>571</v>
      </c>
      <c r="D30" t="s">
        <v>1260</v>
      </c>
      <c r="E30" s="242" t="str">
        <f>IF(Sheet1!E346="","",Sheet1!E346)</f>
        <v/>
      </c>
      <c r="F30" s="242">
        <f>IF(Sheet1!F346="","",Sheet1!F346)</f>
        <v>1.4920772797960127E-2</v>
      </c>
      <c r="G30" s="242">
        <f>IF(Sheet1!G346="","",Sheet1!G346)</f>
        <v>1.7301082428023921E-2</v>
      </c>
      <c r="H30" s="242">
        <f>IF(Sheet1!H346="","",Sheet1!H346)</f>
        <v>1.8382440107210751E-2</v>
      </c>
      <c r="I30" s="242">
        <f>IF(Sheet1!I346="","",Sheet1!I346)</f>
        <v>1.7501088105309169E-2</v>
      </c>
      <c r="J30" s="242">
        <f>IF(Sheet1!J346="","",Sheet1!J346)</f>
        <v>1.7387965264060133E-2</v>
      </c>
      <c r="K30" s="242">
        <f>IF(Sheet1!K346="","",Sheet1!K346)</f>
        <v>1.9000818107806978E-2</v>
      </c>
      <c r="L30" s="242">
        <f>IF(Sheet1!L346="","",Sheet1!L346)</f>
        <v>1.9754270631330478E-2</v>
      </c>
      <c r="M30" s="242">
        <f>IF(Sheet1!M346="","",Sheet1!M346)</f>
        <v>2.0104402643396472E-2</v>
      </c>
      <c r="N30" s="242">
        <f>IF(Sheet1!N346="","",Sheet1!N346)</f>
        <v>2.0244062818856372E-2</v>
      </c>
      <c r="O30" s="242">
        <f>IF(Sheet1!O346="","",Sheet1!O346)</f>
        <v>2.0202668580006942E-2</v>
      </c>
      <c r="P30" s="242">
        <f>IF(Sheet1!P346="","",Sheet1!P346)</f>
        <v>2.0221041859946279E-2</v>
      </c>
      <c r="Q30" s="242">
        <f>IF(Sheet1!Q346="","",Sheet1!Q346)</f>
        <v>2.0256568166780273E-2</v>
      </c>
      <c r="R30" s="242">
        <f>IF(Sheet1!R346="","",Sheet1!R346)</f>
        <v>2.0300205443246094E-2</v>
      </c>
      <c r="S30" s="242">
        <f>IF(Sheet1!S346="","",Sheet1!S346)</f>
        <v>2.0343768032736884E-2</v>
      </c>
    </row>
    <row r="31" spans="2:19">
      <c r="B31" t="s">
        <v>572</v>
      </c>
      <c r="D31" t="s">
        <v>1261</v>
      </c>
      <c r="E31" s="242" t="str">
        <f>IF(Sheet1!E347="","",Sheet1!E347)</f>
        <v/>
      </c>
      <c r="F31" s="242">
        <f>IF(Sheet1!F347="","",Sheet1!F347)</f>
        <v>0.1455914150552528</v>
      </c>
      <c r="G31" s="242">
        <f>IF(Sheet1!G347="","",Sheet1!G347)</f>
        <v>0.15789974246150132</v>
      </c>
      <c r="H31" s="242">
        <f>IF(Sheet1!H347="","",Sheet1!H347)</f>
        <v>0.16724349606418271</v>
      </c>
      <c r="I31" s="242">
        <f>IF(Sheet1!I347="","",Sheet1!I347)</f>
        <v>0.1560403365776222</v>
      </c>
      <c r="J31" s="242">
        <f>IF(Sheet1!J347="","",Sheet1!J347)</f>
        <v>0.15199022731428394</v>
      </c>
      <c r="K31" s="242">
        <f>IF(Sheet1!K347="","",Sheet1!K347)</f>
        <v>0.15653778798789025</v>
      </c>
      <c r="L31" s="242">
        <f>IF(Sheet1!L347="","",Sheet1!L347)</f>
        <v>0.15372454768257623</v>
      </c>
      <c r="M31" s="242">
        <f>IF(Sheet1!M347="","",Sheet1!M347)</f>
        <v>0.15386886346413017</v>
      </c>
      <c r="N31" s="242">
        <f>IF(Sheet1!N347="","",Sheet1!N347)</f>
        <v>0.15271595223249482</v>
      </c>
      <c r="O31" s="242">
        <f>IF(Sheet1!O347="","",Sheet1!O347)</f>
        <v>0.14967758394475775</v>
      </c>
      <c r="P31" s="242">
        <f>IF(Sheet1!P347="","",Sheet1!P347)</f>
        <v>0.14743885690328595</v>
      </c>
      <c r="Q31" s="242">
        <f>IF(Sheet1!Q347="","",Sheet1!Q347)</f>
        <v>0.14651133285646717</v>
      </c>
      <c r="R31" s="242">
        <f>IF(Sheet1!R347="","",Sheet1!R347)</f>
        <v>0.1462659102074344</v>
      </c>
      <c r="S31" s="242">
        <f>IF(Sheet1!S347="","",Sheet1!S347)</f>
        <v>0.146197149735769</v>
      </c>
    </row>
    <row r="32" spans="2:19">
      <c r="B32" t="s">
        <v>575</v>
      </c>
      <c r="D32" t="s">
        <v>1262</v>
      </c>
      <c r="E32" s="242">
        <f>IF(Sheet1!E350="","",Sheet1!E350)</f>
        <v>73.62645327333135</v>
      </c>
      <c r="F32" s="242">
        <f>IF(Sheet1!F350="","",Sheet1!F350)</f>
        <v>92.349194415865327</v>
      </c>
      <c r="G32" s="242">
        <f>IF(Sheet1!G350="","",Sheet1!G350)</f>
        <v>123.64696507162699</v>
      </c>
      <c r="H32" s="242">
        <f>IF(Sheet1!H350="","",Sheet1!H350)</f>
        <v>151.87514388914974</v>
      </c>
      <c r="I32" s="242">
        <f>IF(Sheet1!I350="","",Sheet1!I350)</f>
        <v>164.05038797500762</v>
      </c>
      <c r="J32" s="242">
        <f>IF(Sheet1!J350="","",Sheet1!J350)</f>
        <v>182.55846341632301</v>
      </c>
      <c r="K32" s="242">
        <f>IF(Sheet1!K350="","",Sheet1!K350)</f>
        <v>209.6089104544246</v>
      </c>
      <c r="L32" s="242">
        <f>IF(Sheet1!L350="","",Sheet1!L350)</f>
        <v>228.04639266419341</v>
      </c>
      <c r="M32" s="242">
        <f>IF(Sheet1!M350="","",Sheet1!M350)</f>
        <v>257.07327707350373</v>
      </c>
      <c r="N32" s="242">
        <f>IF(Sheet1!N350="","",Sheet1!N350)</f>
        <v>286.02665357684754</v>
      </c>
      <c r="O32" s="242">
        <f>IF(Sheet1!O350="","",Sheet1!O350)</f>
        <v>312.97075481411417</v>
      </c>
      <c r="P32" s="242">
        <f>IF(Sheet1!P350="","",Sheet1!P350)</f>
        <v>340.94113686919377</v>
      </c>
      <c r="Q32" s="242">
        <f>IF(Sheet1!Q350="","",Sheet1!Q350)</f>
        <v>369.15628001207779</v>
      </c>
      <c r="R32" s="242">
        <f>IF(Sheet1!R350="","",Sheet1!R350)</f>
        <v>397.27354473606584</v>
      </c>
      <c r="S32" s="242">
        <f>IF(Sheet1!S350="","",Sheet1!S350)</f>
        <v>424.92242055542465</v>
      </c>
    </row>
    <row r="33" spans="2:19">
      <c r="B33" t="s">
        <v>576</v>
      </c>
      <c r="D33" t="s">
        <v>1263</v>
      </c>
      <c r="E33" s="242">
        <f>IF(Sheet1!E351="","",Sheet1!E351)</f>
        <v>608.17786207776373</v>
      </c>
      <c r="F33" s="242">
        <f>IF(Sheet1!F351="","",Sheet1!F351)</f>
        <v>726.35026011689763</v>
      </c>
      <c r="G33" s="242">
        <f>IF(Sheet1!G351="","",Sheet1!G351)</f>
        <v>839.79498045275375</v>
      </c>
      <c r="H33" s="242">
        <f>IF(Sheet1!H351="","",Sheet1!H351)</f>
        <v>976.42086606201781</v>
      </c>
      <c r="I33" s="242">
        <f>IF(Sheet1!I351="","",Sheet1!I351)</f>
        <v>1126.2455543401304</v>
      </c>
      <c r="J33" s="242">
        <f>IF(Sheet1!J351="","",Sheet1!J351)</f>
        <v>1275.993940161452</v>
      </c>
      <c r="K33" s="242">
        <f>IF(Sheet1!K351="","",Sheet1!K351)</f>
        <v>1393.9689945983923</v>
      </c>
      <c r="L33" s="242">
        <f>IF(Sheet1!L351="","",Sheet1!L351)</f>
        <v>1572.9793048376007</v>
      </c>
      <c r="M33" s="242">
        <f>IF(Sheet1!M351="","",Sheet1!M351)</f>
        <v>1768.4800558917718</v>
      </c>
      <c r="N33" s="242">
        <f>IF(Sheet1!N351="","",Sheet1!N351)</f>
        <v>1977.3847263465682</v>
      </c>
      <c r="O33" s="242">
        <f>IF(Sheet1!O351="","",Sheet1!O351)</f>
        <v>2204.547485087628</v>
      </c>
      <c r="P33" s="242">
        <f>IF(Sheet1!P351="","",Sheet1!P351)</f>
        <v>2420.3003200311764</v>
      </c>
      <c r="Q33" s="242">
        <f>IF(Sheet1!Q351="","",Sheet1!Q351)</f>
        <v>2618.986031608657</v>
      </c>
      <c r="R33" s="242">
        <f>IF(Sheet1!R351="","",Sheet1!R351)</f>
        <v>2813.2236223380801</v>
      </c>
      <c r="S33" s="242">
        <f>IF(Sheet1!S351="","",Sheet1!S351)</f>
        <v>2999.7819160518652</v>
      </c>
    </row>
    <row r="34" spans="2:19">
      <c r="E34" s="242"/>
      <c r="F34" s="242"/>
      <c r="G34" s="242"/>
      <c r="H34" s="242"/>
      <c r="I34" s="242"/>
      <c r="J34" s="242"/>
      <c r="K34" s="242"/>
      <c r="L34" s="242"/>
      <c r="M34" s="242"/>
      <c r="N34" s="242"/>
      <c r="O34" s="242"/>
      <c r="P34" s="242"/>
      <c r="Q34" s="242"/>
      <c r="R34" s="242"/>
      <c r="S34" s="242"/>
    </row>
  </sheetData>
  <mergeCells count="5">
    <mergeCell ref="A1:U2"/>
    <mergeCell ref="A3:U3"/>
    <mergeCell ref="B6:S6"/>
    <mergeCell ref="B13:S13"/>
    <mergeCell ref="B24:S2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8"/>
  <sheetViews>
    <sheetView workbookViewId="0">
      <pane ySplit="5" topLeftCell="A6" activePane="bottomLeft" state="frozen"/>
      <selection pane="bottomLeft"/>
    </sheetView>
  </sheetViews>
  <sheetFormatPr defaultRowHeight="12.75"/>
  <cols>
    <col min="1" max="1" width="6" customWidth="1"/>
    <col min="2" max="2" width="53" customWidth="1"/>
    <col min="3" max="3" width="13" customWidth="1"/>
    <col min="4" max="4" width="14" customWidth="1"/>
    <col min="5" max="21" width="13" customWidth="1"/>
  </cols>
  <sheetData>
    <row r="1" spans="1:21" ht="23.1" customHeight="1">
      <c r="A1" s="5" t="s">
        <v>1264</v>
      </c>
      <c r="B1" s="5"/>
      <c r="C1" s="5"/>
      <c r="D1" s="5"/>
      <c r="E1" s="5"/>
      <c r="F1" s="5"/>
      <c r="G1" s="5"/>
      <c r="H1" s="5"/>
      <c r="I1" s="5"/>
      <c r="J1" s="5"/>
      <c r="K1" s="5"/>
      <c r="L1" s="5"/>
      <c r="M1" s="5"/>
      <c r="N1" s="5"/>
      <c r="O1" s="5"/>
      <c r="P1" s="5"/>
      <c r="Q1" s="5"/>
      <c r="R1" s="5"/>
      <c r="S1" s="5"/>
      <c r="T1" s="5"/>
      <c r="U1" s="5"/>
    </row>
    <row r="2" spans="1:21" ht="23.1" customHeight="1">
      <c r="A2" s="5"/>
      <c r="B2" s="5"/>
      <c r="C2" s="5"/>
      <c r="D2" s="5"/>
      <c r="E2" s="5"/>
      <c r="F2" s="5"/>
      <c r="G2" s="5"/>
      <c r="H2" s="5"/>
      <c r="I2" s="5"/>
      <c r="J2" s="5"/>
      <c r="K2" s="5"/>
      <c r="L2" s="5"/>
      <c r="M2" s="5"/>
      <c r="N2" s="5"/>
      <c r="O2" s="5"/>
      <c r="P2" s="5"/>
      <c r="Q2" s="5"/>
      <c r="R2" s="5"/>
      <c r="S2" s="5"/>
      <c r="T2" s="5"/>
      <c r="U2" s="5"/>
    </row>
    <row r="3" spans="1:21" ht="24" customHeight="1">
      <c r="A3" s="4" t="s">
        <v>1265</v>
      </c>
      <c r="B3" s="4"/>
      <c r="C3" s="4"/>
      <c r="D3" s="4"/>
      <c r="E3" s="4"/>
      <c r="F3" s="4"/>
      <c r="G3" s="4"/>
      <c r="H3" s="4"/>
      <c r="I3" s="4"/>
      <c r="J3" s="4"/>
      <c r="K3" s="4"/>
      <c r="L3" s="4"/>
      <c r="M3" s="4"/>
      <c r="N3" s="4"/>
      <c r="O3" s="4"/>
      <c r="P3" s="4"/>
      <c r="Q3" s="4"/>
      <c r="R3" s="4"/>
      <c r="S3" s="4"/>
      <c r="T3" s="4"/>
      <c r="U3" s="4"/>
    </row>
    <row r="5" spans="1:21" ht="26.1" customHeight="1">
      <c r="B5" s="241" t="s">
        <v>1233</v>
      </c>
      <c r="C5" s="241" t="s">
        <v>1234</v>
      </c>
      <c r="D5" s="241" t="s">
        <v>1235</v>
      </c>
      <c r="E5" s="241" t="str">
        <f>Sheet1!E40</f>
        <v>FY21A</v>
      </c>
      <c r="F5" s="241" t="str">
        <f>Sheet1!F40</f>
        <v>FY22A</v>
      </c>
      <c r="G5" s="241" t="str">
        <f>Sheet1!G40</f>
        <v>FY23A</v>
      </c>
      <c r="H5" s="241" t="str">
        <f>Sheet1!H40</f>
        <v>FY24A</v>
      </c>
      <c r="I5" s="241" t="str">
        <f>Sheet1!I40</f>
        <v>FY25A</v>
      </c>
      <c r="J5" s="241" t="str">
        <f>Sheet1!J40</f>
        <v>FY26E</v>
      </c>
      <c r="K5" s="241" t="str">
        <f>Sheet1!K40</f>
        <v>FY27E</v>
      </c>
      <c r="L5" s="241" t="str">
        <f>Sheet1!L40</f>
        <v>FY28E</v>
      </c>
      <c r="M5" s="241" t="str">
        <f>Sheet1!M40</f>
        <v>FY29E</v>
      </c>
      <c r="N5" s="241" t="str">
        <f>Sheet1!N40</f>
        <v>FY30E</v>
      </c>
      <c r="O5" s="241" t="str">
        <f>Sheet1!O40</f>
        <v>FY31E</v>
      </c>
      <c r="P5" s="241" t="str">
        <f>Sheet1!P40</f>
        <v>FY32E</v>
      </c>
      <c r="Q5" s="241" t="str">
        <f>Sheet1!Q40</f>
        <v>FY33E</v>
      </c>
      <c r="R5" s="241" t="str">
        <f>Sheet1!R40</f>
        <v>FY34E</v>
      </c>
      <c r="S5" s="241" t="str">
        <f>Sheet1!S40</f>
        <v>FY35E</v>
      </c>
    </row>
    <row r="6" spans="1:21" ht="20.100000000000001" customHeight="1">
      <c r="B6" s="3" t="s">
        <v>1266</v>
      </c>
      <c r="C6" s="3"/>
      <c r="D6" s="3"/>
      <c r="E6" s="2"/>
      <c r="F6" s="2"/>
      <c r="G6" s="2"/>
      <c r="H6" s="2"/>
      <c r="I6" s="2"/>
      <c r="J6" s="2"/>
      <c r="K6" s="2"/>
      <c r="L6" s="2"/>
      <c r="M6" s="2"/>
      <c r="N6" s="2"/>
      <c r="O6" s="2"/>
      <c r="P6" s="2"/>
      <c r="Q6" s="2"/>
      <c r="R6" s="2"/>
      <c r="S6" s="2"/>
    </row>
    <row r="7" spans="1:21">
      <c r="B7" t="s">
        <v>184</v>
      </c>
      <c r="D7" t="s">
        <v>1237</v>
      </c>
      <c r="E7" s="242">
        <f>IF(Sheet1!E20="","",Sheet1!E20)</f>
        <v>1095</v>
      </c>
      <c r="F7" s="242" t="str">
        <f>IF(Sheet1!F20="","",Sheet1!F20)</f>
        <v/>
      </c>
      <c r="G7" s="242" t="str">
        <f>IF(Sheet1!G20="","",Sheet1!G20)</f>
        <v/>
      </c>
      <c r="H7" s="242" t="str">
        <f>IF(Sheet1!H20="","",Sheet1!H20)</f>
        <v/>
      </c>
      <c r="I7" s="242" t="str">
        <f>IF(Sheet1!I20="","",Sheet1!I20)</f>
        <v/>
      </c>
      <c r="J7" s="242" t="str">
        <f>IF(Sheet1!J20="","",Sheet1!J20)</f>
        <v/>
      </c>
      <c r="K7" s="242" t="str">
        <f>IF(Sheet1!K20="","",Sheet1!K20)</f>
        <v/>
      </c>
      <c r="L7" s="242" t="str">
        <f>IF(Sheet1!L20="","",Sheet1!L20)</f>
        <v/>
      </c>
      <c r="M7" s="242" t="str">
        <f>IF(Sheet1!M20="","",Sheet1!M20)</f>
        <v/>
      </c>
      <c r="N7" s="242" t="str">
        <f>IF(Sheet1!N20="","",Sheet1!N20)</f>
        <v/>
      </c>
      <c r="O7" s="242" t="str">
        <f>IF(Sheet1!O20="","",Sheet1!O20)</f>
        <v/>
      </c>
      <c r="P7" s="242" t="str">
        <f>IF(Sheet1!P20="","",Sheet1!P20)</f>
        <v/>
      </c>
      <c r="Q7" s="242" t="str">
        <f>IF(Sheet1!Q20="","",Sheet1!Q20)</f>
        <v/>
      </c>
      <c r="R7" s="242" t="str">
        <f>IF(Sheet1!R20="","",Sheet1!R20)</f>
        <v/>
      </c>
      <c r="S7" s="242" t="str">
        <f>IF(Sheet1!S20="","",Sheet1!S20)</f>
        <v/>
      </c>
    </row>
    <row r="8" spans="1:21">
      <c r="B8" t="s">
        <v>187</v>
      </c>
      <c r="D8" t="s">
        <v>1238</v>
      </c>
      <c r="E8" s="242">
        <f>IF(Sheet1!E21="","",Sheet1!E21)</f>
        <v>46129.26</v>
      </c>
      <c r="F8" s="242" t="str">
        <f>IF(Sheet1!F21="","",Sheet1!F21)</f>
        <v/>
      </c>
      <c r="G8" s="242" t="str">
        <f>IF(Sheet1!G21="","",Sheet1!G21)</f>
        <v/>
      </c>
      <c r="H8" s="242" t="str">
        <f>IF(Sheet1!H21="","",Sheet1!H21)</f>
        <v/>
      </c>
      <c r="I8" s="242" t="str">
        <f>IF(Sheet1!I21="","",Sheet1!I21)</f>
        <v/>
      </c>
      <c r="J8" s="242" t="str">
        <f>IF(Sheet1!J21="","",Sheet1!J21)</f>
        <v/>
      </c>
      <c r="K8" s="242" t="str">
        <f>IF(Sheet1!K21="","",Sheet1!K21)</f>
        <v/>
      </c>
      <c r="L8" s="242" t="str">
        <f>IF(Sheet1!L21="","",Sheet1!L21)</f>
        <v/>
      </c>
      <c r="M8" s="242" t="str">
        <f>IF(Sheet1!M21="","",Sheet1!M21)</f>
        <v/>
      </c>
      <c r="N8" s="242" t="str">
        <f>IF(Sheet1!N21="","",Sheet1!N21)</f>
        <v/>
      </c>
      <c r="O8" s="242" t="str">
        <f>IF(Sheet1!O21="","",Sheet1!O21)</f>
        <v/>
      </c>
      <c r="P8" s="242" t="str">
        <f>IF(Sheet1!P21="","",Sheet1!P21)</f>
        <v/>
      </c>
      <c r="Q8" s="242" t="str">
        <f>IF(Sheet1!Q21="","",Sheet1!Q21)</f>
        <v/>
      </c>
      <c r="R8" s="242" t="str">
        <f>IF(Sheet1!R21="","",Sheet1!R21)</f>
        <v/>
      </c>
      <c r="S8" s="242" t="str">
        <f>IF(Sheet1!S21="","",Sheet1!S21)</f>
        <v/>
      </c>
    </row>
    <row r="9" spans="1:21">
      <c r="B9" t="s">
        <v>190</v>
      </c>
      <c r="D9" t="s">
        <v>1239</v>
      </c>
      <c r="E9" s="242">
        <f>IF(Sheet1!E22="","",Sheet1!E22)</f>
        <v>46304</v>
      </c>
      <c r="F9" s="242" t="str">
        <f>IF(Sheet1!F22="","",Sheet1!F22)</f>
        <v/>
      </c>
      <c r="G9" s="242" t="str">
        <f>IF(Sheet1!G22="","",Sheet1!G22)</f>
        <v/>
      </c>
      <c r="H9" s="242" t="str">
        <f>IF(Sheet1!H22="","",Sheet1!H22)</f>
        <v/>
      </c>
      <c r="I9" s="242" t="str">
        <f>IF(Sheet1!I22="","",Sheet1!I22)</f>
        <v/>
      </c>
      <c r="J9" s="242" t="str">
        <f>IF(Sheet1!J22="","",Sheet1!J22)</f>
        <v/>
      </c>
      <c r="K9" s="242" t="str">
        <f>IF(Sheet1!K22="","",Sheet1!K22)</f>
        <v/>
      </c>
      <c r="L9" s="242" t="str">
        <f>IF(Sheet1!L22="","",Sheet1!L22)</f>
        <v/>
      </c>
      <c r="M9" s="242" t="str">
        <f>IF(Sheet1!M22="","",Sheet1!M22)</f>
        <v/>
      </c>
      <c r="N9" s="242" t="str">
        <f>IF(Sheet1!N22="","",Sheet1!N22)</f>
        <v/>
      </c>
      <c r="O9" s="242" t="str">
        <f>IF(Sheet1!O22="","",Sheet1!O22)</f>
        <v/>
      </c>
      <c r="P9" s="242" t="str">
        <f>IF(Sheet1!P22="","",Sheet1!P22)</f>
        <v/>
      </c>
      <c r="Q9" s="242" t="str">
        <f>IF(Sheet1!Q22="","",Sheet1!Q22)</f>
        <v/>
      </c>
      <c r="R9" s="242" t="str">
        <f>IF(Sheet1!R22="","",Sheet1!R22)</f>
        <v/>
      </c>
      <c r="S9" s="242" t="str">
        <f>IF(Sheet1!S22="","",Sheet1!S22)</f>
        <v/>
      </c>
    </row>
    <row r="10" spans="1:21">
      <c r="B10" t="s">
        <v>192</v>
      </c>
      <c r="D10" t="s">
        <v>1267</v>
      </c>
      <c r="E10" s="242">
        <f>IF(Sheet1!E23="","",Sheet1!E23)</f>
        <v>46178</v>
      </c>
      <c r="F10" s="242" t="str">
        <f>IF(Sheet1!F23="","",Sheet1!F23)</f>
        <v/>
      </c>
      <c r="G10" s="242" t="str">
        <f>IF(Sheet1!G23="","",Sheet1!G23)</f>
        <v/>
      </c>
      <c r="H10" s="242" t="str">
        <f>IF(Sheet1!H23="","",Sheet1!H23)</f>
        <v/>
      </c>
      <c r="I10" s="242" t="str">
        <f>IF(Sheet1!I23="","",Sheet1!I23)</f>
        <v/>
      </c>
      <c r="J10" s="242" t="str">
        <f>IF(Sheet1!J23="","",Sheet1!J23)</f>
        <v/>
      </c>
      <c r="K10" s="242" t="str">
        <f>IF(Sheet1!K23="","",Sheet1!K23)</f>
        <v/>
      </c>
      <c r="L10" s="242" t="str">
        <f>IF(Sheet1!L23="","",Sheet1!L23)</f>
        <v/>
      </c>
      <c r="M10" s="242" t="str">
        <f>IF(Sheet1!M23="","",Sheet1!M23)</f>
        <v/>
      </c>
      <c r="N10" s="242" t="str">
        <f>IF(Sheet1!N23="","",Sheet1!N23)</f>
        <v/>
      </c>
      <c r="O10" s="242" t="str">
        <f>IF(Sheet1!O23="","",Sheet1!O23)</f>
        <v/>
      </c>
      <c r="P10" s="242" t="str">
        <f>IF(Sheet1!P23="","",Sheet1!P23)</f>
        <v/>
      </c>
      <c r="Q10" s="242" t="str">
        <f>IF(Sheet1!Q23="","",Sheet1!Q23)</f>
        <v/>
      </c>
      <c r="R10" s="242" t="str">
        <f>IF(Sheet1!R23="","",Sheet1!R23)</f>
        <v/>
      </c>
      <c r="S10" s="242" t="str">
        <f>IF(Sheet1!S23="","",Sheet1!S23)</f>
        <v/>
      </c>
    </row>
    <row r="11" spans="1:21">
      <c r="B11" t="s">
        <v>194</v>
      </c>
      <c r="D11" t="s">
        <v>1268</v>
      </c>
      <c r="E11" s="242">
        <f>IF(Sheet1!E24="","",Sheet1!E24)</f>
        <v>5.5600000000000004E-2</v>
      </c>
      <c r="F11" s="242" t="str">
        <f>IF(Sheet1!F24="","",Sheet1!F24)</f>
        <v>gross / spread</v>
      </c>
      <c r="G11" s="242">
        <f>IF(Sheet1!G24="","",Sheet1!G24)</f>
        <v>7.1800000000000003E-2</v>
      </c>
      <c r="H11" s="242">
        <f>IF(Sheet1!H24="","",Sheet1!H24)</f>
        <v>1.6199999999999999E-2</v>
      </c>
      <c r="I11" s="242" t="str">
        <f>IF(Sheet1!I24="","",Sheet1!I24)</f>
        <v/>
      </c>
      <c r="J11" s="242" t="str">
        <f>IF(Sheet1!J24="","",Sheet1!J24)</f>
        <v/>
      </c>
      <c r="K11" s="242" t="str">
        <f>IF(Sheet1!K24="","",Sheet1!K24)</f>
        <v/>
      </c>
      <c r="L11" s="242" t="str">
        <f>IF(Sheet1!L24="","",Sheet1!L24)</f>
        <v/>
      </c>
      <c r="M11" s="242" t="str">
        <f>IF(Sheet1!M24="","",Sheet1!M24)</f>
        <v/>
      </c>
      <c r="N11" s="242" t="str">
        <f>IF(Sheet1!N24="","",Sheet1!N24)</f>
        <v/>
      </c>
      <c r="O11" s="242" t="str">
        <f>IF(Sheet1!O24="","",Sheet1!O24)</f>
        <v/>
      </c>
      <c r="P11" s="242" t="str">
        <f>IF(Sheet1!P24="","",Sheet1!P24)</f>
        <v/>
      </c>
      <c r="Q11" s="242" t="str">
        <f>IF(Sheet1!Q24="","",Sheet1!Q24)</f>
        <v/>
      </c>
      <c r="R11" s="242" t="str">
        <f>IF(Sheet1!R24="","",Sheet1!R24)</f>
        <v/>
      </c>
      <c r="S11" s="242" t="str">
        <f>IF(Sheet1!S24="","",Sheet1!S24)</f>
        <v/>
      </c>
    </row>
    <row r="12" spans="1:21">
      <c r="B12" t="s">
        <v>197</v>
      </c>
      <c r="D12" t="s">
        <v>1269</v>
      </c>
      <c r="E12" s="242">
        <f>IF(Sheet1!E25="","",Sheet1!E25)</f>
        <v>6.6900000000000001E-2</v>
      </c>
      <c r="F12" s="242" t="str">
        <f>IF(Sheet1!F25="","",Sheet1!F25)</f>
        <v/>
      </c>
      <c r="G12" s="242" t="str">
        <f>IF(Sheet1!G25="","",Sheet1!G25)</f>
        <v/>
      </c>
      <c r="H12" s="242" t="str">
        <f>IF(Sheet1!H25="","",Sheet1!H25)</f>
        <v/>
      </c>
      <c r="I12" s="242" t="str">
        <f>IF(Sheet1!I25="","",Sheet1!I25)</f>
        <v/>
      </c>
      <c r="J12" s="242" t="str">
        <f>IF(Sheet1!J25="","",Sheet1!J25)</f>
        <v/>
      </c>
      <c r="K12" s="242" t="str">
        <f>IF(Sheet1!K25="","",Sheet1!K25)</f>
        <v/>
      </c>
      <c r="L12" s="242" t="str">
        <f>IF(Sheet1!L25="","",Sheet1!L25)</f>
        <v/>
      </c>
      <c r="M12" s="242" t="str">
        <f>IF(Sheet1!M25="","",Sheet1!M25)</f>
        <v/>
      </c>
      <c r="N12" s="242" t="str">
        <f>IF(Sheet1!N25="","",Sheet1!N25)</f>
        <v/>
      </c>
      <c r="O12" s="242" t="str">
        <f>IF(Sheet1!O25="","",Sheet1!O25)</f>
        <v/>
      </c>
      <c r="P12" s="242" t="str">
        <f>IF(Sheet1!P25="","",Sheet1!P25)</f>
        <v/>
      </c>
      <c r="Q12" s="242" t="str">
        <f>IF(Sheet1!Q25="","",Sheet1!Q25)</f>
        <v/>
      </c>
      <c r="R12" s="242" t="str">
        <f>IF(Sheet1!R25="","",Sheet1!R25)</f>
        <v/>
      </c>
      <c r="S12" s="242" t="str">
        <f>IF(Sheet1!S25="","",Sheet1!S25)</f>
        <v/>
      </c>
    </row>
    <row r="13" spans="1:21">
      <c r="B13" t="s">
        <v>199</v>
      </c>
      <c r="D13" t="s">
        <v>1270</v>
      </c>
      <c r="E13" s="242">
        <f>IF(Sheet1!E26="","",Sheet1!E26)</f>
        <v>0.75880000000000003</v>
      </c>
      <c r="F13" s="242" t="str">
        <f>IF(Sheet1!F26="","",Sheet1!F26)</f>
        <v/>
      </c>
      <c r="G13" s="242" t="str">
        <f>IF(Sheet1!G26="","",Sheet1!G26)</f>
        <v/>
      </c>
      <c r="H13" s="242" t="str">
        <f>IF(Sheet1!H26="","",Sheet1!H26)</f>
        <v/>
      </c>
      <c r="I13" s="242" t="str">
        <f>IF(Sheet1!I26="","",Sheet1!I26)</f>
        <v/>
      </c>
      <c r="J13" s="242" t="str">
        <f>IF(Sheet1!J26="","",Sheet1!J26)</f>
        <v/>
      </c>
      <c r="K13" s="242" t="str">
        <f>IF(Sheet1!K26="","",Sheet1!K26)</f>
        <v/>
      </c>
      <c r="L13" s="242" t="str">
        <f>IF(Sheet1!L26="","",Sheet1!L26)</f>
        <v/>
      </c>
      <c r="M13" s="242" t="str">
        <f>IF(Sheet1!M26="","",Sheet1!M26)</f>
        <v/>
      </c>
      <c r="N13" s="242" t="str">
        <f>IF(Sheet1!N26="","",Sheet1!N26)</f>
        <v/>
      </c>
      <c r="O13" s="242" t="str">
        <f>IF(Sheet1!O26="","",Sheet1!O26)</f>
        <v/>
      </c>
      <c r="P13" s="242" t="str">
        <f>IF(Sheet1!P26="","",Sheet1!P26)</f>
        <v/>
      </c>
      <c r="Q13" s="242" t="str">
        <f>IF(Sheet1!Q26="","",Sheet1!Q26)</f>
        <v/>
      </c>
      <c r="R13" s="242" t="str">
        <f>IF(Sheet1!R26="","",Sheet1!R26)</f>
        <v/>
      </c>
      <c r="S13" s="242" t="str">
        <f>IF(Sheet1!S26="","",Sheet1!S26)</f>
        <v/>
      </c>
    </row>
    <row r="14" spans="1:21">
      <c r="B14" t="s">
        <v>202</v>
      </c>
      <c r="D14" t="s">
        <v>1271</v>
      </c>
      <c r="E14" s="242">
        <f>IF(Sheet1!E27="","",Sheet1!E27)</f>
        <v>0</v>
      </c>
      <c r="F14" s="242" t="str">
        <f>IF(Sheet1!F27="","",Sheet1!F27)</f>
        <v/>
      </c>
      <c r="G14" s="242" t="str">
        <f>IF(Sheet1!G27="","",Sheet1!G27)</f>
        <v/>
      </c>
      <c r="H14" s="242" t="str">
        <f>IF(Sheet1!H27="","",Sheet1!H27)</f>
        <v/>
      </c>
      <c r="I14" s="242" t="str">
        <f>IF(Sheet1!I27="","",Sheet1!I27)</f>
        <v/>
      </c>
      <c r="J14" s="242" t="str">
        <f>IF(Sheet1!J27="","",Sheet1!J27)</f>
        <v/>
      </c>
      <c r="K14" s="242" t="str">
        <f>IF(Sheet1!K27="","",Sheet1!K27)</f>
        <v/>
      </c>
      <c r="L14" s="242" t="str">
        <f>IF(Sheet1!L27="","",Sheet1!L27)</f>
        <v/>
      </c>
      <c r="M14" s="242" t="str">
        <f>IF(Sheet1!M27="","",Sheet1!M27)</f>
        <v/>
      </c>
      <c r="N14" s="242" t="str">
        <f>IF(Sheet1!N27="","",Sheet1!N27)</f>
        <v/>
      </c>
      <c r="O14" s="242" t="str">
        <f>IF(Sheet1!O27="","",Sheet1!O27)</f>
        <v/>
      </c>
      <c r="P14" s="242" t="str">
        <f>IF(Sheet1!P27="","",Sheet1!P27)</f>
        <v/>
      </c>
      <c r="Q14" s="242" t="str">
        <f>IF(Sheet1!Q27="","",Sheet1!Q27)</f>
        <v/>
      </c>
      <c r="R14" s="242" t="str">
        <f>IF(Sheet1!R27="","",Sheet1!R27)</f>
        <v/>
      </c>
      <c r="S14" s="242" t="str">
        <f>IF(Sheet1!S27="","",Sheet1!S27)</f>
        <v/>
      </c>
    </row>
    <row r="15" spans="1:21">
      <c r="B15" t="s">
        <v>205</v>
      </c>
      <c r="D15" t="s">
        <v>1272</v>
      </c>
      <c r="E15" s="242">
        <f>IF(Sheet1!E29="","",Sheet1!E29)</f>
        <v>0.33333333333333298</v>
      </c>
      <c r="F15" s="242" t="str">
        <f>IF(Sheet1!F29="","",Sheet1!F29)</f>
        <v/>
      </c>
      <c r="G15" s="242" t="str">
        <f>IF(Sheet1!G29="","",Sheet1!G29)</f>
        <v/>
      </c>
      <c r="H15" s="242" t="str">
        <f>IF(Sheet1!H29="","",Sheet1!H29)</f>
        <v/>
      </c>
      <c r="I15" s="242" t="str">
        <f>IF(Sheet1!I29="","",Sheet1!I29)</f>
        <v/>
      </c>
      <c r="J15" s="242" t="str">
        <f>IF(Sheet1!J29="","",Sheet1!J29)</f>
        <v/>
      </c>
      <c r="K15" s="242" t="str">
        <f>IF(Sheet1!K29="","",Sheet1!K29)</f>
        <v/>
      </c>
      <c r="L15" s="242" t="str">
        <f>IF(Sheet1!L29="","",Sheet1!L29)</f>
        <v/>
      </c>
      <c r="M15" s="242" t="str">
        <f>IF(Sheet1!M29="","",Sheet1!M29)</f>
        <v/>
      </c>
      <c r="N15" s="242" t="str">
        <f>IF(Sheet1!N29="","",Sheet1!N29)</f>
        <v/>
      </c>
      <c r="O15" s="242" t="str">
        <f>IF(Sheet1!O29="","",Sheet1!O29)</f>
        <v/>
      </c>
      <c r="P15" s="242" t="str">
        <f>IF(Sheet1!P29="","",Sheet1!P29)</f>
        <v/>
      </c>
      <c r="Q15" s="242" t="str">
        <f>IF(Sheet1!Q29="","",Sheet1!Q29)</f>
        <v/>
      </c>
      <c r="R15" s="242" t="str">
        <f>IF(Sheet1!R29="","",Sheet1!R29)</f>
        <v/>
      </c>
      <c r="S15" s="242" t="str">
        <f>IF(Sheet1!S29="","",Sheet1!S29)</f>
        <v/>
      </c>
    </row>
    <row r="16" spans="1:21">
      <c r="B16" t="s">
        <v>1273</v>
      </c>
      <c r="D16" t="s">
        <v>1274</v>
      </c>
      <c r="E16" s="242">
        <f>IF(Sheet1!E30="","",Sheet1!E30)</f>
        <v>0.04</v>
      </c>
      <c r="F16" s="242">
        <f>IF(Sheet1!F30="","",Sheet1!F30)</f>
        <v>4.4999999999999998E-2</v>
      </c>
      <c r="G16" s="242">
        <f>IF(Sheet1!G30="","",Sheet1!G30)</f>
        <v>0.05</v>
      </c>
      <c r="H16" s="242" t="str">
        <f>IF(Sheet1!H30="","",Sheet1!H30)</f>
        <v/>
      </c>
      <c r="I16" s="242" t="str">
        <f>IF(Sheet1!I30="","",Sheet1!I30)</f>
        <v/>
      </c>
      <c r="J16" s="242" t="str">
        <f>IF(Sheet1!J30="","",Sheet1!J30)</f>
        <v/>
      </c>
      <c r="K16" s="242" t="str">
        <f>IF(Sheet1!K30="","",Sheet1!K30)</f>
        <v/>
      </c>
      <c r="L16" s="242" t="str">
        <f>IF(Sheet1!L30="","",Sheet1!L30)</f>
        <v/>
      </c>
      <c r="M16" s="242" t="str">
        <f>IF(Sheet1!M30="","",Sheet1!M30)</f>
        <v/>
      </c>
      <c r="N16" s="242" t="str">
        <f>IF(Sheet1!N30="","",Sheet1!N30)</f>
        <v/>
      </c>
      <c r="O16" s="242" t="str">
        <f>IF(Sheet1!O30="","",Sheet1!O30)</f>
        <v/>
      </c>
      <c r="P16" s="242" t="str">
        <f>IF(Sheet1!P30="","",Sheet1!P30)</f>
        <v/>
      </c>
      <c r="Q16" s="242" t="str">
        <f>IF(Sheet1!Q30="","",Sheet1!Q30)</f>
        <v/>
      </c>
      <c r="R16" s="242" t="str">
        <f>IF(Sheet1!R30="","",Sheet1!R30)</f>
        <v/>
      </c>
      <c r="S16" s="242" t="str">
        <f>IF(Sheet1!S30="","",Sheet1!S30)</f>
        <v/>
      </c>
    </row>
    <row r="17" spans="2:19">
      <c r="B17" t="s">
        <v>208</v>
      </c>
      <c r="D17" t="s">
        <v>1275</v>
      </c>
      <c r="E17" s="242">
        <f>IF(Sheet1!E31="","",Sheet1!E31)</f>
        <v>4.4999999999999998E-2</v>
      </c>
      <c r="F17" s="242" t="str">
        <f>IF(Sheet1!F31="","",Sheet1!F31)</f>
        <v/>
      </c>
      <c r="G17" s="242" t="str">
        <f>IF(Sheet1!G31="","",Sheet1!G31)</f>
        <v/>
      </c>
      <c r="H17" s="242" t="str">
        <f>IF(Sheet1!H31="","",Sheet1!H31)</f>
        <v/>
      </c>
      <c r="I17" s="242" t="str">
        <f>IF(Sheet1!I31="","",Sheet1!I31)</f>
        <v/>
      </c>
      <c r="J17" s="242" t="str">
        <f>IF(Sheet1!J31="","",Sheet1!J31)</f>
        <v/>
      </c>
      <c r="K17" s="242" t="str">
        <f>IF(Sheet1!K31="","",Sheet1!K31)</f>
        <v/>
      </c>
      <c r="L17" s="242" t="str">
        <f>IF(Sheet1!L31="","",Sheet1!L31)</f>
        <v/>
      </c>
      <c r="M17" s="242" t="str">
        <f>IF(Sheet1!M31="","",Sheet1!M31)</f>
        <v/>
      </c>
      <c r="N17" s="242" t="str">
        <f>IF(Sheet1!N31="","",Sheet1!N31)</f>
        <v/>
      </c>
      <c r="O17" s="242" t="str">
        <f>IF(Sheet1!O31="","",Sheet1!O31)</f>
        <v/>
      </c>
      <c r="P17" s="242" t="str">
        <f>IF(Sheet1!P31="","",Sheet1!P31)</f>
        <v/>
      </c>
      <c r="Q17" s="242" t="str">
        <f>IF(Sheet1!Q31="","",Sheet1!Q31)</f>
        <v/>
      </c>
      <c r="R17" s="242" t="str">
        <f>IF(Sheet1!R31="","",Sheet1!R31)</f>
        <v/>
      </c>
      <c r="S17" s="242" t="str">
        <f>IF(Sheet1!S31="","",Sheet1!S31)</f>
        <v/>
      </c>
    </row>
    <row r="18" spans="2:19">
      <c r="B18" t="s">
        <v>1276</v>
      </c>
      <c r="D18" t="s">
        <v>1277</v>
      </c>
      <c r="E18" s="242">
        <f>IF(Sheet1!E32="","",Sheet1!E32)</f>
        <v>0</v>
      </c>
      <c r="F18" s="242">
        <f>IF(Sheet1!F32="","",Sheet1!F32)</f>
        <v>0</v>
      </c>
      <c r="G18" s="242">
        <f>IF(Sheet1!G32="","",Sheet1!G32)</f>
        <v>0</v>
      </c>
      <c r="H18" s="242" t="str">
        <f>IF(Sheet1!H32="","",Sheet1!H32)</f>
        <v/>
      </c>
      <c r="I18" s="242" t="str">
        <f>IF(Sheet1!I32="","",Sheet1!I32)</f>
        <v/>
      </c>
      <c r="J18" s="242" t="str">
        <f>IF(Sheet1!J32="","",Sheet1!J32)</f>
        <v/>
      </c>
      <c r="K18" s="242" t="str">
        <f>IF(Sheet1!K32="","",Sheet1!K32)</f>
        <v/>
      </c>
      <c r="L18" s="242" t="str">
        <f>IF(Sheet1!L32="","",Sheet1!L32)</f>
        <v/>
      </c>
      <c r="M18" s="242" t="str">
        <f>IF(Sheet1!M32="","",Sheet1!M32)</f>
        <v/>
      </c>
      <c r="N18" s="242" t="str">
        <f>IF(Sheet1!N32="","",Sheet1!N32)</f>
        <v/>
      </c>
      <c r="O18" s="242" t="str">
        <f>IF(Sheet1!O32="","",Sheet1!O32)</f>
        <v/>
      </c>
      <c r="P18" s="242" t="str">
        <f>IF(Sheet1!P32="","",Sheet1!P32)</f>
        <v/>
      </c>
      <c r="Q18" s="242" t="str">
        <f>IF(Sheet1!Q32="","",Sheet1!Q32)</f>
        <v/>
      </c>
      <c r="R18" s="242" t="str">
        <f>IF(Sheet1!R32="","",Sheet1!R32)</f>
        <v/>
      </c>
      <c r="S18" s="242" t="str">
        <f>IF(Sheet1!S32="","",Sheet1!S32)</f>
        <v/>
      </c>
    </row>
    <row r="19" spans="2:19">
      <c r="B19" t="s">
        <v>211</v>
      </c>
      <c r="D19" t="s">
        <v>1278</v>
      </c>
      <c r="E19" s="242">
        <f>IF(Sheet1!E33="","",Sheet1!E33)</f>
        <v>0</v>
      </c>
      <c r="F19" s="242" t="str">
        <f>IF(Sheet1!F33="","",Sheet1!F33)</f>
        <v/>
      </c>
      <c r="G19" s="242" t="str">
        <f>IF(Sheet1!G33="","",Sheet1!G33)</f>
        <v/>
      </c>
      <c r="H19" s="242" t="str">
        <f>IF(Sheet1!H33="","",Sheet1!H33)</f>
        <v/>
      </c>
      <c r="I19" s="242" t="str">
        <f>IF(Sheet1!I33="","",Sheet1!I33)</f>
        <v/>
      </c>
      <c r="J19" s="242" t="str">
        <f>IF(Sheet1!J33="","",Sheet1!J33)</f>
        <v/>
      </c>
      <c r="K19" s="242" t="str">
        <f>IF(Sheet1!K33="","",Sheet1!K33)</f>
        <v/>
      </c>
      <c r="L19" s="242" t="str">
        <f>IF(Sheet1!L33="","",Sheet1!L33)</f>
        <v/>
      </c>
      <c r="M19" s="242" t="str">
        <f>IF(Sheet1!M33="","",Sheet1!M33)</f>
        <v/>
      </c>
      <c r="N19" s="242" t="str">
        <f>IF(Sheet1!N33="","",Sheet1!N33)</f>
        <v/>
      </c>
      <c r="O19" s="242" t="str">
        <f>IF(Sheet1!O33="","",Sheet1!O33)</f>
        <v/>
      </c>
      <c r="P19" s="242" t="str">
        <f>IF(Sheet1!P33="","",Sheet1!P33)</f>
        <v/>
      </c>
      <c r="Q19" s="242" t="str">
        <f>IF(Sheet1!Q33="","",Sheet1!Q33)</f>
        <v/>
      </c>
      <c r="R19" s="242" t="str">
        <f>IF(Sheet1!R33="","",Sheet1!R33)</f>
        <v/>
      </c>
      <c r="S19" s="242" t="str">
        <f>IF(Sheet1!S33="","",Sheet1!S33)</f>
        <v/>
      </c>
    </row>
    <row r="20" spans="2:19">
      <c r="B20" t="s">
        <v>213</v>
      </c>
      <c r="D20" t="s">
        <v>1242</v>
      </c>
      <c r="E20" s="242">
        <f>IF(Sheet1!E35="","",Sheet1!E35)</f>
        <v>0.2</v>
      </c>
      <c r="F20" s="242" t="str">
        <f>IF(Sheet1!F35="","",Sheet1!F35)</f>
        <v/>
      </c>
      <c r="G20" s="242" t="str">
        <f>IF(Sheet1!G35="","",Sheet1!G35)</f>
        <v/>
      </c>
      <c r="H20" s="242" t="str">
        <f>IF(Sheet1!H35="","",Sheet1!H35)</f>
        <v/>
      </c>
      <c r="I20" s="242" t="str">
        <f>IF(Sheet1!I35="","",Sheet1!I35)</f>
        <v/>
      </c>
      <c r="J20" s="242" t="str">
        <f>IF(Sheet1!J35="","",Sheet1!J35)</f>
        <v/>
      </c>
      <c r="K20" s="242" t="str">
        <f>IF(Sheet1!K35="","",Sheet1!K35)</f>
        <v/>
      </c>
      <c r="L20" s="242" t="str">
        <f>IF(Sheet1!L35="","",Sheet1!L35)</f>
        <v/>
      </c>
      <c r="M20" s="242" t="str">
        <f>IF(Sheet1!M35="","",Sheet1!M35)</f>
        <v/>
      </c>
      <c r="N20" s="242" t="str">
        <f>IF(Sheet1!N35="","",Sheet1!N35)</f>
        <v/>
      </c>
      <c r="O20" s="242" t="str">
        <f>IF(Sheet1!O35="","",Sheet1!O35)</f>
        <v/>
      </c>
      <c r="P20" s="242" t="str">
        <f>IF(Sheet1!P35="","",Sheet1!P35)</f>
        <v/>
      </c>
      <c r="Q20" s="242" t="str">
        <f>IF(Sheet1!Q35="","",Sheet1!Q35)</f>
        <v/>
      </c>
      <c r="R20" s="242" t="str">
        <f>IF(Sheet1!R35="","",Sheet1!R35)</f>
        <v/>
      </c>
      <c r="S20" s="242" t="str">
        <f>IF(Sheet1!S35="","",Sheet1!S35)</f>
        <v/>
      </c>
    </row>
    <row r="21" spans="2:19">
      <c r="B21" t="s">
        <v>215</v>
      </c>
      <c r="D21" t="s">
        <v>1279</v>
      </c>
      <c r="E21" s="242">
        <f>IF(Sheet1!E36="","",Sheet1!E36)</f>
        <v>0.13489999999999999</v>
      </c>
      <c r="F21" s="242" t="str">
        <f>IF(Sheet1!F36="","",Sheet1!F36)</f>
        <v/>
      </c>
      <c r="G21" s="242" t="str">
        <f>IF(Sheet1!G36="","",Sheet1!G36)</f>
        <v/>
      </c>
      <c r="H21" s="242" t="str">
        <f>IF(Sheet1!H36="","",Sheet1!H36)</f>
        <v/>
      </c>
      <c r="I21" s="242" t="str">
        <f>IF(Sheet1!I36="","",Sheet1!I36)</f>
        <v/>
      </c>
      <c r="J21" s="242" t="str">
        <f>IF(Sheet1!J36="","",Sheet1!J36)</f>
        <v/>
      </c>
      <c r="K21" s="242" t="str">
        <f>IF(Sheet1!K36="","",Sheet1!K36)</f>
        <v/>
      </c>
      <c r="L21" s="242" t="str">
        <f>IF(Sheet1!L36="","",Sheet1!L36)</f>
        <v/>
      </c>
      <c r="M21" s="242" t="str">
        <f>IF(Sheet1!M36="","",Sheet1!M36)</f>
        <v/>
      </c>
      <c r="N21" s="242" t="str">
        <f>IF(Sheet1!N36="","",Sheet1!N36)</f>
        <v/>
      </c>
      <c r="O21" s="242" t="str">
        <f>IF(Sheet1!O36="","",Sheet1!O36)</f>
        <v/>
      </c>
      <c r="P21" s="242" t="str">
        <f>IF(Sheet1!P36="","",Sheet1!P36)</f>
        <v/>
      </c>
      <c r="Q21" s="242" t="str">
        <f>IF(Sheet1!Q36="","",Sheet1!Q36)</f>
        <v/>
      </c>
      <c r="R21" s="242" t="str">
        <f>IF(Sheet1!R36="","",Sheet1!R36)</f>
        <v/>
      </c>
      <c r="S21" s="242" t="str">
        <f>IF(Sheet1!S36="","",Sheet1!S36)</f>
        <v/>
      </c>
    </row>
    <row r="22" spans="2:19">
      <c r="B22" t="s">
        <v>217</v>
      </c>
      <c r="D22" t="s">
        <v>1280</v>
      </c>
      <c r="E22" s="242">
        <f>IF(Sheet1!E37="","",Sheet1!E37)</f>
        <v>0.92</v>
      </c>
      <c r="F22" s="242" t="str">
        <f>IF(Sheet1!F37="","",Sheet1!F37)</f>
        <v/>
      </c>
      <c r="G22" s="242" t="str">
        <f>IF(Sheet1!G37="","",Sheet1!G37)</f>
        <v/>
      </c>
      <c r="H22" s="242" t="str">
        <f>IF(Sheet1!H37="","",Sheet1!H37)</f>
        <v/>
      </c>
      <c r="I22" s="242" t="str">
        <f>IF(Sheet1!I37="","",Sheet1!I37)</f>
        <v/>
      </c>
      <c r="J22" s="242" t="str">
        <f>IF(Sheet1!J37="","",Sheet1!J37)</f>
        <v/>
      </c>
      <c r="K22" s="242" t="str">
        <f>IF(Sheet1!K37="","",Sheet1!K37)</f>
        <v/>
      </c>
      <c r="L22" s="242" t="str">
        <f>IF(Sheet1!L37="","",Sheet1!L37)</f>
        <v/>
      </c>
      <c r="M22" s="242" t="str">
        <f>IF(Sheet1!M37="","",Sheet1!M37)</f>
        <v/>
      </c>
      <c r="N22" s="242" t="str">
        <f>IF(Sheet1!N37="","",Sheet1!N37)</f>
        <v/>
      </c>
      <c r="O22" s="242" t="str">
        <f>IF(Sheet1!O37="","",Sheet1!O37)</f>
        <v/>
      </c>
      <c r="P22" s="242" t="str">
        <f>IF(Sheet1!P37="","",Sheet1!P37)</f>
        <v/>
      </c>
      <c r="Q22" s="242" t="str">
        <f>IF(Sheet1!Q37="","",Sheet1!Q37)</f>
        <v/>
      </c>
      <c r="R22" s="242" t="str">
        <f>IF(Sheet1!R37="","",Sheet1!R37)</f>
        <v/>
      </c>
      <c r="S22" s="242" t="str">
        <f>IF(Sheet1!S37="","",Sheet1!S37)</f>
        <v/>
      </c>
    </row>
    <row r="23" spans="2:19">
      <c r="B23" t="s">
        <v>218</v>
      </c>
      <c r="D23" t="s">
        <v>1281</v>
      </c>
      <c r="E23" s="242">
        <f>IF(Sheet1!E38="","",Sheet1!E38)</f>
        <v>7.4999999999999997E-2</v>
      </c>
      <c r="F23" s="242" t="str">
        <f>IF(Sheet1!F38="","",Sheet1!F38)</f>
        <v/>
      </c>
      <c r="G23" s="242" t="str">
        <f>IF(Sheet1!G38="","",Sheet1!G38)</f>
        <v/>
      </c>
      <c r="H23" s="242" t="str">
        <f>IF(Sheet1!H38="","",Sheet1!H38)</f>
        <v/>
      </c>
      <c r="I23" s="242" t="str">
        <f>IF(Sheet1!I38="","",Sheet1!I38)</f>
        <v/>
      </c>
      <c r="J23" s="242" t="str">
        <f>IF(Sheet1!J38="","",Sheet1!J38)</f>
        <v/>
      </c>
      <c r="K23" s="242" t="str">
        <f>IF(Sheet1!K38="","",Sheet1!K38)</f>
        <v/>
      </c>
      <c r="L23" s="242" t="str">
        <f>IF(Sheet1!L38="","",Sheet1!L38)</f>
        <v/>
      </c>
      <c r="M23" s="242" t="str">
        <f>IF(Sheet1!M38="","",Sheet1!M38)</f>
        <v/>
      </c>
      <c r="N23" s="242" t="str">
        <f>IF(Sheet1!N38="","",Sheet1!N38)</f>
        <v/>
      </c>
      <c r="O23" s="242" t="str">
        <f>IF(Sheet1!O38="","",Sheet1!O38)</f>
        <v/>
      </c>
      <c r="P23" s="242" t="str">
        <f>IF(Sheet1!P38="","",Sheet1!P38)</f>
        <v/>
      </c>
      <c r="Q23" s="242" t="str">
        <f>IF(Sheet1!Q38="","",Sheet1!Q38)</f>
        <v/>
      </c>
      <c r="R23" s="242" t="str">
        <f>IF(Sheet1!R38="","",Sheet1!R38)</f>
        <v/>
      </c>
      <c r="S23" s="242" t="str">
        <f>IF(Sheet1!S38="","",Sheet1!S38)</f>
        <v/>
      </c>
    </row>
    <row r="24" spans="2:19">
      <c r="B24" t="s">
        <v>1282</v>
      </c>
      <c r="D24" t="s">
        <v>1283</v>
      </c>
      <c r="E24" s="242">
        <f>IF(Sheet1!E39="","",Sheet1!E39)</f>
        <v>0</v>
      </c>
      <c r="F24" s="242">
        <f>IF(Sheet1!F39="","",Sheet1!F39)</f>
        <v>0.02</v>
      </c>
      <c r="G24" s="242">
        <f>IF(Sheet1!G39="","",Sheet1!G39)</f>
        <v>0.04</v>
      </c>
      <c r="H24" s="242" t="str">
        <f>IF(Sheet1!H39="","",Sheet1!H39)</f>
        <v/>
      </c>
      <c r="I24" s="242" t="str">
        <f>IF(Sheet1!I39="","",Sheet1!I39)</f>
        <v/>
      </c>
      <c r="J24" s="242" t="str">
        <f>IF(Sheet1!J39="","",Sheet1!J39)</f>
        <v/>
      </c>
      <c r="K24" s="242" t="str">
        <f>IF(Sheet1!K39="","",Sheet1!K39)</f>
        <v/>
      </c>
      <c r="L24" s="242" t="str">
        <f>IF(Sheet1!L39="","",Sheet1!L39)</f>
        <v/>
      </c>
      <c r="M24" s="242" t="str">
        <f>IF(Sheet1!M39="","",Sheet1!M39)</f>
        <v/>
      </c>
      <c r="N24" s="242" t="str">
        <f>IF(Sheet1!N39="","",Sheet1!N39)</f>
        <v/>
      </c>
      <c r="O24" s="242" t="str">
        <f>IF(Sheet1!O39="","",Sheet1!O39)</f>
        <v/>
      </c>
      <c r="P24" s="242" t="str">
        <f>IF(Sheet1!P39="","",Sheet1!P39)</f>
        <v/>
      </c>
      <c r="Q24" s="242" t="str">
        <f>IF(Sheet1!Q39="","",Sheet1!Q39)</f>
        <v/>
      </c>
      <c r="R24" s="242" t="str">
        <f>IF(Sheet1!R39="","",Sheet1!R39)</f>
        <v/>
      </c>
      <c r="S24" s="242" t="str">
        <f>IF(Sheet1!S39="","",Sheet1!S39)</f>
        <v/>
      </c>
    </row>
    <row r="25" spans="2:19">
      <c r="B25" t="s">
        <v>343</v>
      </c>
      <c r="D25" t="s">
        <v>1284</v>
      </c>
      <c r="E25" s="242">
        <f>IF(Sheet1!E133="","",Sheet1!E133)</f>
        <v>1</v>
      </c>
      <c r="F25" s="242" t="str">
        <f>IF(Sheet1!F133="","",Sheet1!F133)</f>
        <v/>
      </c>
      <c r="G25" s="242" t="str">
        <f>IF(Sheet1!G133="","",Sheet1!G133)</f>
        <v/>
      </c>
      <c r="H25" s="242" t="str">
        <f>IF(Sheet1!H133="","",Sheet1!H133)</f>
        <v/>
      </c>
      <c r="I25" s="242" t="str">
        <f>IF(Sheet1!I133="","",Sheet1!I133)</f>
        <v/>
      </c>
      <c r="J25" s="242" t="str">
        <f>IF(Sheet1!J133="","",Sheet1!J133)</f>
        <v/>
      </c>
      <c r="K25" s="242" t="str">
        <f>IF(Sheet1!K133="","",Sheet1!K133)</f>
        <v/>
      </c>
      <c r="L25" s="242" t="str">
        <f>IF(Sheet1!L133="","",Sheet1!L133)</f>
        <v/>
      </c>
      <c r="M25" s="242" t="str">
        <f>IF(Sheet1!M133="","",Sheet1!M133)</f>
        <v/>
      </c>
      <c r="N25" s="242" t="str">
        <f>IF(Sheet1!N133="","",Sheet1!N133)</f>
        <v/>
      </c>
      <c r="O25" s="242" t="str">
        <f>IF(Sheet1!O133="","",Sheet1!O133)</f>
        <v/>
      </c>
      <c r="P25" s="242" t="str">
        <f>IF(Sheet1!P133="","",Sheet1!P133)</f>
        <v/>
      </c>
      <c r="Q25" s="242" t="str">
        <f>IF(Sheet1!Q133="","",Sheet1!Q133)</f>
        <v/>
      </c>
      <c r="R25" s="242" t="str">
        <f>IF(Sheet1!R133="","",Sheet1!R133)</f>
        <v/>
      </c>
      <c r="S25" s="242" t="str">
        <f>IF(Sheet1!S133="","",Sheet1!S133)</f>
        <v/>
      </c>
    </row>
    <row r="26" spans="2:19">
      <c r="B26" t="s">
        <v>346</v>
      </c>
      <c r="D26" t="s">
        <v>1285</v>
      </c>
      <c r="E26" s="242" t="str">
        <f>IF(Sheet1!E134="","",Sheet1!E134)</f>
        <v/>
      </c>
      <c r="F26" s="242" t="str">
        <f>IF(Sheet1!F134="","",Sheet1!F134)</f>
        <v/>
      </c>
      <c r="G26" s="242" t="str">
        <f>IF(Sheet1!G134="","",Sheet1!G134)</f>
        <v/>
      </c>
      <c r="H26" s="242" t="str">
        <f>IF(Sheet1!H134="","",Sheet1!H134)</f>
        <v/>
      </c>
      <c r="I26" s="242" t="str">
        <f>IF(Sheet1!I134="","",Sheet1!I134)</f>
        <v/>
      </c>
      <c r="J26" s="242">
        <f>IF(Sheet1!J134="","",Sheet1!J134)</f>
        <v>0</v>
      </c>
      <c r="K26" s="242">
        <f>IF(Sheet1!K134="","",Sheet1!K134)</f>
        <v>6800</v>
      </c>
      <c r="L26" s="242">
        <f>IF(Sheet1!L134="","",Sheet1!L134)</f>
        <v>0</v>
      </c>
      <c r="M26" s="242">
        <f>IF(Sheet1!M134="","",Sheet1!M134)</f>
        <v>0</v>
      </c>
      <c r="N26" s="242">
        <f>IF(Sheet1!N134="","",Sheet1!N134)</f>
        <v>0</v>
      </c>
      <c r="O26" s="242">
        <f>IF(Sheet1!O134="","",Sheet1!O134)</f>
        <v>0</v>
      </c>
      <c r="P26" s="242">
        <f>IF(Sheet1!P134="","",Sheet1!P134)</f>
        <v>0</v>
      </c>
      <c r="Q26" s="242">
        <f>IF(Sheet1!Q134="","",Sheet1!Q134)</f>
        <v>0</v>
      </c>
      <c r="R26" s="242">
        <f>IF(Sheet1!R134="","",Sheet1!R134)</f>
        <v>0</v>
      </c>
      <c r="S26" s="242">
        <f>IF(Sheet1!S134="","",Sheet1!S134)</f>
        <v>0</v>
      </c>
    </row>
    <row r="27" spans="2:19">
      <c r="B27" t="s">
        <v>348</v>
      </c>
      <c r="D27" t="s">
        <v>1286</v>
      </c>
      <c r="E27" s="242">
        <f>IF(Sheet1!E135="","",Sheet1!E135)</f>
        <v>940</v>
      </c>
      <c r="F27" s="242" t="str">
        <f>IF(Sheet1!F135="","",Sheet1!F135)</f>
        <v/>
      </c>
      <c r="G27" s="242" t="str">
        <f>IF(Sheet1!G135="","",Sheet1!G135)</f>
        <v/>
      </c>
      <c r="H27" s="242" t="str">
        <f>IF(Sheet1!H135="","",Sheet1!H135)</f>
        <v/>
      </c>
      <c r="I27" s="242" t="str">
        <f>IF(Sheet1!I135="","",Sheet1!I135)</f>
        <v/>
      </c>
      <c r="J27" s="242" t="str">
        <f>IF(Sheet1!J135="","",Sheet1!J135)</f>
        <v/>
      </c>
      <c r="K27" s="242" t="str">
        <f>IF(Sheet1!K135="","",Sheet1!K135)</f>
        <v/>
      </c>
      <c r="L27" s="242" t="str">
        <f>IF(Sheet1!L135="","",Sheet1!L135)</f>
        <v/>
      </c>
      <c r="M27" s="242" t="str">
        <f>IF(Sheet1!M135="","",Sheet1!M135)</f>
        <v/>
      </c>
      <c r="N27" s="242" t="str">
        <f>IF(Sheet1!N135="","",Sheet1!N135)</f>
        <v/>
      </c>
      <c r="O27" s="242" t="str">
        <f>IF(Sheet1!O135="","",Sheet1!O135)</f>
        <v/>
      </c>
      <c r="P27" s="242" t="str">
        <f>IF(Sheet1!P135="","",Sheet1!P135)</f>
        <v/>
      </c>
      <c r="Q27" s="242" t="str">
        <f>IF(Sheet1!Q135="","",Sheet1!Q135)</f>
        <v/>
      </c>
      <c r="R27" s="242" t="str">
        <f>IF(Sheet1!R135="","",Sheet1!R135)</f>
        <v/>
      </c>
      <c r="S27" s="242" t="str">
        <f>IF(Sheet1!S135="","",Sheet1!S135)</f>
        <v/>
      </c>
    </row>
    <row r="28" spans="2:19">
      <c r="E28" s="242"/>
      <c r="F28" s="242"/>
      <c r="G28" s="242"/>
      <c r="H28" s="242"/>
      <c r="I28" s="242"/>
      <c r="J28" s="242"/>
      <c r="K28" s="242"/>
      <c r="L28" s="242"/>
      <c r="M28" s="242"/>
      <c r="N28" s="242"/>
      <c r="O28" s="242"/>
      <c r="P28" s="242"/>
      <c r="Q28" s="242"/>
      <c r="R28" s="242"/>
      <c r="S28" s="242"/>
    </row>
  </sheetData>
  <mergeCells count="3">
    <mergeCell ref="A1:U2"/>
    <mergeCell ref="A3:U3"/>
    <mergeCell ref="B6:S6"/>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73"/>
  <sheetViews>
    <sheetView workbookViewId="0">
      <pane ySplit="5" topLeftCell="A6" activePane="bottomLeft" state="frozen"/>
      <selection pane="bottomLeft"/>
    </sheetView>
  </sheetViews>
  <sheetFormatPr defaultRowHeight="12.75"/>
  <cols>
    <col min="1" max="1" width="6" customWidth="1"/>
    <col min="2" max="2" width="53" customWidth="1"/>
    <col min="3" max="3" width="13" customWidth="1"/>
    <col min="4" max="4" width="14" customWidth="1"/>
    <col min="5" max="21" width="13" customWidth="1"/>
  </cols>
  <sheetData>
    <row r="1" spans="1:21" ht="23.1" customHeight="1">
      <c r="A1" s="5" t="s">
        <v>1287</v>
      </c>
      <c r="B1" s="5"/>
      <c r="C1" s="5"/>
      <c r="D1" s="5"/>
      <c r="E1" s="5"/>
      <c r="F1" s="5"/>
      <c r="G1" s="5"/>
      <c r="H1" s="5"/>
      <c r="I1" s="5"/>
      <c r="J1" s="5"/>
      <c r="K1" s="5"/>
      <c r="L1" s="5"/>
      <c r="M1" s="5"/>
      <c r="N1" s="5"/>
      <c r="O1" s="5"/>
      <c r="P1" s="5"/>
      <c r="Q1" s="5"/>
      <c r="R1" s="5"/>
      <c r="S1" s="5"/>
      <c r="T1" s="5"/>
      <c r="U1" s="5"/>
    </row>
    <row r="2" spans="1:21" ht="23.1" customHeight="1">
      <c r="A2" s="5"/>
      <c r="B2" s="5"/>
      <c r="C2" s="5"/>
      <c r="D2" s="5"/>
      <c r="E2" s="5"/>
      <c r="F2" s="5"/>
      <c r="G2" s="5"/>
      <c r="H2" s="5"/>
      <c r="I2" s="5"/>
      <c r="J2" s="5"/>
      <c r="K2" s="5"/>
      <c r="L2" s="5"/>
      <c r="M2" s="5"/>
      <c r="N2" s="5"/>
      <c r="O2" s="5"/>
      <c r="P2" s="5"/>
      <c r="Q2" s="5"/>
      <c r="R2" s="5"/>
      <c r="S2" s="5"/>
      <c r="T2" s="5"/>
      <c r="U2" s="5"/>
    </row>
    <row r="3" spans="1:21" ht="24" customHeight="1">
      <c r="A3" s="4" t="s">
        <v>1288</v>
      </c>
      <c r="B3" s="4"/>
      <c r="C3" s="4"/>
      <c r="D3" s="4"/>
      <c r="E3" s="4"/>
      <c r="F3" s="4"/>
      <c r="G3" s="4"/>
      <c r="H3" s="4"/>
      <c r="I3" s="4"/>
      <c r="J3" s="4"/>
      <c r="K3" s="4"/>
      <c r="L3" s="4"/>
      <c r="M3" s="4"/>
      <c r="N3" s="4"/>
      <c r="O3" s="4"/>
      <c r="P3" s="4"/>
      <c r="Q3" s="4"/>
      <c r="R3" s="4"/>
      <c r="S3" s="4"/>
      <c r="T3" s="4"/>
      <c r="U3" s="4"/>
    </row>
    <row r="5" spans="1:21" ht="26.1" customHeight="1">
      <c r="B5" s="241" t="s">
        <v>1233</v>
      </c>
      <c r="C5" s="241" t="s">
        <v>1234</v>
      </c>
      <c r="D5" s="241" t="s">
        <v>1235</v>
      </c>
      <c r="E5" s="241" t="str">
        <f>Sheet1!E40</f>
        <v>FY21A</v>
      </c>
      <c r="F5" s="241" t="str">
        <f>Sheet1!F40</f>
        <v>FY22A</v>
      </c>
      <c r="G5" s="241" t="str">
        <f>Sheet1!G40</f>
        <v>FY23A</v>
      </c>
      <c r="H5" s="241" t="str">
        <f>Sheet1!H40</f>
        <v>FY24A</v>
      </c>
      <c r="I5" s="241" t="str">
        <f>Sheet1!I40</f>
        <v>FY25A</v>
      </c>
      <c r="J5" s="241" t="str">
        <f>Sheet1!J40</f>
        <v>FY26E</v>
      </c>
      <c r="K5" s="241" t="str">
        <f>Sheet1!K40</f>
        <v>FY27E</v>
      </c>
      <c r="L5" s="241" t="str">
        <f>Sheet1!L40</f>
        <v>FY28E</v>
      </c>
      <c r="M5" s="241" t="str">
        <f>Sheet1!M40</f>
        <v>FY29E</v>
      </c>
      <c r="N5" s="241" t="str">
        <f>Sheet1!N40</f>
        <v>FY30E</v>
      </c>
      <c r="O5" s="241" t="str">
        <f>Sheet1!O40</f>
        <v>FY31E</v>
      </c>
      <c r="P5" s="241" t="str">
        <f>Sheet1!P40</f>
        <v>FY32E</v>
      </c>
      <c r="Q5" s="241" t="str">
        <f>Sheet1!Q40</f>
        <v>FY33E</v>
      </c>
      <c r="R5" s="241" t="str">
        <f>Sheet1!R40</f>
        <v>FY34E</v>
      </c>
      <c r="S5" s="241" t="str">
        <f>Sheet1!S40</f>
        <v>FY35E</v>
      </c>
    </row>
    <row r="6" spans="1:21" ht="20.100000000000001" customHeight="1">
      <c r="B6" s="3" t="s">
        <v>1289</v>
      </c>
      <c r="C6" s="3"/>
      <c r="D6" s="3"/>
      <c r="E6" s="2"/>
      <c r="F6" s="2"/>
      <c r="G6" s="2"/>
      <c r="H6" s="2"/>
      <c r="I6" s="2"/>
      <c r="J6" s="2"/>
      <c r="K6" s="2"/>
      <c r="L6" s="2"/>
      <c r="M6" s="2"/>
      <c r="N6" s="2"/>
      <c r="O6" s="2"/>
      <c r="P6" s="2"/>
      <c r="Q6" s="2"/>
      <c r="R6" s="2"/>
      <c r="S6" s="2"/>
    </row>
    <row r="7" spans="1:21">
      <c r="B7" t="s">
        <v>354</v>
      </c>
      <c r="D7" t="s">
        <v>1290</v>
      </c>
      <c r="E7" s="242">
        <f>IF(Sheet1!E141="","",Sheet1!E141)</f>
        <v>17808.432000000001</v>
      </c>
      <c r="F7" s="242">
        <f>IF(Sheet1!F141="","",Sheet1!F141)</f>
        <v>19622.865000000002</v>
      </c>
      <c r="G7" s="242">
        <f>IF(Sheet1!G141="","",Sheet1!G141)</f>
        <v>22251.742999999999</v>
      </c>
      <c r="H7" s="242">
        <f>IF(Sheet1!H141="","",Sheet1!H141)</f>
        <v>25298.203000000001</v>
      </c>
      <c r="I7" s="242">
        <f>IF(Sheet1!I141="","",Sheet1!I141)</f>
        <v>28265.491000000002</v>
      </c>
      <c r="J7" s="242">
        <f>IF(Sheet1!J141="","",Sheet1!J141)</f>
        <v>29781.904506888197</v>
      </c>
      <c r="K7" s="242">
        <f>IF(Sheet1!K141="","",Sheet1!K141)</f>
        <v>33832.447749685598</v>
      </c>
      <c r="L7" s="242">
        <f>IF(Sheet1!L141="","",Sheet1!L141)</f>
        <v>37885.33409210309</v>
      </c>
      <c r="M7" s="242">
        <f>IF(Sheet1!M141="","",Sheet1!M141)</f>
        <v>41841.252306622657</v>
      </c>
      <c r="N7" s="242">
        <f>IF(Sheet1!N141="","",Sheet1!N141)</f>
        <v>46062.6688438001</v>
      </c>
      <c r="O7" s="242">
        <f>IF(Sheet1!O141="","",Sheet1!O141)</f>
        <v>50371.515213801627</v>
      </c>
      <c r="P7" s="242">
        <f>IF(Sheet1!P141="","",Sheet1!P141)</f>
        <v>54759.066945994738</v>
      </c>
      <c r="Q7" s="242">
        <f>IF(Sheet1!Q141="","",Sheet1!Q141)</f>
        <v>59174.157290747855</v>
      </c>
      <c r="R7" s="242">
        <f>IF(Sheet1!R141="","",Sheet1!R141)</f>
        <v>63560.252912794611</v>
      </c>
      <c r="S7" s="242">
        <f>IF(Sheet1!S141="","",Sheet1!S141)</f>
        <v>67856.48872409547</v>
      </c>
    </row>
    <row r="8" spans="1:21">
      <c r="B8" t="s">
        <v>356</v>
      </c>
      <c r="D8" t="s">
        <v>1291</v>
      </c>
      <c r="E8" s="242">
        <f>IF(Sheet1!E142="","",Sheet1!E142)</f>
        <v>4378.8069999999998</v>
      </c>
      <c r="F8" s="242">
        <f>IF(Sheet1!F142="","",Sheet1!F142)</f>
        <v>4032.1689999999999</v>
      </c>
      <c r="G8" s="242">
        <f>IF(Sheet1!G142="","",Sheet1!G142)</f>
        <v>5993.1679999999997</v>
      </c>
      <c r="H8" s="242">
        <f>IF(Sheet1!H142="","",Sheet1!H142)</f>
        <v>7889.0290000000005</v>
      </c>
      <c r="I8" s="242">
        <f>IF(Sheet1!I142="","",Sheet1!I142)</f>
        <v>9136.4050000000007</v>
      </c>
      <c r="J8" s="242">
        <f>IF(Sheet1!J142="","",Sheet1!J142)</f>
        <v>8654.9786196447658</v>
      </c>
      <c r="K8" s="242">
        <f>IF(Sheet1!K142="","",Sheet1!K142)</f>
        <v>9059.8207590841266</v>
      </c>
      <c r="L8" s="242">
        <f>IF(Sheet1!L142="","",Sheet1!L142)</f>
        <v>9318.892539323755</v>
      </c>
      <c r="M8" s="242">
        <f>IF(Sheet1!M142="","",Sheet1!M142)</f>
        <v>9900.3845362477732</v>
      </c>
      <c r="N8" s="242">
        <f>IF(Sheet1!N142="","",Sheet1!N142)</f>
        <v>10942.059543218493</v>
      </c>
      <c r="O8" s="242">
        <f>IF(Sheet1!O142="","",Sheet1!O142)</f>
        <v>11935.533423368192</v>
      </c>
      <c r="P8" s="242">
        <f>IF(Sheet1!P142="","",Sheet1!P142)</f>
        <v>12878.930269907663</v>
      </c>
      <c r="Q8" s="242">
        <f>IF(Sheet1!Q142="","",Sheet1!Q142)</f>
        <v>13828.248377741118</v>
      </c>
      <c r="R8" s="242">
        <f>IF(Sheet1!R142="","",Sheet1!R142)</f>
        <v>14771.332136298011</v>
      </c>
      <c r="S8" s="242">
        <f>IF(Sheet1!S142="","",Sheet1!S142)</f>
        <v>15695.094535868686</v>
      </c>
    </row>
    <row r="9" spans="1:21">
      <c r="B9" t="s">
        <v>358</v>
      </c>
      <c r="D9" t="s">
        <v>1292</v>
      </c>
      <c r="E9" s="242">
        <f>IF(Sheet1!E143="","",Sheet1!E143)</f>
        <v>13429.625</v>
      </c>
      <c r="F9" s="242">
        <f>IF(Sheet1!F143="","",Sheet1!F143)</f>
        <v>15590.696000000002</v>
      </c>
      <c r="G9" s="242">
        <f>IF(Sheet1!G143="","",Sheet1!G143)</f>
        <v>16258.574999999999</v>
      </c>
      <c r="H9" s="242">
        <f>IF(Sheet1!H143="","",Sheet1!H143)</f>
        <v>17409.173999999999</v>
      </c>
      <c r="I9" s="242">
        <f>IF(Sheet1!I143="","",Sheet1!I143)</f>
        <v>19129.086000000003</v>
      </c>
      <c r="J9" s="242">
        <f>IF(Sheet1!J143="","",Sheet1!J143)</f>
        <v>21126.925887243429</v>
      </c>
      <c r="K9" s="242">
        <f>IF(Sheet1!K143="","",Sheet1!K143)</f>
        <v>24772.626990601471</v>
      </c>
      <c r="L9" s="242">
        <f>IF(Sheet1!L143="","",Sheet1!L143)</f>
        <v>28566.441552779335</v>
      </c>
      <c r="M9" s="242">
        <f>IF(Sheet1!M143="","",Sheet1!M143)</f>
        <v>31940.867770374884</v>
      </c>
      <c r="N9" s="242">
        <f>IF(Sheet1!N143="","",Sheet1!N143)</f>
        <v>35120.609300581607</v>
      </c>
      <c r="O9" s="242">
        <f>IF(Sheet1!O143="","",Sheet1!O143)</f>
        <v>38435.981790433434</v>
      </c>
      <c r="P9" s="242">
        <f>IF(Sheet1!P143="","",Sheet1!P143)</f>
        <v>41880.136676087073</v>
      </c>
      <c r="Q9" s="242">
        <f>IF(Sheet1!Q143="","",Sheet1!Q143)</f>
        <v>45345.908913006737</v>
      </c>
      <c r="R9" s="242">
        <f>IF(Sheet1!R143="","",Sheet1!R143)</f>
        <v>48788.920776496598</v>
      </c>
      <c r="S9" s="242">
        <f>IF(Sheet1!S143="","",Sheet1!S143)</f>
        <v>52161.394188226783</v>
      </c>
    </row>
    <row r="10" spans="1:21">
      <c r="B10" t="s">
        <v>359</v>
      </c>
      <c r="D10" t="s">
        <v>1293</v>
      </c>
      <c r="E10" s="242">
        <f>IF(Sheet1!E144="","",Sheet1!E144)</f>
        <v>3012.2460000000001</v>
      </c>
      <c r="F10" s="242">
        <f>IF(Sheet1!F144="","",Sheet1!F144)</f>
        <v>3701.1109999999999</v>
      </c>
      <c r="G10" s="242">
        <f>IF(Sheet1!G144="","",Sheet1!G144)</f>
        <v>4204.4660000000003</v>
      </c>
      <c r="H10" s="242">
        <f>IF(Sheet1!H144="","",Sheet1!H144)</f>
        <v>5556.4790000000003</v>
      </c>
      <c r="I10" s="242">
        <f>IF(Sheet1!I144="","",Sheet1!I144)</f>
        <v>6936.5959999999995</v>
      </c>
      <c r="J10" s="242">
        <f>IF(Sheet1!J144="","",Sheet1!J144)</f>
        <v>8670.744999999999</v>
      </c>
      <c r="K10" s="242">
        <f>IF(Sheet1!K144="","",Sheet1!K144)</f>
        <v>9971.3567499999972</v>
      </c>
      <c r="L10" s="242">
        <f>IF(Sheet1!L144="","",Sheet1!L144)</f>
        <v>11167.919559999998</v>
      </c>
      <c r="M10" s="242">
        <f>IF(Sheet1!M144="","",Sheet1!M144)</f>
        <v>12284.711515999999</v>
      </c>
      <c r="N10" s="242">
        <f>IF(Sheet1!N144="","",Sheet1!N144)</f>
        <v>13513.1826676</v>
      </c>
      <c r="O10" s="242">
        <f>IF(Sheet1!O144="","",Sheet1!O144)</f>
        <v>14783.421838354401</v>
      </c>
      <c r="P10" s="242">
        <f>IF(Sheet1!P144="","",Sheet1!P144)</f>
        <v>16084.362960129589</v>
      </c>
      <c r="Q10" s="242">
        <f>IF(Sheet1!Q144="","",Sheet1!Q144)</f>
        <v>17403.280722860218</v>
      </c>
      <c r="R10" s="242">
        <f>IF(Sheet1!R144="","",Sheet1!R144)</f>
        <v>18725.930057797596</v>
      </c>
      <c r="S10" s="242">
        <f>IF(Sheet1!S144="","",Sheet1!S144)</f>
        <v>20036.745161843428</v>
      </c>
    </row>
    <row r="11" spans="1:21">
      <c r="B11" t="s">
        <v>361</v>
      </c>
      <c r="D11" t="s">
        <v>1294</v>
      </c>
      <c r="E11" s="242">
        <f>IF(Sheet1!E145="","",Sheet1!E145)</f>
        <v>16441.870999999999</v>
      </c>
      <c r="F11" s="242">
        <f>IF(Sheet1!F145="","",Sheet1!F145)</f>
        <v>19291.807000000001</v>
      </c>
      <c r="G11" s="242">
        <f>IF(Sheet1!G145="","",Sheet1!G145)</f>
        <v>20463.040999999997</v>
      </c>
      <c r="H11" s="242">
        <f>IF(Sheet1!H145="","",Sheet1!H145)</f>
        <v>22965.652999999998</v>
      </c>
      <c r="I11" s="242">
        <f>IF(Sheet1!I145="","",Sheet1!I145)</f>
        <v>26065.682000000001</v>
      </c>
      <c r="J11" s="242">
        <f>IF(Sheet1!J145="","",Sheet1!J145)</f>
        <v>29797.670887243428</v>
      </c>
      <c r="K11" s="242">
        <f>IF(Sheet1!K145="","",Sheet1!K145)</f>
        <v>34743.98374060147</v>
      </c>
      <c r="L11" s="242">
        <f>IF(Sheet1!L145="","",Sheet1!L145)</f>
        <v>39734.361112779334</v>
      </c>
      <c r="M11" s="242">
        <f>IF(Sheet1!M145="","",Sheet1!M145)</f>
        <v>44225.579286374879</v>
      </c>
      <c r="N11" s="242">
        <f>IF(Sheet1!N145="","",Sheet1!N145)</f>
        <v>48633.791968181606</v>
      </c>
      <c r="O11" s="242">
        <f>IF(Sheet1!O145="","",Sheet1!O145)</f>
        <v>53219.403628787833</v>
      </c>
      <c r="P11" s="242">
        <f>IF(Sheet1!P145="","",Sheet1!P145)</f>
        <v>57964.499636216664</v>
      </c>
      <c r="Q11" s="242">
        <f>IF(Sheet1!Q145="","",Sheet1!Q145)</f>
        <v>62749.189635866955</v>
      </c>
      <c r="R11" s="242">
        <f>IF(Sheet1!R145="","",Sheet1!R145)</f>
        <v>67514.850834294193</v>
      </c>
      <c r="S11" s="242">
        <f>IF(Sheet1!S145="","",Sheet1!S145)</f>
        <v>72198.139350070211</v>
      </c>
    </row>
    <row r="12" spans="1:21">
      <c r="B12" t="s">
        <v>1295</v>
      </c>
      <c r="D12" t="s">
        <v>1296</v>
      </c>
      <c r="E12" s="242">
        <f>IF(Sheet1!E146="","",Sheet1!E146)</f>
        <v>4400</v>
      </c>
      <c r="F12" s="242">
        <f>IF(Sheet1!F146="","",Sheet1!F146)</f>
        <v>4847</v>
      </c>
      <c r="G12" s="242">
        <f>IF(Sheet1!G146="","",Sheet1!G146)</f>
        <v>4944</v>
      </c>
      <c r="H12" s="242">
        <f>IF(Sheet1!H146="","",Sheet1!H146)</f>
        <v>5141</v>
      </c>
      <c r="I12" s="242">
        <f>IF(Sheet1!I146="","",Sheet1!I146)</f>
        <v>5380</v>
      </c>
      <c r="J12" s="242">
        <f>IF(Sheet1!J146="","",Sheet1!J146)</f>
        <v>6377.0217237208553</v>
      </c>
      <c r="K12" s="242">
        <f>IF(Sheet1!K146="","",Sheet1!K146)</f>
        <v>7094.503900505234</v>
      </c>
      <c r="L12" s="242">
        <f>IF(Sheet1!L146="","",Sheet1!L146)</f>
        <v>8035.4932111697026</v>
      </c>
      <c r="M12" s="242">
        <f>IF(Sheet1!M146="","",Sheet1!M146)</f>
        <v>8856.9212119861349</v>
      </c>
      <c r="N12" s="242">
        <f>IF(Sheet1!N146="","",Sheet1!N146)</f>
        <v>9644.2528030548328</v>
      </c>
      <c r="O12" s="242">
        <f>IF(Sheet1!O146="","",Sheet1!O146)</f>
        <v>10553.595799390723</v>
      </c>
      <c r="P12" s="242">
        <f>IF(Sheet1!P146="","",Sheet1!P146)</f>
        <v>11494.565105266562</v>
      </c>
      <c r="Q12" s="242">
        <f>IF(Sheet1!Q146="","",Sheet1!Q146)</f>
        <v>12443.386039712012</v>
      </c>
      <c r="R12" s="242">
        <f>IF(Sheet1!R146="","",Sheet1!R146)</f>
        <v>13388.433495633431</v>
      </c>
      <c r="S12" s="242">
        <f>IF(Sheet1!S146="","",Sheet1!S146)</f>
        <v>14317.146157507246</v>
      </c>
    </row>
    <row r="13" spans="1:21">
      <c r="B13" t="s">
        <v>1297</v>
      </c>
      <c r="D13" t="s">
        <v>1298</v>
      </c>
      <c r="E13" s="242">
        <f>IF(Sheet1!E147="","",Sheet1!E147)</f>
        <v>3982.7729999999992</v>
      </c>
      <c r="F13" s="242">
        <f>IF(Sheet1!F147="","",Sheet1!F147)</f>
        <v>4531.3359999999993</v>
      </c>
      <c r="G13" s="242">
        <f>IF(Sheet1!G147="","",Sheet1!G147)</f>
        <v>4599.2039999999997</v>
      </c>
      <c r="H13" s="242">
        <f>IF(Sheet1!H147="","",Sheet1!H147)</f>
        <v>5708.6419999999998</v>
      </c>
      <c r="I13" s="242">
        <f>IF(Sheet1!I147="","",Sheet1!I147)</f>
        <v>7196.7139999999999</v>
      </c>
      <c r="J13" s="242">
        <f>IF(Sheet1!J147="","",Sheet1!J147)</f>
        <v>8577.7787063024407</v>
      </c>
      <c r="K13" s="242">
        <f>IF(Sheet1!K147="","",Sheet1!K147)</f>
        <v>9474.1433616428239</v>
      </c>
      <c r="L13" s="242">
        <f>IF(Sheet1!L147="","",Sheet1!L147)</f>
        <v>10714.284256661575</v>
      </c>
      <c r="M13" s="242">
        <f>IF(Sheet1!M147="","",Sheet1!M147)</f>
        <v>11791.036156394877</v>
      </c>
      <c r="N13" s="242">
        <f>IF(Sheet1!N147="","",Sheet1!N147)</f>
        <v>12818.633859785436</v>
      </c>
      <c r="O13" s="242">
        <f>IF(Sheet1!O147="","",Sheet1!O147)</f>
        <v>14027.284769402586</v>
      </c>
      <c r="P13" s="242">
        <f>IF(Sheet1!P147="","",Sheet1!P147)</f>
        <v>15277.971707171182</v>
      </c>
      <c r="Q13" s="242">
        <f>IF(Sheet1!Q147="","",Sheet1!Q147)</f>
        <v>16539.094616900711</v>
      </c>
      <c r="R13" s="242">
        <f>IF(Sheet1!R147="","",Sheet1!R147)</f>
        <v>17795.202017335218</v>
      </c>
      <c r="S13" s="242">
        <f>IF(Sheet1!S147="","",Sheet1!S147)</f>
        <v>19029.598068187002</v>
      </c>
    </row>
    <row r="14" spans="1:21">
      <c r="B14" t="s">
        <v>1299</v>
      </c>
      <c r="D14" t="s">
        <v>1300</v>
      </c>
      <c r="E14" s="242">
        <f>IF(Sheet1!E148="","",Sheet1!E148)</f>
        <v>400</v>
      </c>
      <c r="F14" s="242">
        <f>IF(Sheet1!F148="","",Sheet1!F148)</f>
        <v>517</v>
      </c>
      <c r="G14" s="242">
        <f>IF(Sheet1!G148="","",Sheet1!G148)</f>
        <v>706</v>
      </c>
      <c r="H14" s="242">
        <f>IF(Sheet1!H148="","",Sheet1!H148)</f>
        <v>944</v>
      </c>
      <c r="I14" s="242">
        <f>IF(Sheet1!I148="","",Sheet1!I148)</f>
        <v>1124</v>
      </c>
      <c r="J14" s="242">
        <f>IF(Sheet1!J148="","",Sheet1!J148)</f>
        <v>1284.9302035243741</v>
      </c>
      <c r="K14" s="242">
        <f>IF(Sheet1!K148="","",Sheet1!K148)</f>
        <v>1498.2242829647064</v>
      </c>
      <c r="L14" s="242">
        <f>IF(Sheet1!L148="","",Sheet1!L148)</f>
        <v>1713.418505250082</v>
      </c>
      <c r="M14" s="242">
        <f>IF(Sheet1!M148="","",Sheet1!M148)</f>
        <v>1907.0880676701788</v>
      </c>
      <c r="N14" s="242">
        <f>IF(Sheet1!N148="","",Sheet1!N148)</f>
        <v>2097.1782810914415</v>
      </c>
      <c r="O14" s="242">
        <f>IF(Sheet1!O148="","",Sheet1!O148)</f>
        <v>2294.9182637445483</v>
      </c>
      <c r="P14" s="242">
        <f>IF(Sheet1!P148="","",Sheet1!P148)</f>
        <v>2499.5355038516745</v>
      </c>
      <c r="Q14" s="242">
        <f>IF(Sheet1!Q148="","",Sheet1!Q148)</f>
        <v>2705.8601095000872</v>
      </c>
      <c r="R14" s="242">
        <f>IF(Sheet1!R148="","",Sheet1!R148)</f>
        <v>2911.3641583499207</v>
      </c>
      <c r="S14" s="242">
        <f>IF(Sheet1!S148="","",Sheet1!S148)</f>
        <v>3113.3161460912061</v>
      </c>
    </row>
    <row r="15" spans="1:21">
      <c r="B15" t="s">
        <v>368</v>
      </c>
      <c r="D15" t="s">
        <v>1301</v>
      </c>
      <c r="E15" s="242">
        <f>IF(Sheet1!E149="","",Sheet1!E149)</f>
        <v>8782.7729999999992</v>
      </c>
      <c r="F15" s="242">
        <f>IF(Sheet1!F149="","",Sheet1!F149)</f>
        <v>9895.3359999999993</v>
      </c>
      <c r="G15" s="242">
        <f>IF(Sheet1!G149="","",Sheet1!G149)</f>
        <v>10249.204</v>
      </c>
      <c r="H15" s="242">
        <f>IF(Sheet1!H149="","",Sheet1!H149)</f>
        <v>11793.642</v>
      </c>
      <c r="I15" s="242">
        <f>IF(Sheet1!I149="","",Sheet1!I149)</f>
        <v>13700.714</v>
      </c>
      <c r="J15" s="242">
        <f>IF(Sheet1!J149="","",Sheet1!J149)</f>
        <v>16239.73063354767</v>
      </c>
      <c r="K15" s="242">
        <f>IF(Sheet1!K149="","",Sheet1!K149)</f>
        <v>18066.871545112765</v>
      </c>
      <c r="L15" s="242">
        <f>IF(Sheet1!L149="","",Sheet1!L149)</f>
        <v>20463.195973081358</v>
      </c>
      <c r="M15" s="242">
        <f>IF(Sheet1!M149="","",Sheet1!M149)</f>
        <v>22555.04543605119</v>
      </c>
      <c r="N15" s="242">
        <f>IF(Sheet1!N149="","",Sheet1!N149)</f>
        <v>24560.064943931709</v>
      </c>
      <c r="O15" s="242">
        <f>IF(Sheet1!O149="","",Sheet1!O149)</f>
        <v>26875.798832537857</v>
      </c>
      <c r="P15" s="242">
        <f>IF(Sheet1!P149="","",Sheet1!P149)</f>
        <v>29272.072316289417</v>
      </c>
      <c r="Q15" s="242">
        <f>IF(Sheet1!Q149="","",Sheet1!Q149)</f>
        <v>31688.340766112811</v>
      </c>
      <c r="R15" s="242">
        <f>IF(Sheet1!R149="","",Sheet1!R149)</f>
        <v>34094.999671318568</v>
      </c>
      <c r="S15" s="242">
        <f>IF(Sheet1!S149="","",Sheet1!S149)</f>
        <v>36460.060371785454</v>
      </c>
    </row>
    <row r="16" spans="1:21">
      <c r="B16" t="s">
        <v>369</v>
      </c>
      <c r="D16" t="s">
        <v>1302</v>
      </c>
      <c r="E16" s="242">
        <f>IF(Sheet1!E150="","",Sheet1!E150)</f>
        <v>7659.098</v>
      </c>
      <c r="F16" s="242">
        <f>IF(Sheet1!F150="","",Sheet1!F150)</f>
        <v>9396.4710000000014</v>
      </c>
      <c r="G16" s="242">
        <f>IF(Sheet1!G150="","",Sheet1!G150)</f>
        <v>10213.836999999998</v>
      </c>
      <c r="H16" s="242">
        <f>IF(Sheet1!H150="","",Sheet1!H150)</f>
        <v>11172.010999999999</v>
      </c>
      <c r="I16" s="242">
        <f>IF(Sheet1!I150="","",Sheet1!I150)</f>
        <v>12364.968000000001</v>
      </c>
      <c r="J16" s="242">
        <f>IF(Sheet1!J150="","",Sheet1!J150)</f>
        <v>13557.940253695759</v>
      </c>
      <c r="K16" s="242">
        <f>IF(Sheet1!K150="","",Sheet1!K150)</f>
        <v>16677.112195488706</v>
      </c>
      <c r="L16" s="242">
        <f>IF(Sheet1!L150="","",Sheet1!L150)</f>
        <v>19271.165139697976</v>
      </c>
      <c r="M16" s="242">
        <f>IF(Sheet1!M150="","",Sheet1!M150)</f>
        <v>21670.533850323689</v>
      </c>
      <c r="N16" s="242">
        <f>IF(Sheet1!N150="","",Sheet1!N150)</f>
        <v>24073.727024249896</v>
      </c>
      <c r="O16" s="242">
        <f>IF(Sheet1!O150="","",Sheet1!O150)</f>
        <v>26343.604796249976</v>
      </c>
      <c r="P16" s="242">
        <f>IF(Sheet1!P150="","",Sheet1!P150)</f>
        <v>28692.427319927247</v>
      </c>
      <c r="Q16" s="242">
        <f>IF(Sheet1!Q150="","",Sheet1!Q150)</f>
        <v>31060.848869754143</v>
      </c>
      <c r="R16" s="242">
        <f>IF(Sheet1!R150="","",Sheet1!R150)</f>
        <v>33419.851162975625</v>
      </c>
      <c r="S16" s="242">
        <f>IF(Sheet1!S150="","",Sheet1!S150)</f>
        <v>35738.078978284757</v>
      </c>
    </row>
    <row r="17" spans="2:19">
      <c r="B17" t="s">
        <v>370</v>
      </c>
      <c r="D17" t="s">
        <v>1303</v>
      </c>
      <c r="E17" s="242">
        <f>IF(Sheet1!E151="","",Sheet1!E151)</f>
        <v>3551.2489999999998</v>
      </c>
      <c r="F17" s="242">
        <f>IF(Sheet1!F151="","",Sheet1!F151)</f>
        <v>3748.797</v>
      </c>
      <c r="G17" s="242">
        <f>IF(Sheet1!G151="","",Sheet1!G151)</f>
        <v>2622.4789999999998</v>
      </c>
      <c r="H17" s="242">
        <f>IF(Sheet1!H151="","",Sheet1!H151)</f>
        <v>1893.867</v>
      </c>
      <c r="I17" s="242">
        <f>IF(Sheet1!I151="","",Sheet1!I151)</f>
        <v>2356.951</v>
      </c>
      <c r="J17" s="242">
        <f>IF(Sheet1!J151="","",Sheet1!J151)</f>
        <v>2392.3887400000003</v>
      </c>
      <c r="K17" s="242">
        <f>IF(Sheet1!K151="","",Sheet1!K151)</f>
        <v>2912.2046077499999</v>
      </c>
      <c r="L17" s="242">
        <f>IF(Sheet1!L151="","",Sheet1!L151)</f>
        <v>3267.4523352449996</v>
      </c>
      <c r="M17" s="242">
        <f>IF(Sheet1!M151="","",Sheet1!M151)</f>
        <v>3629.7885093433506</v>
      </c>
      <c r="N17" s="242">
        <f>IF(Sheet1!N151="","",Sheet1!N151)</f>
        <v>4001.1077436496157</v>
      </c>
      <c r="O17" s="242">
        <f>IF(Sheet1!O151="","",Sheet1!O151)</f>
        <v>4380.1173772078519</v>
      </c>
      <c r="P17" s="242">
        <f>IF(Sheet1!P151="","",Sheet1!P151)</f>
        <v>4766.0499984806138</v>
      </c>
      <c r="Q17" s="242">
        <f>IF(Sheet1!Q151="","",Sheet1!Q151)</f>
        <v>5154.404938527081</v>
      </c>
      <c r="R17" s="242">
        <f>IF(Sheet1!R151="","",Sheet1!R151)</f>
        <v>5540.2094791662803</v>
      </c>
      <c r="S17" s="242">
        <f>IF(Sheet1!S151="","",Sheet1!S151)</f>
        <v>5918.1098777178149</v>
      </c>
    </row>
    <row r="18" spans="2:19">
      <c r="B18" t="s">
        <v>372</v>
      </c>
      <c r="D18" t="s">
        <v>1304</v>
      </c>
      <c r="E18" s="242">
        <f>IF(Sheet1!E152="","",Sheet1!E152)</f>
        <v>4107.8490000000002</v>
      </c>
      <c r="F18" s="242">
        <f>IF(Sheet1!F152="","",Sheet1!F152)</f>
        <v>5647.6740000000009</v>
      </c>
      <c r="G18" s="242">
        <f>IF(Sheet1!G152="","",Sheet1!G152)</f>
        <v>7591.3579999999984</v>
      </c>
      <c r="H18" s="242">
        <f>IF(Sheet1!H152="","",Sheet1!H152)</f>
        <v>9278.1439999999984</v>
      </c>
      <c r="I18" s="242">
        <f>IF(Sheet1!I152="","",Sheet1!I152)</f>
        <v>10008.017</v>
      </c>
      <c r="J18" s="242">
        <f>IF(Sheet1!J152="","",Sheet1!J152)</f>
        <v>11165.551513695758</v>
      </c>
      <c r="K18" s="242">
        <f>IF(Sheet1!K152="","",Sheet1!K152)</f>
        <v>13764.907587738706</v>
      </c>
      <c r="L18" s="242">
        <f>IF(Sheet1!L152="","",Sheet1!L152)</f>
        <v>16003.712804452976</v>
      </c>
      <c r="M18" s="242">
        <f>IF(Sheet1!M152="","",Sheet1!M152)</f>
        <v>18040.745340980338</v>
      </c>
      <c r="N18" s="242">
        <f>IF(Sheet1!N152="","",Sheet1!N152)</f>
        <v>20072.61928060028</v>
      </c>
      <c r="O18" s="242">
        <f>IF(Sheet1!O152="","",Sheet1!O152)</f>
        <v>21963.487419042125</v>
      </c>
      <c r="P18" s="242">
        <f>IF(Sheet1!P152="","",Sheet1!P152)</f>
        <v>23926.377321446635</v>
      </c>
      <c r="Q18" s="242">
        <f>IF(Sheet1!Q152="","",Sheet1!Q152)</f>
        <v>25906.443931227062</v>
      </c>
      <c r="R18" s="242">
        <f>IF(Sheet1!R152="","",Sheet1!R152)</f>
        <v>27879.641683809343</v>
      </c>
      <c r="S18" s="242">
        <f>IF(Sheet1!S152="","",Sheet1!S152)</f>
        <v>29819.969100566941</v>
      </c>
    </row>
    <row r="19" spans="2:19">
      <c r="B19" t="s">
        <v>373</v>
      </c>
      <c r="D19" t="s">
        <v>1255</v>
      </c>
      <c r="E19" s="242">
        <f>IF(Sheet1!E153="","",Sheet1!E153)</f>
        <v>1079.6440000000002</v>
      </c>
      <c r="F19" s="242">
        <f>IF(Sheet1!F153="","",Sheet1!F153)</f>
        <v>1387.6740000000009</v>
      </c>
      <c r="G19" s="242">
        <f>IF(Sheet1!G153="","",Sheet1!G153)</f>
        <v>1887.614999999998</v>
      </c>
      <c r="H19" s="242">
        <f>IF(Sheet1!H153="","",Sheet1!H153)</f>
        <v>2272.2559999999985</v>
      </c>
      <c r="I19" s="242">
        <f>IF(Sheet1!I153="","",Sheet1!I153)</f>
        <v>2440.4939999999997</v>
      </c>
      <c r="J19" s="242">
        <f>IF(Sheet1!J153="","",Sheet1!J153)</f>
        <v>2744.2646895637067</v>
      </c>
      <c r="K19" s="242">
        <f>IF(Sheet1!K153="","",Sheet1!K153)</f>
        <v>3383.1333635247929</v>
      </c>
      <c r="L19" s="242">
        <f>IF(Sheet1!L153="","",Sheet1!L153)</f>
        <v>3933.3859950677906</v>
      </c>
      <c r="M19" s="242">
        <f>IF(Sheet1!M153="","",Sheet1!M153)</f>
        <v>4434.047019704818</v>
      </c>
      <c r="N19" s="242">
        <f>IF(Sheet1!N153="","",Sheet1!N153)</f>
        <v>4933.4401665013856</v>
      </c>
      <c r="O19" s="242">
        <f>IF(Sheet1!O153="","",Sheet1!O153)</f>
        <v>5398.1769650896231</v>
      </c>
      <c r="P19" s="242">
        <f>IF(Sheet1!P153="","",Sheet1!P153)</f>
        <v>5880.6152434014903</v>
      </c>
      <c r="Q19" s="242">
        <f>IF(Sheet1!Q153="","",Sheet1!Q153)</f>
        <v>6367.2752058349961</v>
      </c>
      <c r="R19" s="242">
        <f>IF(Sheet1!R153="","",Sheet1!R153)</f>
        <v>6852.2469433524811</v>
      </c>
      <c r="S19" s="242">
        <f>IF(Sheet1!S153="","",Sheet1!S153)</f>
        <v>7329.1398231595222</v>
      </c>
    </row>
    <row r="20" spans="2:19">
      <c r="B20" t="s">
        <v>374</v>
      </c>
      <c r="D20" t="s">
        <v>1305</v>
      </c>
      <c r="E20" s="242">
        <f>IF(Sheet1!E154="","",Sheet1!E154)</f>
        <v>3028.2049999999999</v>
      </c>
      <c r="F20" s="242">
        <f>IF(Sheet1!F154="","",Sheet1!F154)</f>
        <v>4260</v>
      </c>
      <c r="G20" s="242">
        <f>IF(Sheet1!G154="","",Sheet1!G154)</f>
        <v>5703.7430000000004</v>
      </c>
      <c r="H20" s="242">
        <f>IF(Sheet1!H154="","",Sheet1!H154)</f>
        <v>7005.8879999999999</v>
      </c>
      <c r="I20" s="242">
        <f>IF(Sheet1!I154="","",Sheet1!I154)</f>
        <v>7567.5230000000001</v>
      </c>
      <c r="J20" s="242">
        <f>IF(Sheet1!J154="","",Sheet1!J154)</f>
        <v>8421.2868241320521</v>
      </c>
      <c r="K20" s="242">
        <f>IF(Sheet1!K154="","",Sheet1!K154)</f>
        <v>10381.774224213914</v>
      </c>
      <c r="L20" s="242">
        <f>IF(Sheet1!L154="","",Sheet1!L154)</f>
        <v>12070.326809385186</v>
      </c>
      <c r="M20" s="242">
        <f>IF(Sheet1!M154="","",Sheet1!M154)</f>
        <v>13606.69832127552</v>
      </c>
      <c r="N20" s="242">
        <f>IF(Sheet1!N154="","",Sheet1!N154)</f>
        <v>15139.179114098893</v>
      </c>
      <c r="O20" s="242">
        <f>IF(Sheet1!O154="","",Sheet1!O154)</f>
        <v>16565.310453952501</v>
      </c>
      <c r="P20" s="242">
        <f>IF(Sheet1!P154="","",Sheet1!P154)</f>
        <v>18045.762078045143</v>
      </c>
      <c r="Q20" s="242">
        <f>IF(Sheet1!Q154="","",Sheet1!Q154)</f>
        <v>19539.168725392068</v>
      </c>
      <c r="R20" s="242">
        <f>IF(Sheet1!R154="","",Sheet1!R154)</f>
        <v>21027.394740456861</v>
      </c>
      <c r="S20" s="242">
        <f>IF(Sheet1!S154="","",Sheet1!S154)</f>
        <v>22490.829277407418</v>
      </c>
    </row>
    <row r="21" spans="2:19">
      <c r="B21" t="s">
        <v>375</v>
      </c>
      <c r="D21" t="s">
        <v>1306</v>
      </c>
      <c r="E21" s="242">
        <f>IF(Sheet1!E155="","",Sheet1!E155)</f>
        <v>0.26282465592089682</v>
      </c>
      <c r="F21" s="242">
        <f>IF(Sheet1!F155="","",Sheet1!F155)</f>
        <v>0.24570717077508381</v>
      </c>
      <c r="G21" s="242">
        <f>IF(Sheet1!G155="","",Sheet1!G155)</f>
        <v>0.24865313953050275</v>
      </c>
      <c r="H21" s="242">
        <f>IF(Sheet1!H155="","",Sheet1!H155)</f>
        <v>0.24490415324444187</v>
      </c>
      <c r="I21" s="242">
        <f>IF(Sheet1!I155="","",Sheet1!I155)</f>
        <v>0.24385390232650481</v>
      </c>
      <c r="J21" s="242">
        <f>IF(Sheet1!J155="","",Sheet1!J155)</f>
        <v>0.24577959146913333</v>
      </c>
      <c r="K21" s="242">
        <f>IF(Sheet1!K155="","",Sheet1!K155)</f>
        <v>0.24577959146913333</v>
      </c>
      <c r="L21" s="242">
        <f>IF(Sheet1!L155="","",Sheet1!L155)</f>
        <v>0.24577959146913333</v>
      </c>
      <c r="M21" s="242">
        <f>IF(Sheet1!M155="","",Sheet1!M155)</f>
        <v>0.24577959146913333</v>
      </c>
      <c r="N21" s="242">
        <f>IF(Sheet1!N155="","",Sheet1!N155)</f>
        <v>0.24577959146913333</v>
      </c>
      <c r="O21" s="242">
        <f>IF(Sheet1!O155="","",Sheet1!O155)</f>
        <v>0.24577959146913333</v>
      </c>
      <c r="P21" s="242">
        <f>IF(Sheet1!P155="","",Sheet1!P155)</f>
        <v>0.24577959146913333</v>
      </c>
      <c r="Q21" s="242">
        <f>IF(Sheet1!Q155="","",Sheet1!Q155)</f>
        <v>0.24577959146913333</v>
      </c>
      <c r="R21" s="242">
        <f>IF(Sheet1!R155="","",Sheet1!R155)</f>
        <v>0.24577959146913333</v>
      </c>
      <c r="S21" s="242">
        <f>IF(Sheet1!S155="","",Sheet1!S155)</f>
        <v>0.24577959146913333</v>
      </c>
    </row>
    <row r="22" spans="2:19">
      <c r="B22" t="s">
        <v>377</v>
      </c>
      <c r="D22" t="s">
        <v>1307</v>
      </c>
      <c r="E22" s="242" t="str">
        <f>IF(Sheet1!E156="","",Sheet1!E156)</f>
        <v/>
      </c>
      <c r="F22" s="242">
        <f>IF(Sheet1!F156="","",Sheet1!F156)</f>
        <v>0.40677397996502873</v>
      </c>
      <c r="G22" s="242">
        <f>IF(Sheet1!G156="","",Sheet1!G156)</f>
        <v>0.33890680751173718</v>
      </c>
      <c r="H22" s="242">
        <f>IF(Sheet1!H156="","",Sheet1!H156)</f>
        <v>0.22829657647618395</v>
      </c>
      <c r="I22" s="242">
        <f>IF(Sheet1!I156="","",Sheet1!I156)</f>
        <v>8.01661402523135E-2</v>
      </c>
      <c r="J22" s="242">
        <f>IF(Sheet1!J156="","",Sheet1!J156)</f>
        <v>0.11281945547202854</v>
      </c>
      <c r="K22" s="242">
        <f>IF(Sheet1!K156="","",Sheet1!K156)</f>
        <v>0.23280140446753173</v>
      </c>
      <c r="L22" s="242">
        <f>IF(Sheet1!L156="","",Sheet1!L156)</f>
        <v>0.16264585885840011</v>
      </c>
      <c r="M22" s="242">
        <f>IF(Sheet1!M156="","",Sheet1!M156)</f>
        <v>0.12728499701397822</v>
      </c>
      <c r="N22" s="242">
        <f>IF(Sheet1!N156="","",Sheet1!N156)</f>
        <v>0.11262693980854821</v>
      </c>
      <c r="O22" s="242">
        <f>IF(Sheet1!O156="","",Sheet1!O156)</f>
        <v>9.4201365153641081E-2</v>
      </c>
      <c r="P22" s="242">
        <f>IF(Sheet1!P156="","",Sheet1!P156)</f>
        <v>8.9370593337682047E-2</v>
      </c>
      <c r="Q22" s="242">
        <f>IF(Sheet1!Q156="","",Sheet1!Q156)</f>
        <v>8.2756640638847578E-2</v>
      </c>
      <c r="R22" s="242">
        <f>IF(Sheet1!R156="","",Sheet1!R156)</f>
        <v>7.6166291206174686E-2</v>
      </c>
      <c r="S22" s="242">
        <f>IF(Sheet1!S156="","",Sheet1!S156)</f>
        <v>6.9596569380746764E-2</v>
      </c>
    </row>
    <row r="23" spans="2:19" ht="20.100000000000001" customHeight="1">
      <c r="B23" s="3" t="s">
        <v>1308</v>
      </c>
      <c r="C23" s="3"/>
      <c r="D23" s="3"/>
      <c r="E23" s="2"/>
      <c r="F23" s="2"/>
      <c r="G23" s="2"/>
      <c r="H23" s="2"/>
      <c r="I23" s="2"/>
      <c r="J23" s="2"/>
      <c r="K23" s="2"/>
      <c r="L23" s="2"/>
      <c r="M23" s="2"/>
      <c r="N23" s="2"/>
      <c r="O23" s="2"/>
      <c r="P23" s="2"/>
      <c r="Q23" s="2"/>
      <c r="R23" s="2"/>
      <c r="S23" s="2"/>
    </row>
    <row r="24" spans="2:19">
      <c r="B24" t="s">
        <v>379</v>
      </c>
      <c r="D24" t="s">
        <v>1309</v>
      </c>
      <c r="E24" s="242">
        <f>IF(Sheet1!E158="","",Sheet1!E158)</f>
        <v>0.50098072670214755</v>
      </c>
      <c r="F24" s="242">
        <f>IF(Sheet1!F158="","",Sheet1!F158)</f>
        <v>0.48982672240740488</v>
      </c>
      <c r="G24" s="242">
        <f>IF(Sheet1!G158="","",Sheet1!G158)</f>
        <v>0.48237892425597151</v>
      </c>
      <c r="H24" s="242">
        <f>IF(Sheet1!H158="","",Sheet1!H158)</f>
        <v>0.43591284185156715</v>
      </c>
      <c r="I24" s="242">
        <f>IF(Sheet1!I158="","",Sheet1!I158)</f>
        <v>0.39268026469277439</v>
      </c>
      <c r="J24" s="242">
        <f>IF(Sheet1!J158="","",Sheet1!J158)</f>
        <v>0.39268026469277439</v>
      </c>
      <c r="K24" s="242">
        <f>IF(Sheet1!K158="","",Sheet1!K158)</f>
        <v>0.39268026469277439</v>
      </c>
      <c r="L24" s="242">
        <f>IF(Sheet1!L158="","",Sheet1!L158)</f>
        <v>0.39268026469277439</v>
      </c>
      <c r="M24" s="242">
        <f>IF(Sheet1!M158="","",Sheet1!M158)</f>
        <v>0.39268026469277439</v>
      </c>
      <c r="N24" s="242">
        <f>IF(Sheet1!N158="","",Sheet1!N158)</f>
        <v>0.39268026469277439</v>
      </c>
      <c r="O24" s="242">
        <f>IF(Sheet1!O158="","",Sheet1!O158)</f>
        <v>0.39268026469277439</v>
      </c>
      <c r="P24" s="242">
        <f>IF(Sheet1!P158="","",Sheet1!P158)</f>
        <v>0.39268026469277439</v>
      </c>
      <c r="Q24" s="242">
        <f>IF(Sheet1!Q158="","",Sheet1!Q158)</f>
        <v>0.39268026469277439</v>
      </c>
      <c r="R24" s="242">
        <f>IF(Sheet1!R158="","",Sheet1!R158)</f>
        <v>0.39268026469277439</v>
      </c>
      <c r="S24" s="242">
        <f>IF(Sheet1!S158="","",Sheet1!S158)</f>
        <v>0.39268026469277439</v>
      </c>
    </row>
    <row r="25" spans="2:19">
      <c r="B25" t="s">
        <v>380</v>
      </c>
      <c r="D25" t="s">
        <v>1310</v>
      </c>
      <c r="E25" s="242">
        <f>IF(Sheet1!E159="","",Sheet1!E159)</f>
        <v>2.432813151252677E-2</v>
      </c>
      <c r="F25" s="242">
        <f>IF(Sheet1!F159="","",Sheet1!F159)</f>
        <v>2.6798941125629132E-2</v>
      </c>
      <c r="G25" s="242">
        <f>IF(Sheet1!G159="","",Sheet1!G159)</f>
        <v>3.4501225893062523E-2</v>
      </c>
      <c r="H25" s="242">
        <f>IF(Sheet1!H159="","",Sheet1!H159)</f>
        <v>4.1104862117354125E-2</v>
      </c>
      <c r="I25" s="242">
        <f>IF(Sheet1!I159="","",Sheet1!I159)</f>
        <v>4.3121833528084935E-2</v>
      </c>
      <c r="J25" s="242">
        <f>IF(Sheet1!J159="","",Sheet1!J159)</f>
        <v>4.3121833528084935E-2</v>
      </c>
      <c r="K25" s="242">
        <f>IF(Sheet1!K159="","",Sheet1!K159)</f>
        <v>4.3121833528084935E-2</v>
      </c>
      <c r="L25" s="242">
        <f>IF(Sheet1!L159="","",Sheet1!L159)</f>
        <v>4.3121833528084935E-2</v>
      </c>
      <c r="M25" s="242">
        <f>IF(Sheet1!M159="","",Sheet1!M159)</f>
        <v>4.3121833528084935E-2</v>
      </c>
      <c r="N25" s="242">
        <f>IF(Sheet1!N159="","",Sheet1!N159)</f>
        <v>4.3121833528084935E-2</v>
      </c>
      <c r="O25" s="242">
        <f>IF(Sheet1!O159="","",Sheet1!O159)</f>
        <v>4.3121833528084935E-2</v>
      </c>
      <c r="P25" s="242">
        <f>IF(Sheet1!P159="","",Sheet1!P159)</f>
        <v>4.3121833528084935E-2</v>
      </c>
      <c r="Q25" s="242">
        <f>IF(Sheet1!Q159="","",Sheet1!Q159)</f>
        <v>4.3121833528084935E-2</v>
      </c>
      <c r="R25" s="242">
        <f>IF(Sheet1!R159="","",Sheet1!R159)</f>
        <v>4.3121833528084935E-2</v>
      </c>
      <c r="S25" s="242">
        <f>IF(Sheet1!S159="","",Sheet1!S159)</f>
        <v>4.3121833528084935E-2</v>
      </c>
    </row>
    <row r="26" spans="2:19">
      <c r="B26" t="s">
        <v>381</v>
      </c>
      <c r="D26" t="s">
        <v>1311</v>
      </c>
      <c r="E26" s="242">
        <f>IF(Sheet1!E160="","",Sheet1!E160)</f>
        <v>0.18320579209020679</v>
      </c>
      <c r="F26" s="242">
        <f>IF(Sheet1!F160="","",Sheet1!F160)</f>
        <v>0.19184885065458096</v>
      </c>
      <c r="G26" s="242">
        <f>IF(Sheet1!G160="","",Sheet1!G160)</f>
        <v>0.20546633318087965</v>
      </c>
      <c r="H26" s="242">
        <f>IF(Sheet1!H160="","",Sheet1!H160)</f>
        <v>0.24194735503492981</v>
      </c>
      <c r="I26" s="242">
        <f>IF(Sheet1!I160="","",Sheet1!I160)</f>
        <v>0.26611987363307815</v>
      </c>
      <c r="J26" s="242">
        <f>IF(Sheet1!J160="","",Sheet1!J160)</f>
        <v>0.29098734034652352</v>
      </c>
      <c r="K26" s="242">
        <f>IF(Sheet1!K160="","",Sheet1!K160)</f>
        <v>0.28699520539861323</v>
      </c>
      <c r="L26" s="242">
        <f>IF(Sheet1!L160="","",Sheet1!L160)</f>
        <v>0.28106453072950455</v>
      </c>
      <c r="M26" s="242">
        <f>IF(Sheet1!M160="","",Sheet1!M160)</f>
        <v>0.27777389723835005</v>
      </c>
      <c r="N26" s="242">
        <f>IF(Sheet1!N160="","",Sheet1!N160)</f>
        <v>0.27785583070390496</v>
      </c>
      <c r="O26" s="242">
        <f>IF(Sheet1!O160="","",Sheet1!O160)</f>
        <v>0.2777825535489023</v>
      </c>
      <c r="P26" s="242">
        <f>IF(Sheet1!P160="","",Sheet1!P160)</f>
        <v>0.27748644534283112</v>
      </c>
      <c r="Q26" s="242">
        <f>IF(Sheet1!Q160="","",Sheet1!Q160)</f>
        <v>0.27734670079169654</v>
      </c>
      <c r="R26" s="242">
        <f>IF(Sheet1!R160="","",Sheet1!R160)</f>
        <v>0.27736016337735508</v>
      </c>
      <c r="S26" s="242">
        <f>IF(Sheet1!S160="","",Sheet1!S160)</f>
        <v>0.2775243980276334</v>
      </c>
    </row>
    <row r="27" spans="2:19">
      <c r="B27" t="s">
        <v>1312</v>
      </c>
      <c r="D27" t="s">
        <v>1313</v>
      </c>
      <c r="E27" s="242" t="str">
        <f>IF(Sheet1!E161="","",Sheet1!E161)</f>
        <v/>
      </c>
      <c r="F27" s="242" t="str">
        <f>IF(Sheet1!F161="","",Sheet1!F161)</f>
        <v/>
      </c>
      <c r="G27" s="242" t="str">
        <f>IF(Sheet1!G161="","",Sheet1!G161)</f>
        <v/>
      </c>
      <c r="H27" s="242" t="str">
        <f>IF(Sheet1!H161="","",Sheet1!H161)</f>
        <v/>
      </c>
      <c r="I27" s="242" t="str">
        <f>IF(Sheet1!I161="","",Sheet1!I161)</f>
        <v/>
      </c>
      <c r="J27" s="242" t="str">
        <f>IF(Sheet1!J161="","",Sheet1!J161)</f>
        <v/>
      </c>
      <c r="K27" s="242" t="str">
        <f>IF(Sheet1!K161="","",Sheet1!K161)</f>
        <v/>
      </c>
      <c r="L27" s="242" t="str">
        <f>IF(Sheet1!L161="","",Sheet1!L161)</f>
        <v/>
      </c>
      <c r="M27" s="242" t="str">
        <f>IF(Sheet1!M161="","",Sheet1!M161)</f>
        <v/>
      </c>
      <c r="N27" s="242" t="str">
        <f>IF(Sheet1!N161="","",Sheet1!N161)</f>
        <v/>
      </c>
      <c r="O27" s="242" t="str">
        <f>IF(Sheet1!O161="","",Sheet1!O161)</f>
        <v/>
      </c>
      <c r="P27" s="242" t="str">
        <f>IF(Sheet1!P161="","",Sheet1!P161)</f>
        <v/>
      </c>
      <c r="Q27" s="242" t="str">
        <f>IF(Sheet1!Q161="","",Sheet1!Q161)</f>
        <v/>
      </c>
      <c r="R27" s="242" t="str">
        <f>IF(Sheet1!R161="","",Sheet1!R161)</f>
        <v/>
      </c>
      <c r="S27" s="242" t="str">
        <f>IF(Sheet1!S161="","",Sheet1!S161)</f>
        <v/>
      </c>
    </row>
    <row r="28" spans="2:19">
      <c r="B28" t="s">
        <v>382</v>
      </c>
      <c r="D28" t="s">
        <v>1314</v>
      </c>
      <c r="E28" s="242" t="str">
        <f>IF(Sheet1!E162="","",Sheet1!E162)</f>
        <v>FY21A</v>
      </c>
      <c r="F28" s="242" t="str">
        <f>IF(Sheet1!F162="","",Sheet1!F162)</f>
        <v>FY22A</v>
      </c>
      <c r="G28" s="242" t="str">
        <f>IF(Sheet1!G162="","",Sheet1!G162)</f>
        <v>FY23A</v>
      </c>
      <c r="H28" s="242" t="str">
        <f>IF(Sheet1!H162="","",Sheet1!H162)</f>
        <v>FY24A</v>
      </c>
      <c r="I28" s="242" t="str">
        <f>IF(Sheet1!I162="","",Sheet1!I162)</f>
        <v>FY25A</v>
      </c>
      <c r="J28" s="242" t="str">
        <f>IF(Sheet1!J162="","",Sheet1!J162)</f>
        <v>FY26E</v>
      </c>
      <c r="K28" s="242" t="str">
        <f>IF(Sheet1!K162="","",Sheet1!K162)</f>
        <v>FY27E</v>
      </c>
      <c r="L28" s="242" t="str">
        <f>IF(Sheet1!L162="","",Sheet1!L162)</f>
        <v>FY28E</v>
      </c>
      <c r="M28" s="242" t="str">
        <f>IF(Sheet1!M162="","",Sheet1!M162)</f>
        <v>FY29E</v>
      </c>
      <c r="N28" s="242" t="str">
        <f>IF(Sheet1!N162="","",Sheet1!N162)</f>
        <v>FY30E</v>
      </c>
      <c r="O28" s="242" t="str">
        <f>IF(Sheet1!O162="","",Sheet1!O162)</f>
        <v>FY31E</v>
      </c>
      <c r="P28" s="242" t="str">
        <f>IF(Sheet1!P162="","",Sheet1!P162)</f>
        <v>FY32E</v>
      </c>
      <c r="Q28" s="242" t="str">
        <f>IF(Sheet1!Q162="","",Sheet1!Q162)</f>
        <v>FY33E</v>
      </c>
      <c r="R28" s="242" t="str">
        <f>IF(Sheet1!R162="","",Sheet1!R162)</f>
        <v>FY34E</v>
      </c>
      <c r="S28" s="242" t="str">
        <f>IF(Sheet1!S162="","",Sheet1!S162)</f>
        <v>FY35E</v>
      </c>
    </row>
    <row r="29" spans="2:19">
      <c r="B29" t="s">
        <v>383</v>
      </c>
      <c r="D29" t="s">
        <v>1315</v>
      </c>
      <c r="E29" s="242">
        <f>IF(Sheet1!E163="","",Sheet1!E163)</f>
        <v>26525</v>
      </c>
      <c r="F29" s="242">
        <f>IF(Sheet1!F163="","",Sheet1!F163)</f>
        <v>39206</v>
      </c>
      <c r="G29" s="242">
        <f>IF(Sheet1!G163="","",Sheet1!G163)</f>
        <v>40001</v>
      </c>
      <c r="H29" s="242">
        <f>IF(Sheet1!H163="","",Sheet1!H163)</f>
        <v>61913</v>
      </c>
      <c r="I29" s="242">
        <f>IF(Sheet1!I163="","",Sheet1!I163)</f>
        <v>64845</v>
      </c>
      <c r="J29" s="242">
        <f>IF(Sheet1!J163="","",Sheet1!J163)</f>
        <v>68145.471615446004</v>
      </c>
      <c r="K29" s="242">
        <f>IF(Sheet1!K163="","",Sheet1!K163)</f>
        <v>80573.850369994019</v>
      </c>
      <c r="L29" s="242">
        <f>IF(Sheet1!L163="","",Sheet1!L163)</f>
        <v>85532.17347535734</v>
      </c>
      <c r="M29" s="242">
        <f>IF(Sheet1!M163="","",Sheet1!M163)</f>
        <v>96977.652330004552</v>
      </c>
      <c r="N29" s="242">
        <f>IF(Sheet1!N163="","",Sheet1!N163)</f>
        <v>109040.41760245353</v>
      </c>
      <c r="O29" s="242">
        <f>IF(Sheet1!O163="","",Sheet1!O163)</f>
        <v>119970.29709506572</v>
      </c>
      <c r="P29" s="242">
        <f>IF(Sheet1!P163="","",Sheet1!P163)</f>
        <v>130204.23527573518</v>
      </c>
      <c r="Q29" s="242">
        <f>IF(Sheet1!Q163="","",Sheet1!Q163)</f>
        <v>139460.84296456</v>
      </c>
      <c r="R29" s="242">
        <f>IF(Sheet1!R163="","",Sheet1!R163)</f>
        <v>148423.06111520837</v>
      </c>
      <c r="S29" s="242">
        <f>IF(Sheet1!S163="","",Sheet1!S163)</f>
        <v>156935.94003962152</v>
      </c>
    </row>
    <row r="30" spans="2:19">
      <c r="B30" t="s">
        <v>385</v>
      </c>
      <c r="D30" t="s">
        <v>1316</v>
      </c>
      <c r="E30" s="242">
        <f>IF(Sheet1!E164="","",Sheet1!E164)</f>
        <v>67734.526712810009</v>
      </c>
      <c r="F30" s="242">
        <f>IF(Sheet1!F164="","",Sheet1!F164)</f>
        <v>58323.41106816</v>
      </c>
      <c r="G30" s="242">
        <f>IF(Sheet1!G164="","",Sheet1!G164)</f>
        <v>71621.726236799994</v>
      </c>
      <c r="H30" s="242">
        <f>IF(Sheet1!H164="","",Sheet1!H164)</f>
        <v>62426.250163900026</v>
      </c>
      <c r="I30" s="242">
        <f>IF(Sheet1!I164="","",Sheet1!I164)</f>
        <v>60369.830632320023</v>
      </c>
      <c r="J30" s="242">
        <f>IF(Sheet1!J164="","",Sheet1!J164)</f>
        <v>68075.289551218564</v>
      </c>
      <c r="K30" s="242">
        <f>IF(Sheet1!K164="","",Sheet1!K164)</f>
        <v>75991.151708454185</v>
      </c>
      <c r="L30" s="242">
        <f>IF(Sheet1!L164="","",Sheet1!L164)</f>
        <v>83786.954746999807</v>
      </c>
      <c r="M30" s="242">
        <f>IF(Sheet1!M164="","",Sheet1!M164)</f>
        <v>92739.034038977101</v>
      </c>
      <c r="N30" s="242">
        <f>IF(Sheet1!N164="","",Sheet1!N164)</f>
        <v>101845.16800720524</v>
      </c>
      <c r="O30" s="242">
        <f>IF(Sheet1!O164="","",Sheet1!O164)</f>
        <v>111171.25127451566</v>
      </c>
      <c r="P30" s="242">
        <f>IF(Sheet1!P164="","",Sheet1!P164)</f>
        <v>120614.06801324523</v>
      </c>
      <c r="Q30" s="242">
        <f>IF(Sheet1!Q164="","",Sheet1!Q164)</f>
        <v>130057.95489792411</v>
      </c>
      <c r="R30" s="242">
        <f>IF(Sheet1!R164="","",Sheet1!R164)</f>
        <v>139376.73912731928</v>
      </c>
      <c r="S30" s="242">
        <f>IF(Sheet1!S164="","",Sheet1!S164)</f>
        <v>148436.22717059503</v>
      </c>
    </row>
    <row r="31" spans="2:19">
      <c r="B31" t="s">
        <v>387</v>
      </c>
      <c r="D31" t="s">
        <v>1317</v>
      </c>
      <c r="E31" s="242">
        <f>IF(Sheet1!E165="","",Sheet1!E165)</f>
        <v>171291</v>
      </c>
      <c r="F31" s="242">
        <f>IF(Sheet1!F165="","",Sheet1!F165)</f>
        <v>207704</v>
      </c>
      <c r="G31" s="242">
        <f>IF(Sheet1!G165="","",Sheet1!G165)</f>
        <v>240316</v>
      </c>
      <c r="H31" s="242">
        <f>IF(Sheet1!H165="","",Sheet1!H165)</f>
        <v>278481</v>
      </c>
      <c r="I31" s="242">
        <f>IF(Sheet1!I165="","",Sheet1!I165)</f>
        <v>318844</v>
      </c>
      <c r="J31" s="242">
        <f>IF(Sheet1!J165="","",Sheet1!J165)</f>
        <v>364695.64</v>
      </c>
      <c r="K31" s="242">
        <f>IF(Sheet1!K165="","",Sheet1!K165)</f>
        <v>411892.25539999997</v>
      </c>
      <c r="L31" s="242">
        <f>IF(Sheet1!L165="","",Sheet1!L165)</f>
        <v>459428.36733200005</v>
      </c>
      <c r="M31" s="242">
        <f>IF(Sheet1!M165="","",Sheet1!M165)</f>
        <v>508515.23515956011</v>
      </c>
      <c r="N31" s="242">
        <f>IF(Sheet1!N165="","",Sheet1!N165)</f>
        <v>558446.82981367095</v>
      </c>
      <c r="O31" s="242">
        <f>IF(Sheet1!O165="","",Sheet1!O165)</f>
        <v>609584.47077508958</v>
      </c>
      <c r="P31" s="242">
        <f>IF(Sheet1!P165="","",Sheet1!P165)</f>
        <v>661362.19548640749</v>
      </c>
      <c r="Q31" s="242">
        <f>IF(Sheet1!Q165="","",Sheet1!Q165)</f>
        <v>713145.78812081413</v>
      </c>
      <c r="R31" s="242">
        <f>IF(Sheet1!R165="","",Sheet1!R165)</f>
        <v>764243.40632352745</v>
      </c>
      <c r="S31" s="242">
        <f>IF(Sheet1!S165="","",Sheet1!S165)</f>
        <v>813919.22773455665</v>
      </c>
    </row>
    <row r="32" spans="2:19">
      <c r="B32" t="s">
        <v>388</v>
      </c>
      <c r="D32" t="s">
        <v>1318</v>
      </c>
      <c r="E32" s="242">
        <f>IF(Sheet1!E166="","",Sheet1!E166)</f>
        <v>-7471.5267128099995</v>
      </c>
      <c r="F32" s="242">
        <f>IF(Sheet1!F166="","",Sheet1!F166)</f>
        <v>-9204.4110681599996</v>
      </c>
      <c r="G32" s="242">
        <f>IF(Sheet1!G166="","",Sheet1!G166)</f>
        <v>-9714.7262367999992</v>
      </c>
      <c r="H32" s="242">
        <f>IF(Sheet1!H166="","",Sheet1!H166)</f>
        <v>-10318.2501639</v>
      </c>
      <c r="I32" s="242">
        <f>IF(Sheet1!I166="","",Sheet1!I166)</f>
        <v>-11015.830632320001</v>
      </c>
      <c r="J32" s="242">
        <f>IF(Sheet1!J166="","",Sheet1!J166)</f>
        <v>-12819.051745999999</v>
      </c>
      <c r="K32" s="242">
        <f>IF(Sheet1!K166="","",Sheet1!K166)</f>
        <v>-14478.012777309998</v>
      </c>
      <c r="L32" s="242">
        <f>IF(Sheet1!L166="","",Sheet1!L166)</f>
        <v>-15712.450162754401</v>
      </c>
      <c r="M32" s="242">
        <f>IF(Sheet1!M166="","",Sheet1!M166)</f>
        <v>-17391.221042456953</v>
      </c>
      <c r="N32" s="242">
        <f>IF(Sheet1!N166="","",Sheet1!N166)</f>
        <v>-19098.881579627545</v>
      </c>
      <c r="O32" s="242">
        <f>IF(Sheet1!O166="","",Sheet1!O166)</f>
        <v>-20847.788900508061</v>
      </c>
      <c r="P32" s="242">
        <f>IF(Sheet1!P166="","",Sheet1!P166)</f>
        <v>-22618.587085635136</v>
      </c>
      <c r="Q32" s="242">
        <f>IF(Sheet1!Q166="","",Sheet1!Q166)</f>
        <v>-24389.585953731839</v>
      </c>
      <c r="R32" s="242">
        <f>IF(Sheet1!R166="","",Sheet1!R166)</f>
        <v>-26137.124496264634</v>
      </c>
      <c r="S32" s="242">
        <f>IF(Sheet1!S166="","",Sheet1!S166)</f>
        <v>-27836.037588521831</v>
      </c>
    </row>
    <row r="33" spans="2:19">
      <c r="B33" t="s">
        <v>389</v>
      </c>
      <c r="D33" t="s">
        <v>1319</v>
      </c>
      <c r="E33" s="242">
        <f>IF(Sheet1!E167="","",Sheet1!E167)</f>
        <v>4056</v>
      </c>
      <c r="F33" s="242">
        <f>IF(Sheet1!F167="","",Sheet1!F167)</f>
        <v>5655</v>
      </c>
      <c r="G33" s="242">
        <f>IF(Sheet1!G167="","",Sheet1!G167)</f>
        <v>6481</v>
      </c>
      <c r="H33" s="242">
        <f>IF(Sheet1!H167="","",Sheet1!H167)</f>
        <v>9826</v>
      </c>
      <c r="I33" s="242">
        <f>IF(Sheet1!I167="","",Sheet1!I167)</f>
        <v>13857</v>
      </c>
      <c r="J33" s="242">
        <f>IF(Sheet1!J167="","",Sheet1!J167)</f>
        <v>13720.072769704078</v>
      </c>
      <c r="K33" s="242">
        <f>IF(Sheet1!K167="","",Sheet1!K167)</f>
        <v>13964.072784034382</v>
      </c>
      <c r="L33" s="242">
        <f>IF(Sheet1!L167="","",Sheet1!L167)</f>
        <v>14515.764295624289</v>
      </c>
      <c r="M33" s="242">
        <f>IF(Sheet1!M167="","",Sheet1!M167)</f>
        <v>15278.729946013165</v>
      </c>
      <c r="N33" s="242">
        <f>IF(Sheet1!N167="","",Sheet1!N167)</f>
        <v>16206.675398666364</v>
      </c>
      <c r="O33" s="242">
        <f>IF(Sheet1!O167="","",Sheet1!O167)</f>
        <v>17281.715239787321</v>
      </c>
      <c r="P33" s="242">
        <f>IF(Sheet1!P167="","",Sheet1!P167)</f>
        <v>18488.469612553508</v>
      </c>
      <c r="Q33" s="242">
        <f>IF(Sheet1!Q167="","",Sheet1!Q167)</f>
        <v>19806.190750788432</v>
      </c>
      <c r="R33" s="242">
        <f>IF(Sheet1!R167="","",Sheet1!R167)</f>
        <v>21214.217007189989</v>
      </c>
      <c r="S33" s="242">
        <f>IF(Sheet1!S167="","",Sheet1!S167)</f>
        <v>22691.56084003776</v>
      </c>
    </row>
    <row r="34" spans="2:19">
      <c r="B34" t="s">
        <v>391</v>
      </c>
      <c r="D34" t="s">
        <v>1320</v>
      </c>
      <c r="E34" s="242">
        <f>IF(Sheet1!E168="","",Sheet1!E168)</f>
        <v>3154</v>
      </c>
      <c r="F34" s="242">
        <f>IF(Sheet1!F168="","",Sheet1!F168)</f>
        <v>4043</v>
      </c>
      <c r="G34" s="242">
        <f>IF(Sheet1!G168="","",Sheet1!G168)</f>
        <v>4919</v>
      </c>
      <c r="H34" s="242">
        <f>IF(Sheet1!H168="","",Sheet1!H168)</f>
        <v>6285</v>
      </c>
      <c r="I34" s="242">
        <f>IF(Sheet1!I168="","",Sheet1!I168)</f>
        <v>9293</v>
      </c>
      <c r="J34" s="242">
        <f>IF(Sheet1!J168="","",Sheet1!J168)</f>
        <v>10623.537705829187</v>
      </c>
      <c r="K34" s="242">
        <f>IF(Sheet1!K168="","",Sheet1!K168)</f>
        <v>12387.009129529373</v>
      </c>
      <c r="L34" s="242">
        <f>IF(Sheet1!L168="","",Sheet1!L168)</f>
        <v>14166.190542072074</v>
      </c>
      <c r="M34" s="242">
        <f>IF(Sheet1!M168="","",Sheet1!M168)</f>
        <v>15767.410509661006</v>
      </c>
      <c r="N34" s="242">
        <f>IF(Sheet1!N168="","",Sheet1!N168)</f>
        <v>17339.037158525589</v>
      </c>
      <c r="O34" s="242">
        <f>IF(Sheet1!O168="","",Sheet1!O168)</f>
        <v>18973.910520443136</v>
      </c>
      <c r="P34" s="242">
        <f>IF(Sheet1!P168="","",Sheet1!P168)</f>
        <v>20665.64362748542</v>
      </c>
      <c r="Q34" s="242">
        <f>IF(Sheet1!Q168="","",Sheet1!Q168)</f>
        <v>22371.492880413087</v>
      </c>
      <c r="R34" s="242">
        <f>IF(Sheet1!R168="","",Sheet1!R168)</f>
        <v>24070.557939097696</v>
      </c>
      <c r="S34" s="242">
        <f>IF(Sheet1!S168="","",Sheet1!S168)</f>
        <v>25740.255289702469</v>
      </c>
    </row>
    <row r="35" spans="2:19">
      <c r="B35" t="s">
        <v>393</v>
      </c>
      <c r="D35" t="s">
        <v>1256</v>
      </c>
      <c r="E35" s="242">
        <f>IF(Sheet1!E169="","",Sheet1!E169)</f>
        <v>265289</v>
      </c>
      <c r="F35" s="242">
        <f>IF(Sheet1!F169="","",Sheet1!F169)</f>
        <v>305727</v>
      </c>
      <c r="G35" s="242">
        <f>IF(Sheet1!G169="","",Sheet1!G169)</f>
        <v>353624</v>
      </c>
      <c r="H35" s="242">
        <f>IF(Sheet1!H169="","",Sheet1!H169)</f>
        <v>408613</v>
      </c>
      <c r="I35" s="242">
        <f>IF(Sheet1!I169="","",Sheet1!I169)</f>
        <v>456193</v>
      </c>
      <c r="J35" s="242">
        <f>IF(Sheet1!J169="","",Sheet1!J169)</f>
        <v>512440.95989619783</v>
      </c>
      <c r="K35" s="242">
        <f>IF(Sheet1!K169="","",Sheet1!K169)</f>
        <v>580330.32661470189</v>
      </c>
      <c r="L35" s="242">
        <f>IF(Sheet1!L169="","",Sheet1!L169)</f>
        <v>641717.00022929918</v>
      </c>
      <c r="M35" s="242">
        <f>IF(Sheet1!M169="","",Sheet1!M169)</f>
        <v>711886.84094175894</v>
      </c>
      <c r="N35" s="242">
        <f>IF(Sheet1!N169="","",Sheet1!N169)</f>
        <v>783779.24640089413</v>
      </c>
      <c r="O35" s="242">
        <f>IF(Sheet1!O169="","",Sheet1!O169)</f>
        <v>856133.85600439331</v>
      </c>
      <c r="P35" s="242">
        <f>IF(Sheet1!P169="","",Sheet1!P169)</f>
        <v>928716.02492979157</v>
      </c>
      <c r="Q35" s="242">
        <f>IF(Sheet1!Q169="","",Sheet1!Q169)</f>
        <v>1000452.683660768</v>
      </c>
      <c r="R35" s="242">
        <f>IF(Sheet1!R169="","",Sheet1!R169)</f>
        <v>1071190.8570160782</v>
      </c>
      <c r="S35" s="242">
        <f>IF(Sheet1!S169="","",Sheet1!S169)</f>
        <v>1139887.1734859913</v>
      </c>
    </row>
    <row r="36" spans="2:19">
      <c r="B36" t="s">
        <v>394</v>
      </c>
      <c r="D36" t="s">
        <v>1321</v>
      </c>
      <c r="E36" s="242">
        <f>IF(Sheet1!E170="","",Sheet1!E170)</f>
        <v>56925.200000000012</v>
      </c>
      <c r="F36" s="242">
        <f>IF(Sheet1!F170="","",Sheet1!F170)</f>
        <v>65895.731999999989</v>
      </c>
      <c r="G36" s="242">
        <f>IF(Sheet1!G170="","",Sheet1!G170)</f>
        <v>66980.699999999983</v>
      </c>
      <c r="H36" s="242">
        <f>IF(Sheet1!H170="","",Sheet1!H170)</f>
        <v>73677.149999999994</v>
      </c>
      <c r="I36" s="242">
        <f>IF(Sheet1!I170="","",Sheet1!I170)</f>
        <v>90175.892999999982</v>
      </c>
      <c r="J36" s="242">
        <f>IF(Sheet1!J170="","",Sheet1!J170)</f>
        <v>101685.72550588235</v>
      </c>
      <c r="K36" s="242">
        <f>IF(Sheet1!K170="","",Sheet1!K170)</f>
        <v>113509.84247651161</v>
      </c>
      <c r="L36" s="242">
        <f>IF(Sheet1!L170="","",Sheet1!L170)</f>
        <v>125154.62420423451</v>
      </c>
      <c r="M36" s="242">
        <f>IF(Sheet1!M170="","",Sheet1!M170)</f>
        <v>138526.56406070775</v>
      </c>
      <c r="N36" s="242">
        <f>IF(Sheet1!N170="","",Sheet1!N170)</f>
        <v>152128.61915613792</v>
      </c>
      <c r="O36" s="242">
        <f>IF(Sheet1!O170="","",Sheet1!O170)</f>
        <v>166059.21790080029</v>
      </c>
      <c r="P36" s="242">
        <f>IF(Sheet1!P170="","",Sheet1!P170)</f>
        <v>180164.18428767647</v>
      </c>
      <c r="Q36" s="242">
        <f>IF(Sheet1!Q170="","",Sheet1!Q170)</f>
        <v>194270.74917773902</v>
      </c>
      <c r="R36" s="242">
        <f>IF(Sheet1!R170="","",Sheet1!R170)</f>
        <v>208190.44517089194</v>
      </c>
      <c r="S36" s="242">
        <f>IF(Sheet1!S170="","",Sheet1!S170)</f>
        <v>221722.82410699991</v>
      </c>
    </row>
    <row r="37" spans="2:19">
      <c r="B37" t="s">
        <v>395</v>
      </c>
      <c r="D37" t="s">
        <v>1322</v>
      </c>
      <c r="E37" s="242">
        <f>IF(Sheet1!E171="","",Sheet1!E171)</f>
        <v>1491</v>
      </c>
      <c r="F37" s="242">
        <f>IF(Sheet1!F171="","",Sheet1!F171)</f>
        <v>4372</v>
      </c>
      <c r="G37" s="242">
        <f>IF(Sheet1!G171="","",Sheet1!G171)</f>
        <v>14508</v>
      </c>
      <c r="H37" s="242">
        <f>IF(Sheet1!H171="","",Sheet1!H171)</f>
        <v>26605</v>
      </c>
      <c r="I37" s="242">
        <f>IF(Sheet1!I171="","",Sheet1!I171)</f>
        <v>11864</v>
      </c>
      <c r="J37" s="242">
        <f>IF(Sheet1!J171="","",Sheet1!J171)</f>
        <v>11815.4</v>
      </c>
      <c r="K37" s="242">
        <f>IF(Sheet1!K171="","",Sheet1!K171)</f>
        <v>13560.4</v>
      </c>
      <c r="L37" s="242">
        <f>IF(Sheet1!L171="","",Sheet1!L171)</f>
        <v>14874.4</v>
      </c>
      <c r="M37" s="242">
        <f>IF(Sheet1!M171="","",Sheet1!M171)</f>
        <v>16874.400000000001</v>
      </c>
      <c r="N37" s="242">
        <f>IF(Sheet1!N171="","",Sheet1!N171)</f>
        <v>18874.400000000001</v>
      </c>
      <c r="O37" s="242">
        <f>IF(Sheet1!O171="","",Sheet1!O171)</f>
        <v>18874.400000000001</v>
      </c>
      <c r="P37" s="242">
        <f>IF(Sheet1!P171="","",Sheet1!P171)</f>
        <v>18874.400000000001</v>
      </c>
      <c r="Q37" s="242">
        <f>IF(Sheet1!Q171="","",Sheet1!Q171)</f>
        <v>18874.400000000001</v>
      </c>
      <c r="R37" s="242">
        <f>IF(Sheet1!R171="","",Sheet1!R171)</f>
        <v>18874.400000000001</v>
      </c>
      <c r="S37" s="242">
        <f>IF(Sheet1!S171="","",Sheet1!S171)</f>
        <v>18874.400000000001</v>
      </c>
    </row>
    <row r="38" spans="2:19">
      <c r="B38" t="s">
        <v>396</v>
      </c>
      <c r="D38" t="s">
        <v>1323</v>
      </c>
      <c r="E38" s="242">
        <f>IF(Sheet1!E172="","",Sheet1!E172)</f>
        <v>800</v>
      </c>
      <c r="F38" s="242">
        <f>IF(Sheet1!F172="","",Sheet1!F172)</f>
        <v>900</v>
      </c>
      <c r="G38" s="242">
        <f>IF(Sheet1!G172="","",Sheet1!G172)</f>
        <v>1000</v>
      </c>
      <c r="H38" s="242">
        <f>IF(Sheet1!H172="","",Sheet1!H172)</f>
        <v>1100</v>
      </c>
      <c r="I38" s="242">
        <f>IF(Sheet1!I172="","",Sheet1!I172)</f>
        <v>4121</v>
      </c>
      <c r="J38" s="242">
        <f>IF(Sheet1!J172="","",Sheet1!J172)</f>
        <v>3833.1580759703816</v>
      </c>
      <c r="K38" s="242">
        <f>IF(Sheet1!K172="","",Sheet1!K172)</f>
        <v>3691.9181681071318</v>
      </c>
      <c r="L38" s="242">
        <f>IF(Sheet1!L172="","",Sheet1!L172)</f>
        <v>3668.7530345157329</v>
      </c>
      <c r="M38" s="242">
        <f>IF(Sheet1!M172="","",Sheet1!M172)</f>
        <v>3731.0628547673332</v>
      </c>
      <c r="N38" s="242">
        <f>IF(Sheet1!N172="","",Sheet1!N172)</f>
        <v>3860.2585392411347</v>
      </c>
      <c r="O38" s="242">
        <f>IF(Sheet1!O172="","",Sheet1!O172)</f>
        <v>4046.156096711089</v>
      </c>
      <c r="P38" s="242">
        <f>IF(Sheet1!P172="","",Sheet1!P172)</f>
        <v>4280.2858708207705</v>
      </c>
      <c r="Q38" s="242">
        <f>IF(Sheet1!Q172="","",Sheet1!Q172)</f>
        <v>4553.7141101022225</v>
      </c>
      <c r="R38" s="242">
        <f>IF(Sheet1!R172="","",Sheet1!R172)</f>
        <v>4858.2386030990729</v>
      </c>
      <c r="S38" s="242">
        <f>IF(Sheet1!S172="","",Sheet1!S172)</f>
        <v>5186.1573907805232</v>
      </c>
    </row>
    <row r="39" spans="2:19">
      <c r="B39" t="s">
        <v>398</v>
      </c>
      <c r="D39" t="s">
        <v>1324</v>
      </c>
      <c r="E39" s="242">
        <f>IF(Sheet1!E173="","",Sheet1!E173)</f>
        <v>4684.0659999999916</v>
      </c>
      <c r="F39" s="242">
        <f>IF(Sheet1!F173="","",Sheet1!F173)</f>
        <v>5458</v>
      </c>
      <c r="G39" s="242">
        <f>IF(Sheet1!G173="","",Sheet1!G173)</f>
        <v>5601.8790000000154</v>
      </c>
      <c r="H39" s="242">
        <f>IF(Sheet1!H173="","",Sheet1!H173)</f>
        <v>8412.4280000000144</v>
      </c>
      <c r="I39" s="242">
        <f>IF(Sheet1!I173="","",Sheet1!I173)</f>
        <v>7766.1259999999893</v>
      </c>
      <c r="J39" s="242">
        <f>IF(Sheet1!J173="","",Sheet1!J173)</f>
        <v>8878.0514784483275</v>
      </c>
      <c r="K39" s="242">
        <f>IF(Sheet1!K173="","",Sheet1!K173)</f>
        <v>10351.778076302087</v>
      </c>
      <c r="L39" s="242">
        <f>IF(Sheet1!L173="","",Sheet1!L173)</f>
        <v>11838.633454184859</v>
      </c>
      <c r="M39" s="242">
        <f>IF(Sheet1!M173="","",Sheet1!M173)</f>
        <v>13176.767105536579</v>
      </c>
      <c r="N39" s="242">
        <f>IF(Sheet1!N173="","",Sheet1!N173)</f>
        <v>14490.169729020934</v>
      </c>
      <c r="O39" s="242">
        <f>IF(Sheet1!O173="","",Sheet1!O173)</f>
        <v>15856.427398524351</v>
      </c>
      <c r="P39" s="242">
        <f>IF(Sheet1!P173="","",Sheet1!P173)</f>
        <v>17270.202548385732</v>
      </c>
      <c r="Q39" s="242">
        <f>IF(Sheet1!Q173="","",Sheet1!Q173)</f>
        <v>18695.774509565344</v>
      </c>
      <c r="R39" s="242">
        <f>IF(Sheet1!R173="","",Sheet1!R173)</f>
        <v>20115.676944510145</v>
      </c>
      <c r="S39" s="242">
        <f>IF(Sheet1!S173="","",Sheet1!S173)</f>
        <v>21511.036893575336</v>
      </c>
    </row>
    <row r="40" spans="2:19">
      <c r="B40" t="s">
        <v>400</v>
      </c>
      <c r="D40" t="s">
        <v>1325</v>
      </c>
      <c r="E40" s="242">
        <f>IF(Sheet1!E174="","",Sheet1!E174)</f>
        <v>176374.8</v>
      </c>
      <c r="F40" s="242">
        <f>IF(Sheet1!F174="","",Sheet1!F174)</f>
        <v>195595.26800000001</v>
      </c>
      <c r="G40" s="242">
        <f>IF(Sheet1!G174="","",Sheet1!G174)</f>
        <v>226794.30000000002</v>
      </c>
      <c r="H40" s="242">
        <f>IF(Sheet1!H174="","",Sheet1!H174)</f>
        <v>253776.85</v>
      </c>
      <c r="I40" s="242">
        <f>IF(Sheet1!I174="","",Sheet1!I174)</f>
        <v>290313.10700000002</v>
      </c>
      <c r="J40" s="242">
        <f>IF(Sheet1!J174="","",Sheet1!J174)</f>
        <v>327367.96861176472</v>
      </c>
      <c r="K40" s="242">
        <f>IF(Sheet1!K174="","",Sheet1!K174)</f>
        <v>365434.64054674417</v>
      </c>
      <c r="L40" s="242">
        <f>IF(Sheet1!L174="","",Sheet1!L174)</f>
        <v>402923.95893599541</v>
      </c>
      <c r="M40" s="242">
        <f>IF(Sheet1!M174="","",Sheet1!M174)</f>
        <v>445973.70623763715</v>
      </c>
      <c r="N40" s="242">
        <f>IF(Sheet1!N174="","",Sheet1!N174)</f>
        <v>489764.28867566772</v>
      </c>
      <c r="O40" s="242">
        <f>IF(Sheet1!O174="","",Sheet1!O174)</f>
        <v>534612.58758780838</v>
      </c>
      <c r="P40" s="242">
        <f>IF(Sheet1!P174="","",Sheet1!P174)</f>
        <v>580022.24730589532</v>
      </c>
      <c r="Q40" s="242">
        <f>IF(Sheet1!Q174="","",Sheet1!Q174)</f>
        <v>625437.05325997842</v>
      </c>
      <c r="R40" s="242">
        <f>IF(Sheet1!R174="","",Sheet1!R174)</f>
        <v>670250.25175270287</v>
      </c>
      <c r="S40" s="242">
        <f>IF(Sheet1!S174="","",Sheet1!S174)</f>
        <v>713816.5181166284</v>
      </c>
    </row>
    <row r="41" spans="2:19">
      <c r="B41" t="s">
        <v>402</v>
      </c>
      <c r="D41" t="s">
        <v>1326</v>
      </c>
      <c r="E41" s="242">
        <f>IF(Sheet1!E175="","",Sheet1!E175)</f>
        <v>25013.934000000001</v>
      </c>
      <c r="F41" s="242">
        <f>IF(Sheet1!F175="","",Sheet1!F175)</f>
        <v>33506</v>
      </c>
      <c r="G41" s="242">
        <f>IF(Sheet1!G175="","",Sheet1!G175)</f>
        <v>38739.120999999999</v>
      </c>
      <c r="H41" s="242">
        <f>IF(Sheet1!H175="","",Sheet1!H175)</f>
        <v>45041.572</v>
      </c>
      <c r="I41" s="242">
        <f>IF(Sheet1!I175="","",Sheet1!I175)</f>
        <v>51952.874000000003</v>
      </c>
      <c r="J41" s="242">
        <f>IF(Sheet1!J175="","",Sheet1!J175)</f>
        <v>58860.656224132057</v>
      </c>
      <c r="K41" s="242">
        <f>IF(Sheet1!K175="","",Sheet1!K175)</f>
        <v>73781.747347036915</v>
      </c>
      <c r="L41" s="242">
        <f>IF(Sheet1!L175="","",Sheet1!L175)</f>
        <v>83256.630600368619</v>
      </c>
      <c r="M41" s="242">
        <f>IF(Sheet1!M175="","",Sheet1!M175)</f>
        <v>93604.340683110131</v>
      </c>
      <c r="N41" s="242">
        <f>IF(Sheet1!N175="","",Sheet1!N175)</f>
        <v>104661.51030082637</v>
      </c>
      <c r="O41" s="242">
        <f>IF(Sheet1!O175="","",Sheet1!O175)</f>
        <v>116685.06702054919</v>
      </c>
      <c r="P41" s="242">
        <f>IF(Sheet1!P175="","",Sheet1!P175)</f>
        <v>128104.70491701334</v>
      </c>
      <c r="Q41" s="242">
        <f>IF(Sheet1!Q175="","",Sheet1!Q175)</f>
        <v>138620.99260338282</v>
      </c>
      <c r="R41" s="242">
        <f>IF(Sheet1!R175="","",Sheet1!R175)</f>
        <v>148901.84454487404</v>
      </c>
      <c r="S41" s="242">
        <f>IF(Sheet1!S175="","",Sheet1!S175)</f>
        <v>158776.23697800733</v>
      </c>
    </row>
    <row r="42" spans="2:19">
      <c r="B42" t="s">
        <v>403</v>
      </c>
      <c r="D42" t="s">
        <v>1327</v>
      </c>
      <c r="E42" s="242">
        <f>IF(Sheet1!E176="","",Sheet1!E176)</f>
        <v>265289</v>
      </c>
      <c r="F42" s="242">
        <f>IF(Sheet1!F176="","",Sheet1!F176)</f>
        <v>305727</v>
      </c>
      <c r="G42" s="242">
        <f>IF(Sheet1!G176="","",Sheet1!G176)</f>
        <v>353624</v>
      </c>
      <c r="H42" s="242">
        <f>IF(Sheet1!H176="","",Sheet1!H176)</f>
        <v>408613</v>
      </c>
      <c r="I42" s="242">
        <f>IF(Sheet1!I176="","",Sheet1!I176)</f>
        <v>456193</v>
      </c>
      <c r="J42" s="242">
        <f>IF(Sheet1!J176="","",Sheet1!J176)</f>
        <v>512440.95989619783</v>
      </c>
      <c r="K42" s="242">
        <f>IF(Sheet1!K176="","",Sheet1!K176)</f>
        <v>580330.32661470189</v>
      </c>
      <c r="L42" s="242">
        <f>IF(Sheet1!L176="","",Sheet1!L176)</f>
        <v>641717.00022929907</v>
      </c>
      <c r="M42" s="242">
        <f>IF(Sheet1!M176="","",Sheet1!M176)</f>
        <v>711886.84094175894</v>
      </c>
      <c r="N42" s="242">
        <f>IF(Sheet1!N176="","",Sheet1!N176)</f>
        <v>783779.24640089413</v>
      </c>
      <c r="O42" s="242">
        <f>IF(Sheet1!O176="","",Sheet1!O176)</f>
        <v>856133.85600439331</v>
      </c>
      <c r="P42" s="242">
        <f>IF(Sheet1!P176="","",Sheet1!P176)</f>
        <v>928716.02492979157</v>
      </c>
      <c r="Q42" s="242">
        <f>IF(Sheet1!Q176="","",Sheet1!Q176)</f>
        <v>1000452.6836607677</v>
      </c>
      <c r="R42" s="242">
        <f>IF(Sheet1!R176="","",Sheet1!R176)</f>
        <v>1071190.8570160782</v>
      </c>
      <c r="S42" s="242">
        <f>IF(Sheet1!S176="","",Sheet1!S176)</f>
        <v>1139887.1734859915</v>
      </c>
    </row>
    <row r="43" spans="2:19">
      <c r="B43" t="s">
        <v>404</v>
      </c>
      <c r="D43" t="s">
        <v>1328</v>
      </c>
      <c r="E43" s="242">
        <f>IF(Sheet1!E177="","",Sheet1!E177)</f>
        <v>0</v>
      </c>
      <c r="F43" s="242">
        <f>IF(Sheet1!F177="","",Sheet1!F177)</f>
        <v>0</v>
      </c>
      <c r="G43" s="242">
        <f>IF(Sheet1!G177="","",Sheet1!G177)</f>
        <v>0</v>
      </c>
      <c r="H43" s="242">
        <f>IF(Sheet1!H177="","",Sheet1!H177)</f>
        <v>0</v>
      </c>
      <c r="I43" s="242">
        <f>IF(Sheet1!I177="","",Sheet1!I177)</f>
        <v>0</v>
      </c>
      <c r="J43" s="242">
        <f>IF(Sheet1!J177="","",Sheet1!J177)</f>
        <v>0</v>
      </c>
      <c r="K43" s="242">
        <f>IF(Sheet1!K177="","",Sheet1!K177)</f>
        <v>0</v>
      </c>
      <c r="L43" s="242">
        <f>IF(Sheet1!L177="","",Sheet1!L177)</f>
        <v>0</v>
      </c>
      <c r="M43" s="242">
        <f>IF(Sheet1!M177="","",Sheet1!M177)</f>
        <v>0</v>
      </c>
      <c r="N43" s="242">
        <f>IF(Sheet1!N177="","",Sheet1!N177)</f>
        <v>0</v>
      </c>
      <c r="O43" s="242">
        <f>IF(Sheet1!O177="","",Sheet1!O177)</f>
        <v>0</v>
      </c>
      <c r="P43" s="242">
        <f>IF(Sheet1!P177="","",Sheet1!P177)</f>
        <v>0</v>
      </c>
      <c r="Q43" s="242">
        <f>IF(Sheet1!Q177="","",Sheet1!Q177)</f>
        <v>0</v>
      </c>
      <c r="R43" s="242">
        <f>IF(Sheet1!R177="","",Sheet1!R177)</f>
        <v>0</v>
      </c>
      <c r="S43" s="242">
        <f>IF(Sheet1!S177="","",Sheet1!S177)</f>
        <v>0</v>
      </c>
    </row>
    <row r="44" spans="2:19">
      <c r="B44" t="s">
        <v>405</v>
      </c>
      <c r="D44" t="s">
        <v>1329</v>
      </c>
      <c r="E44" s="242">
        <f>IF(Sheet1!E178="","",Sheet1!E178)</f>
        <v>0.19182731697627356</v>
      </c>
      <c r="F44" s="242">
        <f>IF(Sheet1!F178="","",Sheet1!F178)</f>
        <v>0.20957082973098373</v>
      </c>
      <c r="G44" s="242">
        <f>IF(Sheet1!G178="","",Sheet1!G178)</f>
        <v>0.24038460363735775</v>
      </c>
      <c r="H44" s="242">
        <f>IF(Sheet1!H178="","",Sheet1!H178)</f>
        <v>0.27366955339785026</v>
      </c>
      <c r="I44" s="242">
        <f>IF(Sheet1!I178="","",Sheet1!I178)</f>
        <v>0.35652241901823245</v>
      </c>
      <c r="J44" s="242">
        <f>IF(Sheet1!J178="","",Sheet1!J178)</f>
        <v>0.35652241901823245</v>
      </c>
      <c r="K44" s="242">
        <f>IF(Sheet1!K178="","",Sheet1!K178)</f>
        <v>0.35652241901823245</v>
      </c>
      <c r="L44" s="242">
        <f>IF(Sheet1!L178="","",Sheet1!L178)</f>
        <v>0.35652241901823245</v>
      </c>
      <c r="M44" s="242">
        <f>IF(Sheet1!M178="","",Sheet1!M178)</f>
        <v>0.35652241901823245</v>
      </c>
      <c r="N44" s="242">
        <f>IF(Sheet1!N178="","",Sheet1!N178)</f>
        <v>0.35652241901823245</v>
      </c>
      <c r="O44" s="242">
        <f>IF(Sheet1!O178="","",Sheet1!O178)</f>
        <v>0.35652241901823245</v>
      </c>
      <c r="P44" s="242">
        <f>IF(Sheet1!P178="","",Sheet1!P178)</f>
        <v>0.35652241901823245</v>
      </c>
      <c r="Q44" s="242">
        <f>IF(Sheet1!Q178="","",Sheet1!Q178)</f>
        <v>0.35652241901823245</v>
      </c>
      <c r="R44" s="242">
        <f>IF(Sheet1!R178="","",Sheet1!R178)</f>
        <v>0.35652241901823245</v>
      </c>
      <c r="S44" s="242">
        <f>IF(Sheet1!S178="","",Sheet1!S178)</f>
        <v>0.35652241901823245</v>
      </c>
    </row>
    <row r="45" spans="2:19">
      <c r="B45" t="s">
        <v>406</v>
      </c>
      <c r="D45" t="s">
        <v>1330</v>
      </c>
      <c r="E45" s="242">
        <f>IF(Sheet1!E179="","",Sheet1!E179)</f>
        <v>0.28488643415338755</v>
      </c>
      <c r="F45" s="242">
        <f>IF(Sheet1!F179="","",Sheet1!F179)</f>
        <v>0.28291802836302476</v>
      </c>
      <c r="G45" s="242">
        <f>IF(Sheet1!G179="","",Sheet1!G179)</f>
        <v>0.27375593881671917</v>
      </c>
      <c r="H45" s="242">
        <f>IF(Sheet1!H179="","",Sheet1!H179)</f>
        <v>0.36630475954678993</v>
      </c>
      <c r="I45" s="242">
        <f>IF(Sheet1!I179="","",Sheet1!I179)</f>
        <v>0.29794447733997481</v>
      </c>
      <c r="J45" s="242">
        <f>IF(Sheet1!J179="","",Sheet1!J179)</f>
        <v>0.29794447733997481</v>
      </c>
      <c r="K45" s="242">
        <f>IF(Sheet1!K179="","",Sheet1!K179)</f>
        <v>0.29794447733997481</v>
      </c>
      <c r="L45" s="242">
        <f>IF(Sheet1!L179="","",Sheet1!L179)</f>
        <v>0.29794447733997481</v>
      </c>
      <c r="M45" s="242">
        <f>IF(Sheet1!M179="","",Sheet1!M179)</f>
        <v>0.29794447733997481</v>
      </c>
      <c r="N45" s="242">
        <f>IF(Sheet1!N179="","",Sheet1!N179)</f>
        <v>0.29794447733997481</v>
      </c>
      <c r="O45" s="242">
        <f>IF(Sheet1!O179="","",Sheet1!O179)</f>
        <v>0.29794447733997481</v>
      </c>
      <c r="P45" s="242">
        <f>IF(Sheet1!P179="","",Sheet1!P179)</f>
        <v>0.29794447733997481</v>
      </c>
      <c r="Q45" s="242">
        <f>IF(Sheet1!Q179="","",Sheet1!Q179)</f>
        <v>0.29794447733997481</v>
      </c>
      <c r="R45" s="242">
        <f>IF(Sheet1!R179="","",Sheet1!R179)</f>
        <v>0.29794447733997481</v>
      </c>
      <c r="S45" s="242">
        <f>IF(Sheet1!S179="","",Sheet1!S179)</f>
        <v>0.29794447733997481</v>
      </c>
    </row>
    <row r="46" spans="2:19">
      <c r="B46" t="s">
        <v>407</v>
      </c>
      <c r="D46" t="s">
        <v>1331</v>
      </c>
      <c r="E46" s="242">
        <f>IF(Sheet1!E180="","",Sheet1!E180)</f>
        <v>0.29033230481273042</v>
      </c>
      <c r="F46" s="242">
        <f>IF(Sheet1!F180="","",Sheet1!F180)</f>
        <v>0.22304175313169478</v>
      </c>
      <c r="G46" s="242">
        <f>IF(Sheet1!G180="","",Sheet1!G180)</f>
        <v>0.24379789375134028</v>
      </c>
      <c r="H46" s="242">
        <f>IF(Sheet1!H180="","",Sheet1!H180)</f>
        <v>0.19064128141326728</v>
      </c>
      <c r="I46" s="242">
        <f>IF(Sheet1!I180="","",Sheet1!I180)</f>
        <v>0.15866380008967415</v>
      </c>
      <c r="J46" s="242">
        <f>IF(Sheet1!J180="","",Sheet1!J180)</f>
        <v>0.15866380008967415</v>
      </c>
      <c r="K46" s="242">
        <f>IF(Sheet1!K180="","",Sheet1!K180)</f>
        <v>0.15866380008967415</v>
      </c>
      <c r="L46" s="242">
        <f>IF(Sheet1!L180="","",Sheet1!L180)</f>
        <v>0.15866380008967415</v>
      </c>
      <c r="M46" s="242">
        <f>IF(Sheet1!M180="","",Sheet1!M180)</f>
        <v>0.15866380008967415</v>
      </c>
      <c r="N46" s="242">
        <f>IF(Sheet1!N180="","",Sheet1!N180)</f>
        <v>0.15866380008967415</v>
      </c>
      <c r="O46" s="242">
        <f>IF(Sheet1!O180="","",Sheet1!O180)</f>
        <v>0.15866380008967415</v>
      </c>
      <c r="P46" s="242">
        <f>IF(Sheet1!P180="","",Sheet1!P180)</f>
        <v>0.15866380008967415</v>
      </c>
      <c r="Q46" s="242">
        <f>IF(Sheet1!Q180="","",Sheet1!Q180)</f>
        <v>0.15866380008967415</v>
      </c>
      <c r="R46" s="242">
        <f>IF(Sheet1!R180="","",Sheet1!R180)</f>
        <v>0.15866380008967415</v>
      </c>
      <c r="S46" s="242">
        <f>IF(Sheet1!S180="","",Sheet1!S180)</f>
        <v>0.15866380008967415</v>
      </c>
    </row>
    <row r="47" spans="2:19">
      <c r="B47" t="s">
        <v>409</v>
      </c>
      <c r="D47" t="s">
        <v>1332</v>
      </c>
      <c r="E47" s="242">
        <f>IF(Sheet1!E181="","",Sheet1!E181)</f>
        <v>0.11369481354479212</v>
      </c>
      <c r="F47" s="242">
        <f>IF(Sheet1!F181="","",Sheet1!F181)</f>
        <v>0.14993250245706352</v>
      </c>
      <c r="G47" s="242">
        <f>IF(Sheet1!G181="","",Sheet1!G181)</f>
        <v>0.1361620287635095</v>
      </c>
      <c r="H47" s="242">
        <f>IF(Sheet1!H181="","",Sheet1!H181)</f>
        <v>0.18907388518692703</v>
      </c>
      <c r="I47" s="242">
        <f>IF(Sheet1!I181="","",Sheet1!I181)</f>
        <v>0.17042542622782789</v>
      </c>
      <c r="J47" s="242">
        <f>IF(Sheet1!J181="","",Sheet1!J181)</f>
        <v>0.15882737417186862</v>
      </c>
      <c r="K47" s="242">
        <f>IF(Sheet1!K181="","",Sheet1!K181)</f>
        <v>0.16823212966435119</v>
      </c>
      <c r="L47" s="242">
        <f>IF(Sheet1!L181="","",Sheet1!L181)</f>
        <v>0.16196864672439196</v>
      </c>
      <c r="M47" s="242">
        <f>IF(Sheet1!M181="","",Sheet1!M181)</f>
        <v>0.16591549612201978</v>
      </c>
      <c r="N47" s="242">
        <f>IF(Sheet1!N181="","",Sheet1!N181)</f>
        <v>0.16987322382291414</v>
      </c>
      <c r="O47" s="242">
        <f>IF(Sheet1!O181="","",Sheet1!O181)</f>
        <v>0.1712218133444163</v>
      </c>
      <c r="P47" s="242">
        <f>IF(Sheet1!P181="","",Sheet1!P181)</f>
        <v>0.17127934657132624</v>
      </c>
      <c r="Q47" s="242">
        <f>IF(Sheet1!Q181="","",Sheet1!Q181)</f>
        <v>0.17013482432376437</v>
      </c>
      <c r="R47" s="242">
        <f>IF(Sheet1!R181="","",Sheet1!R181)</f>
        <v>0.16896195911118853</v>
      </c>
      <c r="S47" s="242">
        <f>IF(Sheet1!S181="","",Sheet1!S181)</f>
        <v>0.16774916131972573</v>
      </c>
    </row>
    <row r="48" spans="2:19">
      <c r="B48" t="s">
        <v>1333</v>
      </c>
      <c r="D48" t="s">
        <v>1334</v>
      </c>
      <c r="E48" s="242" t="str">
        <f>IF(Sheet1!E182="","",Sheet1!E182)</f>
        <v/>
      </c>
      <c r="F48" s="242" t="str">
        <f>IF(Sheet1!F182="","",Sheet1!F182)</f>
        <v/>
      </c>
      <c r="G48" s="242" t="str">
        <f>IF(Sheet1!G182="","",Sheet1!G182)</f>
        <v/>
      </c>
      <c r="H48" s="242" t="str">
        <f>IF(Sheet1!H182="","",Sheet1!H182)</f>
        <v/>
      </c>
      <c r="I48" s="242" t="str">
        <f>IF(Sheet1!I182="","",Sheet1!I182)</f>
        <v/>
      </c>
      <c r="J48" s="242" t="str">
        <f>IF(Sheet1!J182="","",Sheet1!J182)</f>
        <v/>
      </c>
      <c r="K48" s="242" t="str">
        <f>IF(Sheet1!K182="","",Sheet1!K182)</f>
        <v/>
      </c>
      <c r="L48" s="242" t="str">
        <f>IF(Sheet1!L182="","",Sheet1!L182)</f>
        <v/>
      </c>
      <c r="M48" s="242" t="str">
        <f>IF(Sheet1!M182="","",Sheet1!M182)</f>
        <v/>
      </c>
      <c r="N48" s="242" t="str">
        <f>IF(Sheet1!N182="","",Sheet1!N182)</f>
        <v/>
      </c>
      <c r="O48" s="242" t="str">
        <f>IF(Sheet1!O182="","",Sheet1!O182)</f>
        <v/>
      </c>
      <c r="P48" s="242" t="str">
        <f>IF(Sheet1!P182="","",Sheet1!P182)</f>
        <v/>
      </c>
      <c r="Q48" s="242" t="str">
        <f>IF(Sheet1!Q182="","",Sheet1!Q182)</f>
        <v/>
      </c>
      <c r="R48" s="242" t="str">
        <f>IF(Sheet1!R182="","",Sheet1!R182)</f>
        <v/>
      </c>
      <c r="S48" s="242" t="str">
        <f>IF(Sheet1!S182="","",Sheet1!S182)</f>
        <v/>
      </c>
    </row>
    <row r="49" spans="2:19" ht="20.100000000000001" customHeight="1">
      <c r="B49" s="3" t="s">
        <v>1335</v>
      </c>
      <c r="C49" s="3"/>
      <c r="D49" s="3"/>
      <c r="E49" s="2"/>
      <c r="F49" s="2"/>
      <c r="G49" s="2"/>
      <c r="H49" s="2"/>
      <c r="I49" s="2"/>
      <c r="J49" s="2"/>
      <c r="K49" s="2"/>
      <c r="L49" s="2"/>
      <c r="M49" s="2"/>
      <c r="N49" s="2"/>
      <c r="O49" s="2"/>
      <c r="P49" s="2"/>
      <c r="Q49" s="2"/>
      <c r="R49" s="2"/>
      <c r="S49" s="2"/>
    </row>
    <row r="50" spans="2:19">
      <c r="B50" t="s">
        <v>413</v>
      </c>
      <c r="D50" t="s">
        <v>1336</v>
      </c>
      <c r="E50" s="242" t="str">
        <f>IF(Sheet1!E184="","",Sheet1!E184)</f>
        <v/>
      </c>
      <c r="F50" s="242" t="str">
        <f>IF(Sheet1!F184="","",Sheet1!F184)</f>
        <v/>
      </c>
      <c r="G50" s="242" t="str">
        <f>IF(Sheet1!G184="","",Sheet1!G184)</f>
        <v/>
      </c>
      <c r="H50" s="242" t="str">
        <f>IF(Sheet1!H184="","",Sheet1!H184)</f>
        <v/>
      </c>
      <c r="I50" s="242" t="str">
        <f>IF(Sheet1!I184="","",Sheet1!I184)</f>
        <v/>
      </c>
      <c r="J50" s="242">
        <f>IF(Sheet1!J184="","",Sheet1!J184)</f>
        <v>8421.2868241320521</v>
      </c>
      <c r="K50" s="242">
        <f>IF(Sheet1!K184="","",Sheet1!K184)</f>
        <v>10381.774224213914</v>
      </c>
      <c r="L50" s="242">
        <f>IF(Sheet1!L184="","",Sheet1!L184)</f>
        <v>12070.326809385186</v>
      </c>
      <c r="M50" s="242">
        <f>IF(Sheet1!M184="","",Sheet1!M184)</f>
        <v>13606.69832127552</v>
      </c>
      <c r="N50" s="242">
        <f>IF(Sheet1!N184="","",Sheet1!N184)</f>
        <v>15139.179114098893</v>
      </c>
      <c r="O50" s="242">
        <f>IF(Sheet1!O184="","",Sheet1!O184)</f>
        <v>16565.310453952501</v>
      </c>
      <c r="P50" s="242">
        <f>IF(Sheet1!P184="","",Sheet1!P184)</f>
        <v>18045.762078045143</v>
      </c>
      <c r="Q50" s="242">
        <f>IF(Sheet1!Q184="","",Sheet1!Q184)</f>
        <v>19539.168725392068</v>
      </c>
      <c r="R50" s="242">
        <f>IF(Sheet1!R184="","",Sheet1!R184)</f>
        <v>21027.394740456861</v>
      </c>
      <c r="S50" s="242">
        <f>IF(Sheet1!S184="","",Sheet1!S184)</f>
        <v>22490.829277407418</v>
      </c>
    </row>
    <row r="51" spans="2:19">
      <c r="B51" t="s">
        <v>414</v>
      </c>
      <c r="D51" t="s">
        <v>1337</v>
      </c>
      <c r="E51" s="242" t="str">
        <f>IF(Sheet1!E185="","",Sheet1!E185)</f>
        <v/>
      </c>
      <c r="F51" s="242" t="str">
        <f>IF(Sheet1!F185="","",Sheet1!F185)</f>
        <v/>
      </c>
      <c r="G51" s="242" t="str">
        <f>IF(Sheet1!G185="","",Sheet1!G185)</f>
        <v/>
      </c>
      <c r="H51" s="242" t="str">
        <f>IF(Sheet1!H185="","",Sheet1!H185)</f>
        <v/>
      </c>
      <c r="I51" s="242" t="str">
        <f>IF(Sheet1!I185="","",Sheet1!I185)</f>
        <v/>
      </c>
      <c r="J51" s="242">
        <f>IF(Sheet1!J185="","",Sheet1!J185)</f>
        <v>2520.7409012753965</v>
      </c>
      <c r="K51" s="242">
        <f>IF(Sheet1!K185="","",Sheet1!K185)</f>
        <v>2535.5186849178135</v>
      </c>
      <c r="L51" s="242">
        <f>IF(Sheet1!L185="","",Sheet1!L185)</f>
        <v>2627.0573774324403</v>
      </c>
      <c r="M51" s="242">
        <f>IF(Sheet1!M185="","",Sheet1!M185)</f>
        <v>2775.0806925211164</v>
      </c>
      <c r="N51" s="242">
        <f>IF(Sheet1!N185="","",Sheet1!N185)</f>
        <v>2962.7579048013276</v>
      </c>
      <c r="O51" s="242">
        <f>IF(Sheet1!O185="","",Sheet1!O185)</f>
        <v>3182.5124491820716</v>
      </c>
      <c r="P51" s="242">
        <f>IF(Sheet1!P185="","",Sheet1!P185)</f>
        <v>3430.4055981311462</v>
      </c>
      <c r="Q51" s="242">
        <f>IF(Sheet1!Q185="","",Sheet1!Q185)</f>
        <v>3702.2140326344365</v>
      </c>
      <c r="R51" s="242">
        <f>IF(Sheet1!R185="","",Sheet1!R185)</f>
        <v>3993.1618103419714</v>
      </c>
      <c r="S51" s="242">
        <f>IF(Sheet1!S185="","",Sheet1!S185)</f>
        <v>4298.5073151578481</v>
      </c>
    </row>
    <row r="52" spans="2:19">
      <c r="B52" t="s">
        <v>415</v>
      </c>
      <c r="D52" t="s">
        <v>1338</v>
      </c>
      <c r="E52" s="242" t="str">
        <f>IF(Sheet1!E186="","",Sheet1!E186)</f>
        <v/>
      </c>
      <c r="F52" s="242" t="str">
        <f>IF(Sheet1!F186="","",Sheet1!F186)</f>
        <v/>
      </c>
      <c r="G52" s="242" t="str">
        <f>IF(Sheet1!G186="","",Sheet1!G186)</f>
        <v/>
      </c>
      <c r="H52" s="242" t="str">
        <f>IF(Sheet1!H186="","",Sheet1!H186)</f>
        <v/>
      </c>
      <c r="I52" s="242" t="str">
        <f>IF(Sheet1!I186="","",Sheet1!I186)</f>
        <v/>
      </c>
      <c r="J52" s="242">
        <f>IF(Sheet1!J186="","",Sheet1!J186)</f>
        <v>2392.3887400000003</v>
      </c>
      <c r="K52" s="242">
        <f>IF(Sheet1!K186="","",Sheet1!K186)</f>
        <v>2912.2046077499999</v>
      </c>
      <c r="L52" s="242">
        <f>IF(Sheet1!L186="","",Sheet1!L186)</f>
        <v>3267.4523352449996</v>
      </c>
      <c r="M52" s="242">
        <f>IF(Sheet1!M186="","",Sheet1!M186)</f>
        <v>3629.7885093433506</v>
      </c>
      <c r="N52" s="242">
        <f>IF(Sheet1!N186="","",Sheet1!N186)</f>
        <v>4001.1077436496157</v>
      </c>
      <c r="O52" s="242">
        <f>IF(Sheet1!O186="","",Sheet1!O186)</f>
        <v>4380.1173772078519</v>
      </c>
      <c r="P52" s="242">
        <f>IF(Sheet1!P186="","",Sheet1!P186)</f>
        <v>4766.0499984806138</v>
      </c>
      <c r="Q52" s="242">
        <f>IF(Sheet1!Q186="","",Sheet1!Q186)</f>
        <v>5154.404938527081</v>
      </c>
      <c r="R52" s="242">
        <f>IF(Sheet1!R186="","",Sheet1!R186)</f>
        <v>5540.2094791662803</v>
      </c>
      <c r="S52" s="242">
        <f>IF(Sheet1!S186="","",Sheet1!S186)</f>
        <v>5918.1098777178149</v>
      </c>
    </row>
    <row r="53" spans="2:19">
      <c r="B53" t="s">
        <v>416</v>
      </c>
      <c r="D53" t="s">
        <v>1257</v>
      </c>
      <c r="E53" s="242" t="str">
        <f>IF(Sheet1!E187="","",Sheet1!E187)</f>
        <v/>
      </c>
      <c r="F53" s="242" t="str">
        <f>IF(Sheet1!F187="","",Sheet1!F187)</f>
        <v/>
      </c>
      <c r="G53" s="242" t="str">
        <f>IF(Sheet1!G187="","",Sheet1!G187)</f>
        <v/>
      </c>
      <c r="H53" s="242" t="str">
        <f>IF(Sheet1!H187="","",Sheet1!H187)</f>
        <v/>
      </c>
      <c r="I53" s="242" t="str">
        <f>IF(Sheet1!I187="","",Sheet1!I187)</f>
        <v/>
      </c>
      <c r="J53" s="242">
        <f>IF(Sheet1!J187="","",Sheet1!J187)</f>
        <v>-1330.537705829187</v>
      </c>
      <c r="K53" s="242">
        <f>IF(Sheet1!K187="","",Sheet1!K187)</f>
        <v>-1763.4714237001863</v>
      </c>
      <c r="L53" s="242">
        <f>IF(Sheet1!L187="","",Sheet1!L187)</f>
        <v>-1779.1814125427009</v>
      </c>
      <c r="M53" s="242">
        <f>IF(Sheet1!M187="","",Sheet1!M187)</f>
        <v>-1601.2199675889315</v>
      </c>
      <c r="N53" s="242">
        <f>IF(Sheet1!N187="","",Sheet1!N187)</f>
        <v>-1571.6266488645833</v>
      </c>
      <c r="O53" s="242">
        <f>IF(Sheet1!O187="","",Sheet1!O187)</f>
        <v>-1634.8733619175473</v>
      </c>
      <c r="P53" s="242">
        <f>IF(Sheet1!P187="","",Sheet1!P187)</f>
        <v>-1691.7331070422842</v>
      </c>
      <c r="Q53" s="242">
        <f>IF(Sheet1!Q187="","",Sheet1!Q187)</f>
        <v>-1705.8492529276664</v>
      </c>
      <c r="R53" s="242">
        <f>IF(Sheet1!R187="","",Sheet1!R187)</f>
        <v>-1699.0650586846095</v>
      </c>
      <c r="S53" s="242">
        <f>IF(Sheet1!S187="","",Sheet1!S187)</f>
        <v>-1669.6973506047725</v>
      </c>
    </row>
    <row r="54" spans="2:19">
      <c r="B54" t="s">
        <v>417</v>
      </c>
      <c r="D54" t="s">
        <v>1339</v>
      </c>
      <c r="E54" s="242" t="str">
        <f>IF(Sheet1!E188="","",Sheet1!E188)</f>
        <v/>
      </c>
      <c r="F54" s="242" t="str">
        <f>IF(Sheet1!F188="","",Sheet1!F188)</f>
        <v/>
      </c>
      <c r="G54" s="242" t="str">
        <f>IF(Sheet1!G188="","",Sheet1!G188)</f>
        <v/>
      </c>
      <c r="H54" s="242" t="str">
        <f>IF(Sheet1!H188="","",Sheet1!H188)</f>
        <v/>
      </c>
      <c r="I54" s="242" t="str">
        <f>IF(Sheet1!I188="","",Sheet1!I188)</f>
        <v/>
      </c>
      <c r="J54" s="242">
        <f>IF(Sheet1!J188="","",Sheet1!J188)</f>
        <v>1111.9254784483383</v>
      </c>
      <c r="K54" s="242">
        <f>IF(Sheet1!K188="","",Sheet1!K188)</f>
        <v>1473.7265978537598</v>
      </c>
      <c r="L54" s="242">
        <f>IF(Sheet1!L188="","",Sheet1!L188)</f>
        <v>1486.8553778827718</v>
      </c>
      <c r="M54" s="242">
        <f>IF(Sheet1!M188="","",Sheet1!M188)</f>
        <v>1338.1336513517199</v>
      </c>
      <c r="N54" s="242">
        <f>IF(Sheet1!N188="","",Sheet1!N188)</f>
        <v>1313.402623484355</v>
      </c>
      <c r="O54" s="242">
        <f>IF(Sheet1!O188="","",Sheet1!O188)</f>
        <v>1366.2576695034168</v>
      </c>
      <c r="P54" s="242">
        <f>IF(Sheet1!P188="","",Sheet1!P188)</f>
        <v>1413.7751498613816</v>
      </c>
      <c r="Q54" s="242">
        <f>IF(Sheet1!Q188="","",Sheet1!Q188)</f>
        <v>1425.5719611796121</v>
      </c>
      <c r="R54" s="242">
        <f>IF(Sheet1!R188="","",Sheet1!R188)</f>
        <v>1419.9024349448009</v>
      </c>
      <c r="S54" s="242">
        <f>IF(Sheet1!S188="","",Sheet1!S188)</f>
        <v>1395.3599490651904</v>
      </c>
    </row>
    <row r="55" spans="2:19">
      <c r="B55" t="s">
        <v>418</v>
      </c>
      <c r="D55" t="s">
        <v>1340</v>
      </c>
      <c r="E55" s="242" t="str">
        <f>IF(Sheet1!E189="","",Sheet1!E189)</f>
        <v/>
      </c>
      <c r="F55" s="242" t="str">
        <f>IF(Sheet1!F189="","",Sheet1!F189)</f>
        <v/>
      </c>
      <c r="G55" s="242" t="str">
        <f>IF(Sheet1!G189="","",Sheet1!G189)</f>
        <v/>
      </c>
      <c r="H55" s="242" t="str">
        <f>IF(Sheet1!H189="","",Sheet1!H189)</f>
        <v/>
      </c>
      <c r="I55" s="242" t="str">
        <f>IF(Sheet1!I189="","",Sheet1!I189)</f>
        <v/>
      </c>
      <c r="J55" s="242">
        <f>IF(Sheet1!J189="","",Sheet1!J189)</f>
        <v>13115.8042380266</v>
      </c>
      <c r="K55" s="242">
        <f>IF(Sheet1!K189="","",Sheet1!K189)</f>
        <v>15539.752691035301</v>
      </c>
      <c r="L55" s="242">
        <f>IF(Sheet1!L189="","",Sheet1!L189)</f>
        <v>17672.510487402695</v>
      </c>
      <c r="M55" s="242">
        <f>IF(Sheet1!M189="","",Sheet1!M189)</f>
        <v>19748.481206902776</v>
      </c>
      <c r="N55" s="242">
        <f>IF(Sheet1!N189="","",Sheet1!N189)</f>
        <v>21844.820737169612</v>
      </c>
      <c r="O55" s="242">
        <f>IF(Sheet1!O189="","",Sheet1!O189)</f>
        <v>23859.324587928291</v>
      </c>
      <c r="P55" s="242">
        <f>IF(Sheet1!P189="","",Sheet1!P189)</f>
        <v>25964.259717476001</v>
      </c>
      <c r="Q55" s="242">
        <f>IF(Sheet1!Q189="","",Sheet1!Q189)</f>
        <v>28115.510404805533</v>
      </c>
      <c r="R55" s="242">
        <f>IF(Sheet1!R189="","",Sheet1!R189)</f>
        <v>30281.603406225302</v>
      </c>
      <c r="S55" s="242">
        <f>IF(Sheet1!S189="","",Sheet1!S189)</f>
        <v>32433.109068743499</v>
      </c>
    </row>
    <row r="56" spans="2:19">
      <c r="B56" t="s">
        <v>419</v>
      </c>
      <c r="D56" t="s">
        <v>1341</v>
      </c>
      <c r="E56" s="242" t="str">
        <f>IF(Sheet1!E190="","",Sheet1!E190)</f>
        <v/>
      </c>
      <c r="F56" s="242" t="str">
        <f>IF(Sheet1!F190="","",Sheet1!F190)</f>
        <v/>
      </c>
      <c r="G56" s="242" t="str">
        <f>IF(Sheet1!G190="","",Sheet1!G190)</f>
        <v/>
      </c>
      <c r="H56" s="242" t="str">
        <f>IF(Sheet1!H190="","",Sheet1!H190)</f>
        <v/>
      </c>
      <c r="I56" s="242" t="str">
        <f>IF(Sheet1!I190="","",Sheet1!I190)</f>
        <v/>
      </c>
      <c r="J56" s="242">
        <f>IF(Sheet1!J190="","",Sheet1!J190)</f>
        <v>-46440.80762632002</v>
      </c>
      <c r="K56" s="242">
        <f>IF(Sheet1!K190="","",Sheet1!K190)</f>
        <v>-48449.858976439951</v>
      </c>
      <c r="L56" s="242">
        <f>IF(Sheet1!L190="","",Sheet1!L190)</f>
        <v>-49569.126881800679</v>
      </c>
      <c r="M56" s="242">
        <f>IF(Sheet1!M190="","",Sheet1!M190)</f>
        <v>-51037.885457200857</v>
      </c>
      <c r="N56" s="242">
        <f>IF(Sheet1!N190="","",Sheet1!N190)</f>
        <v>-52225.041860589867</v>
      </c>
      <c r="O56" s="242">
        <f>IF(Sheet1!O190="","",Sheet1!O190)</f>
        <v>-53768.851017745961</v>
      </c>
      <c r="P56" s="242">
        <f>IF(Sheet1!P190="","",Sheet1!P190)</f>
        <v>-54772.976524671452</v>
      </c>
      <c r="Q56" s="242">
        <f>IF(Sheet1!Q190="","",Sheet1!Q190)</f>
        <v>-55166.998704837017</v>
      </c>
      <c r="R56" s="242">
        <f>IF(Sheet1!R190="","",Sheet1!R190)</f>
        <v>-54890.289139346802</v>
      </c>
      <c r="S56" s="242">
        <f>IF(Sheet1!S190="","",Sheet1!S190)</f>
        <v>-53895.018196489822</v>
      </c>
    </row>
    <row r="57" spans="2:19">
      <c r="B57" t="s">
        <v>420</v>
      </c>
      <c r="D57" t="s">
        <v>1342</v>
      </c>
      <c r="E57" s="242" t="str">
        <f>IF(Sheet1!E191="","",Sheet1!E191)</f>
        <v/>
      </c>
      <c r="F57" s="242" t="str">
        <f>IF(Sheet1!F191="","",Sheet1!F191)</f>
        <v/>
      </c>
      <c r="G57" s="242" t="str">
        <f>IF(Sheet1!G191="","",Sheet1!G191)</f>
        <v/>
      </c>
      <c r="H57" s="242" t="str">
        <f>IF(Sheet1!H191="","",Sheet1!H191)</f>
        <v/>
      </c>
      <c r="I57" s="242" t="str">
        <f>IF(Sheet1!I191="","",Sheet1!I191)</f>
        <v/>
      </c>
      <c r="J57" s="242">
        <f>IF(Sheet1!J191="","",Sheet1!J191)</f>
        <v>-7705.458918898541</v>
      </c>
      <c r="K57" s="242">
        <f>IF(Sheet1!K191="","",Sheet1!K191)</f>
        <v>-7915.8621572356205</v>
      </c>
      <c r="L57" s="242">
        <f>IF(Sheet1!L191="","",Sheet1!L191)</f>
        <v>-7795.8030385456223</v>
      </c>
      <c r="M57" s="242">
        <f>IF(Sheet1!M191="","",Sheet1!M191)</f>
        <v>-8952.0792919772939</v>
      </c>
      <c r="N57" s="242">
        <f>IF(Sheet1!N191="","",Sheet1!N191)</f>
        <v>-9106.1339682281396</v>
      </c>
      <c r="O57" s="242">
        <f>IF(Sheet1!O191="","",Sheet1!O191)</f>
        <v>-9326.083267310416</v>
      </c>
      <c r="P57" s="242">
        <f>IF(Sheet1!P191="","",Sheet1!P191)</f>
        <v>-9442.8167387295689</v>
      </c>
      <c r="Q57" s="242">
        <f>IF(Sheet1!Q191="","",Sheet1!Q191)</f>
        <v>-9443.8868846788828</v>
      </c>
      <c r="R57" s="242">
        <f>IF(Sheet1!R191="","",Sheet1!R191)</f>
        <v>-9318.7842293951689</v>
      </c>
      <c r="S57" s="242">
        <f>IF(Sheet1!S191="","",Sheet1!S191)</f>
        <v>-9059.4880432757491</v>
      </c>
    </row>
    <row r="58" spans="2:19">
      <c r="B58" t="s">
        <v>421</v>
      </c>
      <c r="D58" t="s">
        <v>1343</v>
      </c>
      <c r="E58" s="242" t="str">
        <f>IF(Sheet1!E192="","",Sheet1!E192)</f>
        <v/>
      </c>
      <c r="F58" s="242" t="str">
        <f>IF(Sheet1!F192="","",Sheet1!F192)</f>
        <v/>
      </c>
      <c r="G58" s="242" t="str">
        <f>IF(Sheet1!G192="","",Sheet1!G192)</f>
        <v/>
      </c>
      <c r="H58" s="242" t="str">
        <f>IF(Sheet1!H192="","",Sheet1!H192)</f>
        <v/>
      </c>
      <c r="I58" s="242" t="str">
        <f>IF(Sheet1!I192="","",Sheet1!I192)</f>
        <v/>
      </c>
      <c r="J58" s="242">
        <f>IF(Sheet1!J192="","",Sheet1!J192)</f>
        <v>-2383.8136709794744</v>
      </c>
      <c r="K58" s="242">
        <f>IF(Sheet1!K192="","",Sheet1!K192)</f>
        <v>-2779.5186992481176</v>
      </c>
      <c r="L58" s="242">
        <f>IF(Sheet1!L192="","",Sheet1!L192)</f>
        <v>-3178.7488890223467</v>
      </c>
      <c r="M58" s="242">
        <f>IF(Sheet1!M192="","",Sheet1!M192)</f>
        <v>-3538.0463429099905</v>
      </c>
      <c r="N58" s="242">
        <f>IF(Sheet1!N192="","",Sheet1!N192)</f>
        <v>-3890.7033574545285</v>
      </c>
      <c r="O58" s="242">
        <f>IF(Sheet1!O192="","",Sheet1!O192)</f>
        <v>-4257.5522903030269</v>
      </c>
      <c r="P58" s="242">
        <f>IF(Sheet1!P192="","",Sheet1!P192)</f>
        <v>-4637.1599708973336</v>
      </c>
      <c r="Q58" s="242">
        <f>IF(Sheet1!Q192="","",Sheet1!Q192)</f>
        <v>-5019.9351708693566</v>
      </c>
      <c r="R58" s="242">
        <f>IF(Sheet1!R192="","",Sheet1!R192)</f>
        <v>-5401.1880667435353</v>
      </c>
      <c r="S58" s="242">
        <f>IF(Sheet1!S192="","",Sheet1!S192)</f>
        <v>-5775.8511480056168</v>
      </c>
    </row>
    <row r="59" spans="2:19">
      <c r="B59" t="s">
        <v>422</v>
      </c>
      <c r="D59" t="s">
        <v>1344</v>
      </c>
      <c r="E59" s="242" t="str">
        <f>IF(Sheet1!E193="","",Sheet1!E193)</f>
        <v/>
      </c>
      <c r="F59" s="242" t="str">
        <f>IF(Sheet1!F193="","",Sheet1!F193)</f>
        <v/>
      </c>
      <c r="G59" s="242" t="str">
        <f>IF(Sheet1!G193="","",Sheet1!G193)</f>
        <v/>
      </c>
      <c r="H59" s="242" t="str">
        <f>IF(Sheet1!H193="","",Sheet1!H193)</f>
        <v/>
      </c>
      <c r="I59" s="242" t="str">
        <f>IF(Sheet1!I193="","",Sheet1!I193)</f>
        <v/>
      </c>
      <c r="J59" s="242">
        <f>IF(Sheet1!J193="","",Sheet1!J193)</f>
        <v>-56530.080216198039</v>
      </c>
      <c r="K59" s="242">
        <f>IF(Sheet1!K193="","",Sheet1!K193)</f>
        <v>-59145.239832923689</v>
      </c>
      <c r="L59" s="242">
        <f>IF(Sheet1!L193="","",Sheet1!L193)</f>
        <v>-60543.678809368648</v>
      </c>
      <c r="M59" s="242">
        <f>IF(Sheet1!M193="","",Sheet1!M193)</f>
        <v>-63528.011092088142</v>
      </c>
      <c r="N59" s="242">
        <f>IF(Sheet1!N193="","",Sheet1!N193)</f>
        <v>-65221.879186272534</v>
      </c>
      <c r="O59" s="242">
        <f>IF(Sheet1!O193="","",Sheet1!O193)</f>
        <v>-67352.486575359406</v>
      </c>
      <c r="P59" s="242">
        <f>IF(Sheet1!P193="","",Sheet1!P193)</f>
        <v>-68852.953234298358</v>
      </c>
      <c r="Q59" s="242">
        <f>IF(Sheet1!Q193="","",Sheet1!Q193)</f>
        <v>-69630.82076038525</v>
      </c>
      <c r="R59" s="242">
        <f>IF(Sheet1!R193="","",Sheet1!R193)</f>
        <v>-69610.261435485503</v>
      </c>
      <c r="S59" s="242">
        <f>IF(Sheet1!S193="","",Sheet1!S193)</f>
        <v>-68730.35738777119</v>
      </c>
    </row>
    <row r="60" spans="2:19">
      <c r="B60" t="s">
        <v>423</v>
      </c>
      <c r="D60" t="s">
        <v>1345</v>
      </c>
      <c r="E60" s="242" t="str">
        <f>IF(Sheet1!E194="","",Sheet1!E194)</f>
        <v/>
      </c>
      <c r="F60" s="242" t="str">
        <f>IF(Sheet1!F194="","",Sheet1!F194)</f>
        <v/>
      </c>
      <c r="G60" s="242" t="str">
        <f>IF(Sheet1!G194="","",Sheet1!G194)</f>
        <v/>
      </c>
      <c r="H60" s="242" t="str">
        <f>IF(Sheet1!H194="","",Sheet1!H194)</f>
        <v/>
      </c>
      <c r="I60" s="242" t="str">
        <f>IF(Sheet1!I194="","",Sheet1!I194)</f>
        <v/>
      </c>
      <c r="J60" s="242">
        <f>IF(Sheet1!J194="","",Sheet1!J194)</f>
        <v>48564.694117647072</v>
      </c>
      <c r="K60" s="242">
        <f>IF(Sheet1!K194="","",Sheet1!K194)</f>
        <v>49890.788905608701</v>
      </c>
      <c r="L60" s="242">
        <f>IF(Sheet1!L194="","",Sheet1!L194)</f>
        <v>49134.10011697415</v>
      </c>
      <c r="M60" s="242">
        <f>IF(Sheet1!M194="","",Sheet1!M194)</f>
        <v>56421.687158114975</v>
      </c>
      <c r="N60" s="242">
        <f>IF(Sheet1!N194="","",Sheet1!N194)</f>
        <v>57392.637533460744</v>
      </c>
      <c r="O60" s="242">
        <f>IF(Sheet1!O194="","",Sheet1!O194)</f>
        <v>58778.897656803019</v>
      </c>
      <c r="P60" s="242">
        <f>IF(Sheet1!P194="","",Sheet1!P194)</f>
        <v>59514.626104963128</v>
      </c>
      <c r="Q60" s="242">
        <f>IF(Sheet1!Q194="","",Sheet1!Q194)</f>
        <v>59521.370844145655</v>
      </c>
      <c r="R60" s="242">
        <f>IF(Sheet1!R194="","",Sheet1!R194)</f>
        <v>58732.894485877361</v>
      </c>
      <c r="S60" s="242">
        <f>IF(Sheet1!S194="","",Sheet1!S194)</f>
        <v>57098.645300033502</v>
      </c>
    </row>
    <row r="61" spans="2:19">
      <c r="B61" t="s">
        <v>424</v>
      </c>
      <c r="D61" t="s">
        <v>1346</v>
      </c>
      <c r="E61" s="242" t="str">
        <f>IF(Sheet1!E195="","",Sheet1!E195)</f>
        <v/>
      </c>
      <c r="F61" s="242" t="str">
        <f>IF(Sheet1!F195="","",Sheet1!F195)</f>
        <v/>
      </c>
      <c r="G61" s="242" t="str">
        <f>IF(Sheet1!G195="","",Sheet1!G195)</f>
        <v/>
      </c>
      <c r="H61" s="242" t="str">
        <f>IF(Sheet1!H195="","",Sheet1!H195)</f>
        <v/>
      </c>
      <c r="I61" s="242" t="str">
        <f>IF(Sheet1!I195="","",Sheet1!I195)</f>
        <v/>
      </c>
      <c r="J61" s="242">
        <f>IF(Sheet1!J195="","",Sheet1!J195)</f>
        <v>-48.600000000000364</v>
      </c>
      <c r="K61" s="242">
        <f>IF(Sheet1!K195="","",Sheet1!K195)</f>
        <v>1745</v>
      </c>
      <c r="L61" s="242">
        <f>IF(Sheet1!L195="","",Sheet1!L195)</f>
        <v>1314</v>
      </c>
      <c r="M61" s="242">
        <f>IF(Sheet1!M195="","",Sheet1!M195)</f>
        <v>2000.0000000000018</v>
      </c>
      <c r="N61" s="242">
        <f>IF(Sheet1!N195="","",Sheet1!N195)</f>
        <v>2000</v>
      </c>
      <c r="O61" s="242">
        <f>IF(Sheet1!O195="","",Sheet1!O195)</f>
        <v>0</v>
      </c>
      <c r="P61" s="242">
        <f>IF(Sheet1!P195="","",Sheet1!P195)</f>
        <v>0</v>
      </c>
      <c r="Q61" s="242">
        <f>IF(Sheet1!Q195="","",Sheet1!Q195)</f>
        <v>0</v>
      </c>
      <c r="R61" s="242">
        <f>IF(Sheet1!R195="","",Sheet1!R195)</f>
        <v>0</v>
      </c>
      <c r="S61" s="242">
        <f>IF(Sheet1!S195="","",Sheet1!S195)</f>
        <v>0</v>
      </c>
    </row>
    <row r="62" spans="2:19" ht="20.100000000000001" customHeight="1">
      <c r="B62" s="3" t="s">
        <v>1347</v>
      </c>
      <c r="C62" s="3"/>
      <c r="D62" s="3"/>
      <c r="E62" s="2"/>
      <c r="F62" s="2"/>
      <c r="G62" s="2"/>
      <c r="H62" s="2"/>
      <c r="I62" s="2"/>
      <c r="J62" s="2"/>
      <c r="K62" s="2"/>
      <c r="L62" s="2"/>
      <c r="M62" s="2"/>
      <c r="N62" s="2"/>
      <c r="O62" s="2"/>
      <c r="P62" s="2"/>
      <c r="Q62" s="2"/>
      <c r="R62" s="2"/>
      <c r="S62" s="2"/>
    </row>
    <row r="63" spans="2:19">
      <c r="B63" t="s">
        <v>426</v>
      </c>
      <c r="D63" t="s">
        <v>1348</v>
      </c>
      <c r="E63" s="242" t="str">
        <f>IF(Sheet1!E197="","",Sheet1!E197)</f>
        <v/>
      </c>
      <c r="F63" s="242" t="str">
        <f>IF(Sheet1!F197="","",Sheet1!F197)</f>
        <v/>
      </c>
      <c r="G63" s="242" t="str">
        <f>IF(Sheet1!G197="","",Sheet1!G197)</f>
        <v/>
      </c>
      <c r="H63" s="242" t="str">
        <f>IF(Sheet1!H197="","",Sheet1!H197)</f>
        <v/>
      </c>
      <c r="I63" s="242" t="str">
        <f>IF(Sheet1!I197="","",Sheet1!I197)</f>
        <v/>
      </c>
      <c r="J63" s="242">
        <f>IF(Sheet1!J197="","",Sheet1!J197)</f>
        <v>-1513.5046000000002</v>
      </c>
      <c r="K63" s="242">
        <f>IF(Sheet1!K197="","",Sheet1!K197)</f>
        <v>-1852.6831013090514</v>
      </c>
      <c r="L63" s="242">
        <f>IF(Sheet1!L197="","",Sheet1!L197)</f>
        <v>-2595.4435560534785</v>
      </c>
      <c r="M63" s="242">
        <f>IF(Sheet1!M197="","",Sheet1!M197)</f>
        <v>-3258.9882385340002</v>
      </c>
      <c r="N63" s="242">
        <f>IF(Sheet1!N197="","",Sheet1!N197)</f>
        <v>-4082.0094963826559</v>
      </c>
      <c r="O63" s="242">
        <f>IF(Sheet1!O197="","",Sheet1!O197)</f>
        <v>-4541.7537342296682</v>
      </c>
      <c r="P63" s="242">
        <f>IF(Sheet1!P197="","",Sheet1!P197)</f>
        <v>-6626.1241815810008</v>
      </c>
      <c r="Q63" s="242">
        <f>IF(Sheet1!Q197="","",Sheet1!Q197)</f>
        <v>-9022.8810390225717</v>
      </c>
      <c r="R63" s="242">
        <f>IF(Sheet1!R197="","",Sheet1!R197)</f>
        <v>-10746.542798965638</v>
      </c>
      <c r="S63" s="242">
        <f>IF(Sheet1!S197="","",Sheet1!S197)</f>
        <v>-12616.436844274116</v>
      </c>
    </row>
    <row r="64" spans="2:19">
      <c r="B64" t="s">
        <v>427</v>
      </c>
      <c r="D64" t="s">
        <v>1349</v>
      </c>
      <c r="E64" s="242" t="str">
        <f>IF(Sheet1!E198="","",Sheet1!E198)</f>
        <v/>
      </c>
      <c r="F64" s="242" t="str">
        <f>IF(Sheet1!F198="","",Sheet1!F198)</f>
        <v/>
      </c>
      <c r="G64" s="242" t="str">
        <f>IF(Sheet1!G198="","",Sheet1!G198)</f>
        <v/>
      </c>
      <c r="H64" s="242" t="str">
        <f>IF(Sheet1!H198="","",Sheet1!H198)</f>
        <v/>
      </c>
      <c r="I64" s="242" t="str">
        <f>IF(Sheet1!I198="","",Sheet1!I198)</f>
        <v/>
      </c>
      <c r="J64" s="242">
        <f>IF(Sheet1!J198="","",Sheet1!J198)</f>
        <v>0</v>
      </c>
      <c r="K64" s="242">
        <f>IF(Sheet1!K198="","",Sheet1!K198)</f>
        <v>0</v>
      </c>
      <c r="L64" s="242">
        <f>IF(Sheet1!L198="","",Sheet1!L198)</f>
        <v>0</v>
      </c>
      <c r="M64" s="242">
        <f>IF(Sheet1!M198="","",Sheet1!M198)</f>
        <v>0</v>
      </c>
      <c r="N64" s="242">
        <f>IF(Sheet1!N198="","",Sheet1!N198)</f>
        <v>0</v>
      </c>
      <c r="O64" s="242">
        <f>IF(Sheet1!O198="","",Sheet1!O198)</f>
        <v>0</v>
      </c>
      <c r="P64" s="242">
        <f>IF(Sheet1!P198="","",Sheet1!P198)</f>
        <v>0</v>
      </c>
      <c r="Q64" s="242">
        <f>IF(Sheet1!Q198="","",Sheet1!Q198)</f>
        <v>0</v>
      </c>
      <c r="R64" s="242">
        <f>IF(Sheet1!R198="","",Sheet1!R198)</f>
        <v>0</v>
      </c>
      <c r="S64" s="242">
        <f>IF(Sheet1!S198="","",Sheet1!S198)</f>
        <v>0</v>
      </c>
    </row>
    <row r="65" spans="2:19">
      <c r="B65" t="s">
        <v>428</v>
      </c>
      <c r="D65" t="s">
        <v>1350</v>
      </c>
      <c r="E65" s="242" t="str">
        <f>IF(Sheet1!E199="","",Sheet1!E199)</f>
        <v/>
      </c>
      <c r="F65" s="242" t="str">
        <f>IF(Sheet1!F199="","",Sheet1!F199)</f>
        <v/>
      </c>
      <c r="G65" s="242" t="str">
        <f>IF(Sheet1!G199="","",Sheet1!G199)</f>
        <v/>
      </c>
      <c r="H65" s="242" t="str">
        <f>IF(Sheet1!H199="","",Sheet1!H199)</f>
        <v/>
      </c>
      <c r="I65" s="242" t="str">
        <f>IF(Sheet1!I199="","",Sheet1!I199)</f>
        <v/>
      </c>
      <c r="J65" s="242">
        <f>IF(Sheet1!J199="","",Sheet1!J199)</f>
        <v>0</v>
      </c>
      <c r="K65" s="242">
        <f>IF(Sheet1!K199="","",Sheet1!K199)</f>
        <v>6392</v>
      </c>
      <c r="L65" s="242">
        <f>IF(Sheet1!L199="","",Sheet1!L199)</f>
        <v>0</v>
      </c>
      <c r="M65" s="242">
        <f>IF(Sheet1!M199="","",Sheet1!M199)</f>
        <v>0</v>
      </c>
      <c r="N65" s="242">
        <f>IF(Sheet1!N199="","",Sheet1!N199)</f>
        <v>0</v>
      </c>
      <c r="O65" s="242">
        <f>IF(Sheet1!O199="","",Sheet1!O199)</f>
        <v>0</v>
      </c>
      <c r="P65" s="242">
        <f>IF(Sheet1!P199="","",Sheet1!P199)</f>
        <v>0</v>
      </c>
      <c r="Q65" s="242">
        <f>IF(Sheet1!Q199="","",Sheet1!Q199)</f>
        <v>0</v>
      </c>
      <c r="R65" s="242">
        <f>IF(Sheet1!R199="","",Sheet1!R199)</f>
        <v>0</v>
      </c>
      <c r="S65" s="242">
        <f>IF(Sheet1!S199="","",Sheet1!S199)</f>
        <v>0</v>
      </c>
    </row>
    <row r="66" spans="2:19">
      <c r="B66" t="s">
        <v>429</v>
      </c>
      <c r="D66" t="s">
        <v>1351</v>
      </c>
      <c r="E66" s="242" t="str">
        <f>IF(Sheet1!E200="","",Sheet1!E200)</f>
        <v/>
      </c>
      <c r="F66" s="242" t="str">
        <f>IF(Sheet1!F200="","",Sheet1!F200)</f>
        <v/>
      </c>
      <c r="G66" s="242" t="str">
        <f>IF(Sheet1!G200="","",Sheet1!G200)</f>
        <v/>
      </c>
      <c r="H66" s="242" t="str">
        <f>IF(Sheet1!H200="","",Sheet1!H200)</f>
        <v/>
      </c>
      <c r="I66" s="242" t="str">
        <f>IF(Sheet1!I200="","",Sheet1!I200)</f>
        <v/>
      </c>
      <c r="J66" s="242">
        <f>IF(Sheet1!J200="","",Sheet1!J200)</f>
        <v>46714.747593617452</v>
      </c>
      <c r="K66" s="242">
        <f>IF(Sheet1!K200="","",Sheet1!K200)</f>
        <v>56033.8658964364</v>
      </c>
      <c r="L66" s="242">
        <f>IF(Sheet1!L200="","",Sheet1!L200)</f>
        <v>47829.491427329274</v>
      </c>
      <c r="M66" s="242">
        <f>IF(Sheet1!M200="","",Sheet1!M200)</f>
        <v>55225.00873983257</v>
      </c>
      <c r="N66" s="242">
        <f>IF(Sheet1!N200="","",Sheet1!N200)</f>
        <v>55439.823721551889</v>
      </c>
      <c r="O66" s="242">
        <f>IF(Sheet1!O200="","",Sheet1!O200)</f>
        <v>54423.041480043306</v>
      </c>
      <c r="P66" s="242">
        <f>IF(Sheet1!P200="","",Sheet1!P200)</f>
        <v>53122.631697491808</v>
      </c>
      <c r="Q66" s="242">
        <f>IF(Sheet1!Q200="","",Sheet1!Q200)</f>
        <v>50771.918044404534</v>
      </c>
      <c r="R66" s="242">
        <f>IF(Sheet1!R200="","",Sheet1!R200)</f>
        <v>48290.87617990857</v>
      </c>
      <c r="S66" s="242">
        <f>IF(Sheet1!S200="","",Sheet1!S200)</f>
        <v>44810.127243440838</v>
      </c>
    </row>
    <row r="67" spans="2:19">
      <c r="B67" t="s">
        <v>430</v>
      </c>
      <c r="D67" t="s">
        <v>1352</v>
      </c>
      <c r="E67" s="242" t="str">
        <f>IF(Sheet1!E201="","",Sheet1!E201)</f>
        <v/>
      </c>
      <c r="F67" s="242" t="str">
        <f>IF(Sheet1!F201="","",Sheet1!F201)</f>
        <v/>
      </c>
      <c r="G67" s="242" t="str">
        <f>IF(Sheet1!G201="","",Sheet1!G201)</f>
        <v/>
      </c>
      <c r="H67" s="242" t="str">
        <f>IF(Sheet1!H201="","",Sheet1!H201)</f>
        <v/>
      </c>
      <c r="I67" s="242" t="str">
        <f>IF(Sheet1!I201="","",Sheet1!I201)</f>
        <v/>
      </c>
      <c r="J67" s="242">
        <f>IF(Sheet1!J201="","",Sheet1!J201)</f>
        <v>3300.4716154460111</v>
      </c>
      <c r="K67" s="242">
        <f>IF(Sheet1!K201="","",Sheet1!K201)</f>
        <v>12428.378754548015</v>
      </c>
      <c r="L67" s="242">
        <f>IF(Sheet1!L201="","",Sheet1!L201)</f>
        <v>4958.3231053633208</v>
      </c>
      <c r="M67" s="242">
        <f>IF(Sheet1!M201="","",Sheet1!M201)</f>
        <v>11445.478854647205</v>
      </c>
      <c r="N67" s="242">
        <f>IF(Sheet1!N201="","",Sheet1!N201)</f>
        <v>12062.765272448967</v>
      </c>
      <c r="O67" s="242">
        <f>IF(Sheet1!O201="","",Sheet1!O201)</f>
        <v>10929.879492612192</v>
      </c>
      <c r="P67" s="242">
        <f>IF(Sheet1!P201="","",Sheet1!P201)</f>
        <v>10233.938180669451</v>
      </c>
      <c r="Q67" s="242">
        <f>IF(Sheet1!Q201="","",Sheet1!Q201)</f>
        <v>9256.6076888248208</v>
      </c>
      <c r="R67" s="242">
        <f>IF(Sheet1!R201="","",Sheet1!R201)</f>
        <v>8962.2181506483685</v>
      </c>
      <c r="S67" s="242">
        <f>IF(Sheet1!S201="","",Sheet1!S201)</f>
        <v>8512.8789244131476</v>
      </c>
    </row>
    <row r="68" spans="2:19">
      <c r="B68" t="s">
        <v>431</v>
      </c>
      <c r="D68" t="s">
        <v>1353</v>
      </c>
      <c r="E68" s="242" t="str">
        <f>IF(Sheet1!E202="","",Sheet1!E202)</f>
        <v/>
      </c>
      <c r="F68" s="242" t="str">
        <f>IF(Sheet1!F202="","",Sheet1!F202)</f>
        <v/>
      </c>
      <c r="G68" s="242" t="str">
        <f>IF(Sheet1!G202="","",Sheet1!G202)</f>
        <v/>
      </c>
      <c r="H68" s="242" t="str">
        <f>IF(Sheet1!H202="","",Sheet1!H202)</f>
        <v/>
      </c>
      <c r="I68" s="242" t="str">
        <f>IF(Sheet1!I202="","",Sheet1!I202)</f>
        <v/>
      </c>
      <c r="J68" s="242">
        <f>IF(Sheet1!J202="","",Sheet1!J202)</f>
        <v>68145.471615446004</v>
      </c>
      <c r="K68" s="242">
        <f>IF(Sheet1!K202="","",Sheet1!K202)</f>
        <v>80573.850369994019</v>
      </c>
      <c r="L68" s="242">
        <f>IF(Sheet1!L202="","",Sheet1!L202)</f>
        <v>85532.17347535734</v>
      </c>
      <c r="M68" s="242">
        <f>IF(Sheet1!M202="","",Sheet1!M202)</f>
        <v>96977.652330004552</v>
      </c>
      <c r="N68" s="242">
        <f>IF(Sheet1!N202="","",Sheet1!N202)</f>
        <v>109040.41760245353</v>
      </c>
      <c r="O68" s="242">
        <f>IF(Sheet1!O202="","",Sheet1!O202)</f>
        <v>119970.29709506572</v>
      </c>
      <c r="P68" s="242">
        <f>IF(Sheet1!P202="","",Sheet1!P202)</f>
        <v>130204.23527573518</v>
      </c>
      <c r="Q68" s="242">
        <f>IF(Sheet1!Q202="","",Sheet1!Q202)</f>
        <v>139460.84296456</v>
      </c>
      <c r="R68" s="242">
        <f>IF(Sheet1!R202="","",Sheet1!R202)</f>
        <v>148423.06111520837</v>
      </c>
      <c r="S68" s="242">
        <f>IF(Sheet1!S202="","",Sheet1!S202)</f>
        <v>156935.94003962152</v>
      </c>
    </row>
    <row r="69" spans="2:19">
      <c r="B69" t="s">
        <v>1354</v>
      </c>
      <c r="D69" t="s">
        <v>1355</v>
      </c>
      <c r="E69" s="242" t="str">
        <f>IF(Sheet1!E203="","",Sheet1!E203)</f>
        <v/>
      </c>
      <c r="F69" s="242" t="str">
        <f>IF(Sheet1!F203="","",Sheet1!F203)</f>
        <v/>
      </c>
      <c r="G69" s="242" t="str">
        <f>IF(Sheet1!G203="","",Sheet1!G203)</f>
        <v/>
      </c>
      <c r="H69" s="242" t="str">
        <f>IF(Sheet1!H203="","",Sheet1!H203)</f>
        <v/>
      </c>
      <c r="I69" s="242" t="str">
        <f>IF(Sheet1!I203="","",Sheet1!I203)</f>
        <v/>
      </c>
      <c r="J69" s="242" t="str">
        <f>IF(Sheet1!J203="","",Sheet1!J203)</f>
        <v/>
      </c>
      <c r="K69" s="242" t="str">
        <f>IF(Sheet1!K203="","",Sheet1!K203)</f>
        <v/>
      </c>
      <c r="L69" s="242" t="str">
        <f>IF(Sheet1!L203="","",Sheet1!L203)</f>
        <v/>
      </c>
      <c r="M69" s="242" t="str">
        <f>IF(Sheet1!M203="","",Sheet1!M203)</f>
        <v/>
      </c>
      <c r="N69" s="242" t="str">
        <f>IF(Sheet1!N203="","",Sheet1!N203)</f>
        <v/>
      </c>
      <c r="O69" s="242" t="str">
        <f>IF(Sheet1!O203="","",Sheet1!O203)</f>
        <v/>
      </c>
      <c r="P69" s="242" t="str">
        <f>IF(Sheet1!P203="","",Sheet1!P203)</f>
        <v/>
      </c>
      <c r="Q69" s="242" t="str">
        <f>IF(Sheet1!Q203="","",Sheet1!Q203)</f>
        <v/>
      </c>
      <c r="R69" s="242" t="str">
        <f>IF(Sheet1!R203="","",Sheet1!R203)</f>
        <v/>
      </c>
      <c r="S69" s="242" t="str">
        <f>IF(Sheet1!S203="","",Sheet1!S203)</f>
        <v/>
      </c>
    </row>
    <row r="70" spans="2:19">
      <c r="B70" t="s">
        <v>1356</v>
      </c>
      <c r="D70" t="s">
        <v>1357</v>
      </c>
      <c r="E70" s="242" t="str">
        <f>IF(Sheet1!E204="","",Sheet1!E204)</f>
        <v/>
      </c>
      <c r="F70" s="242" t="str">
        <f>IF(Sheet1!F204="","",Sheet1!F204)</f>
        <v/>
      </c>
      <c r="G70" s="242" t="str">
        <f>IF(Sheet1!G204="","",Sheet1!G204)</f>
        <v/>
      </c>
      <c r="H70" s="242" t="str">
        <f>IF(Sheet1!H204="","",Sheet1!H204)</f>
        <v/>
      </c>
      <c r="I70" s="242" t="str">
        <f>IF(Sheet1!I204="","",Sheet1!I204)</f>
        <v/>
      </c>
      <c r="J70" s="242" t="str">
        <f>IF(Sheet1!J204="","",Sheet1!J204)</f>
        <v/>
      </c>
      <c r="K70" s="242" t="str">
        <f>IF(Sheet1!K204="","",Sheet1!K204)</f>
        <v/>
      </c>
      <c r="L70" s="242" t="str">
        <f>IF(Sheet1!L204="","",Sheet1!L204)</f>
        <v/>
      </c>
      <c r="M70" s="242" t="str">
        <f>IF(Sheet1!M204="","",Sheet1!M204)</f>
        <v/>
      </c>
      <c r="N70" s="242" t="str">
        <f>IF(Sheet1!N204="","",Sheet1!N204)</f>
        <v/>
      </c>
      <c r="O70" s="242" t="str">
        <f>IF(Sheet1!O204="","",Sheet1!O204)</f>
        <v/>
      </c>
      <c r="P70" s="242" t="str">
        <f>IF(Sheet1!P204="","",Sheet1!P204)</f>
        <v/>
      </c>
      <c r="Q70" s="242" t="str">
        <f>IF(Sheet1!Q204="","",Sheet1!Q204)</f>
        <v/>
      </c>
      <c r="R70" s="242" t="str">
        <f>IF(Sheet1!R204="","",Sheet1!R204)</f>
        <v/>
      </c>
      <c r="S70" s="242" t="str">
        <f>IF(Sheet1!S204="","",Sheet1!S204)</f>
        <v/>
      </c>
    </row>
    <row r="71" spans="2:19">
      <c r="B71" t="s">
        <v>432</v>
      </c>
      <c r="D71" t="s">
        <v>1358</v>
      </c>
      <c r="E71" s="242" t="str">
        <f>IF(Sheet1!E205="","",Sheet1!E205)</f>
        <v/>
      </c>
      <c r="F71" s="242" t="str">
        <f>IF(Sheet1!F205="","",Sheet1!F205)</f>
        <v/>
      </c>
      <c r="G71" s="242" t="str">
        <f>IF(Sheet1!G205="","",Sheet1!G205)</f>
        <v/>
      </c>
      <c r="H71" s="242" t="str">
        <f>IF(Sheet1!H205="","",Sheet1!H205)</f>
        <v/>
      </c>
      <c r="I71" s="242" t="str">
        <f>IF(Sheet1!I205="","",Sheet1!I205)</f>
        <v/>
      </c>
      <c r="J71" s="242" t="str">
        <f>IF(Sheet1!J205="","",Sheet1!J205)</f>
        <v/>
      </c>
      <c r="K71" s="242" t="str">
        <f>IF(Sheet1!K205="","",Sheet1!K205)</f>
        <v/>
      </c>
      <c r="L71" s="242" t="str">
        <f>IF(Sheet1!L205="","",Sheet1!L205)</f>
        <v/>
      </c>
      <c r="M71" s="242" t="str">
        <f>IF(Sheet1!M205="","",Sheet1!M205)</f>
        <v/>
      </c>
      <c r="N71" s="242" t="str">
        <f>IF(Sheet1!N205="","",Sheet1!N205)</f>
        <v/>
      </c>
      <c r="O71" s="242" t="str">
        <f>IF(Sheet1!O205="","",Sheet1!O205)</f>
        <v/>
      </c>
      <c r="P71" s="242" t="str">
        <f>IF(Sheet1!P205="","",Sheet1!P205)</f>
        <v/>
      </c>
      <c r="Q71" s="242" t="str">
        <f>IF(Sheet1!Q205="","",Sheet1!Q205)</f>
        <v/>
      </c>
      <c r="R71" s="242" t="str">
        <f>IF(Sheet1!R205="","",Sheet1!R205)</f>
        <v/>
      </c>
      <c r="S71" s="242" t="str">
        <f>IF(Sheet1!S205="","",Sheet1!S205)</f>
        <v/>
      </c>
    </row>
    <row r="72" spans="2:19">
      <c r="B72" t="s">
        <v>433</v>
      </c>
      <c r="D72" t="s">
        <v>1359</v>
      </c>
      <c r="E72" s="242" t="str">
        <f>IF(Sheet1!E206="","",Sheet1!E206)</f>
        <v>FY21A</v>
      </c>
      <c r="F72" s="242" t="str">
        <f>IF(Sheet1!F206="","",Sheet1!F206)</f>
        <v>FY22A</v>
      </c>
      <c r="G72" s="242" t="str">
        <f>IF(Sheet1!G206="","",Sheet1!G206)</f>
        <v>FY23A</v>
      </c>
      <c r="H72" s="242" t="str">
        <f>IF(Sheet1!H206="","",Sheet1!H206)</f>
        <v>FY24A</v>
      </c>
      <c r="I72" s="242" t="str">
        <f>IF(Sheet1!I206="","",Sheet1!I206)</f>
        <v>FY25A</v>
      </c>
      <c r="J72" s="242" t="str">
        <f>IF(Sheet1!J206="","",Sheet1!J206)</f>
        <v>FY26E</v>
      </c>
      <c r="K72" s="242" t="str">
        <f>IF(Sheet1!K206="","",Sheet1!K206)</f>
        <v>FY27E</v>
      </c>
      <c r="L72" s="242" t="str">
        <f>IF(Sheet1!L206="","",Sheet1!L206)</f>
        <v>FY28E</v>
      </c>
      <c r="M72" s="242" t="str">
        <f>IF(Sheet1!M206="","",Sheet1!M206)</f>
        <v>FY29E</v>
      </c>
      <c r="N72" s="242" t="str">
        <f>IF(Sheet1!N206="","",Sheet1!N206)</f>
        <v>FY30E</v>
      </c>
      <c r="O72" s="242" t="str">
        <f>IF(Sheet1!O206="","",Sheet1!O206)</f>
        <v>FY31E</v>
      </c>
      <c r="P72" s="242" t="str">
        <f>IF(Sheet1!P206="","",Sheet1!P206)</f>
        <v>FY32E</v>
      </c>
      <c r="Q72" s="242" t="str">
        <f>IF(Sheet1!Q206="","",Sheet1!Q206)</f>
        <v>FY33E</v>
      </c>
      <c r="R72" s="242" t="str">
        <f>IF(Sheet1!R206="","",Sheet1!R206)</f>
        <v>FY34E</v>
      </c>
      <c r="S72" s="242" t="str">
        <f>IF(Sheet1!S206="","",Sheet1!S206)</f>
        <v>FY35E</v>
      </c>
    </row>
    <row r="73" spans="2:19">
      <c r="E73" s="242"/>
      <c r="F73" s="242"/>
      <c r="G73" s="242"/>
      <c r="H73" s="242"/>
      <c r="I73" s="242"/>
      <c r="J73" s="242"/>
      <c r="K73" s="242"/>
      <c r="L73" s="242"/>
      <c r="M73" s="242"/>
      <c r="N73" s="242"/>
      <c r="O73" s="242"/>
      <c r="P73" s="242"/>
      <c r="Q73" s="242"/>
      <c r="R73" s="242"/>
      <c r="S73" s="242"/>
    </row>
  </sheetData>
  <mergeCells count="6">
    <mergeCell ref="B62:S62"/>
    <mergeCell ref="A1:U2"/>
    <mergeCell ref="A3:U3"/>
    <mergeCell ref="B6:S6"/>
    <mergeCell ref="B23:S23"/>
    <mergeCell ref="B49:S49"/>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42"/>
  <sheetViews>
    <sheetView workbookViewId="0">
      <pane ySplit="5" topLeftCell="A6" activePane="bottomLeft" state="frozen"/>
      <selection pane="bottomLeft"/>
    </sheetView>
  </sheetViews>
  <sheetFormatPr defaultRowHeight="12.75"/>
  <cols>
    <col min="1" max="1" width="6" customWidth="1"/>
    <col min="2" max="2" width="53" customWidth="1"/>
    <col min="3" max="3" width="13" customWidth="1"/>
    <col min="4" max="4" width="14" customWidth="1"/>
    <col min="5" max="21" width="13" customWidth="1"/>
  </cols>
  <sheetData>
    <row r="1" spans="1:21" ht="23.1" customHeight="1">
      <c r="A1" s="5" t="s">
        <v>1360</v>
      </c>
      <c r="B1" s="5"/>
      <c r="C1" s="5"/>
      <c r="D1" s="5"/>
      <c r="E1" s="5"/>
      <c r="F1" s="5"/>
      <c r="G1" s="5"/>
      <c r="H1" s="5"/>
      <c r="I1" s="5"/>
      <c r="J1" s="5"/>
      <c r="K1" s="5"/>
      <c r="L1" s="5"/>
      <c r="M1" s="5"/>
      <c r="N1" s="5"/>
      <c r="O1" s="5"/>
      <c r="P1" s="5"/>
      <c r="Q1" s="5"/>
      <c r="R1" s="5"/>
      <c r="S1" s="5"/>
      <c r="T1" s="5"/>
      <c r="U1" s="5"/>
    </row>
    <row r="2" spans="1:21" ht="23.1" customHeight="1">
      <c r="A2" s="5"/>
      <c r="B2" s="5"/>
      <c r="C2" s="5"/>
      <c r="D2" s="5"/>
      <c r="E2" s="5"/>
      <c r="F2" s="5"/>
      <c r="G2" s="5"/>
      <c r="H2" s="5"/>
      <c r="I2" s="5"/>
      <c r="J2" s="5"/>
      <c r="K2" s="5"/>
      <c r="L2" s="5"/>
      <c r="M2" s="5"/>
      <c r="N2" s="5"/>
      <c r="O2" s="5"/>
      <c r="P2" s="5"/>
      <c r="Q2" s="5"/>
      <c r="R2" s="5"/>
      <c r="S2" s="5"/>
      <c r="T2" s="5"/>
      <c r="U2" s="5"/>
    </row>
    <row r="3" spans="1:21" ht="24" customHeight="1">
      <c r="A3" s="4" t="s">
        <v>1361</v>
      </c>
      <c r="B3" s="4"/>
      <c r="C3" s="4"/>
      <c r="D3" s="4"/>
      <c r="E3" s="4"/>
      <c r="F3" s="4"/>
      <c r="G3" s="4"/>
      <c r="H3" s="4"/>
      <c r="I3" s="4"/>
      <c r="J3" s="4"/>
      <c r="K3" s="4"/>
      <c r="L3" s="4"/>
      <c r="M3" s="4"/>
      <c r="N3" s="4"/>
      <c r="O3" s="4"/>
      <c r="P3" s="4"/>
      <c r="Q3" s="4"/>
      <c r="R3" s="4"/>
      <c r="S3" s="4"/>
      <c r="T3" s="4"/>
      <c r="U3" s="4"/>
    </row>
    <row r="5" spans="1:21" ht="26.1" customHeight="1">
      <c r="B5" s="241" t="s">
        <v>1233</v>
      </c>
      <c r="C5" s="241" t="s">
        <v>1234</v>
      </c>
      <c r="D5" s="241" t="s">
        <v>1235</v>
      </c>
      <c r="E5" s="241" t="str">
        <f>Sheet1!E40</f>
        <v>FY21A</v>
      </c>
      <c r="F5" s="241" t="str">
        <f>Sheet1!F40</f>
        <v>FY22A</v>
      </c>
      <c r="G5" s="241" t="str">
        <f>Sheet1!G40</f>
        <v>FY23A</v>
      </c>
      <c r="H5" s="241" t="str">
        <f>Sheet1!H40</f>
        <v>FY24A</v>
      </c>
      <c r="I5" s="241" t="str">
        <f>Sheet1!I40</f>
        <v>FY25A</v>
      </c>
      <c r="J5" s="241" t="str">
        <f>Sheet1!J40</f>
        <v>FY26E</v>
      </c>
      <c r="K5" s="241" t="str">
        <f>Sheet1!K40</f>
        <v>FY27E</v>
      </c>
      <c r="L5" s="241" t="str">
        <f>Sheet1!L40</f>
        <v>FY28E</v>
      </c>
      <c r="M5" s="241" t="str">
        <f>Sheet1!M40</f>
        <v>FY29E</v>
      </c>
      <c r="N5" s="241" t="str">
        <f>Sheet1!N40</f>
        <v>FY30E</v>
      </c>
      <c r="O5" s="241" t="str">
        <f>Sheet1!O40</f>
        <v>FY31E</v>
      </c>
      <c r="P5" s="241" t="str">
        <f>Sheet1!P40</f>
        <v>FY32E</v>
      </c>
      <c r="Q5" s="241" t="str">
        <f>Sheet1!Q40</f>
        <v>FY33E</v>
      </c>
      <c r="R5" s="241" t="str">
        <f>Sheet1!R40</f>
        <v>FY34E</v>
      </c>
      <c r="S5" s="241" t="str">
        <f>Sheet1!S40</f>
        <v>FY35E</v>
      </c>
    </row>
    <row r="6" spans="1:21" ht="20.100000000000001" customHeight="1">
      <c r="B6" s="3" t="s">
        <v>1362</v>
      </c>
      <c r="C6" s="3"/>
      <c r="D6" s="3"/>
      <c r="E6" s="2"/>
      <c r="F6" s="2"/>
      <c r="G6" s="2"/>
      <c r="H6" s="2"/>
      <c r="I6" s="2"/>
      <c r="J6" s="2"/>
      <c r="K6" s="2"/>
      <c r="L6" s="2"/>
      <c r="M6" s="2"/>
      <c r="N6" s="2"/>
      <c r="O6" s="2"/>
      <c r="P6" s="2"/>
      <c r="Q6" s="2"/>
      <c r="R6" s="2"/>
      <c r="S6" s="2"/>
    </row>
    <row r="7" spans="1:21">
      <c r="B7" t="s">
        <v>358</v>
      </c>
      <c r="D7" t="s">
        <v>1292</v>
      </c>
      <c r="E7" s="242">
        <f>IF(Sheet1!E143="","",Sheet1!E143)</f>
        <v>13429.625</v>
      </c>
      <c r="F7" s="242">
        <f>IF(Sheet1!F143="","",Sheet1!F143)</f>
        <v>15590.696000000002</v>
      </c>
      <c r="G7" s="242">
        <f>IF(Sheet1!G143="","",Sheet1!G143)</f>
        <v>16258.574999999999</v>
      </c>
      <c r="H7" s="242">
        <f>IF(Sheet1!H143="","",Sheet1!H143)</f>
        <v>17409.173999999999</v>
      </c>
      <c r="I7" s="242">
        <f>IF(Sheet1!I143="","",Sheet1!I143)</f>
        <v>19129.086000000003</v>
      </c>
      <c r="J7" s="242">
        <f>IF(Sheet1!J143="","",Sheet1!J143)</f>
        <v>21126.925887243429</v>
      </c>
      <c r="K7" s="242">
        <f>IF(Sheet1!K143="","",Sheet1!K143)</f>
        <v>24772.626990601471</v>
      </c>
      <c r="L7" s="242">
        <f>IF(Sheet1!L143="","",Sheet1!L143)</f>
        <v>28566.441552779335</v>
      </c>
      <c r="M7" s="242">
        <f>IF(Sheet1!M143="","",Sheet1!M143)</f>
        <v>31940.867770374884</v>
      </c>
      <c r="N7" s="242">
        <f>IF(Sheet1!N143="","",Sheet1!N143)</f>
        <v>35120.609300581607</v>
      </c>
      <c r="O7" s="242">
        <f>IF(Sheet1!O143="","",Sheet1!O143)</f>
        <v>38435.981790433434</v>
      </c>
      <c r="P7" s="242">
        <f>IF(Sheet1!P143="","",Sheet1!P143)</f>
        <v>41880.136676087073</v>
      </c>
      <c r="Q7" s="242">
        <f>IF(Sheet1!Q143="","",Sheet1!Q143)</f>
        <v>45345.908913006737</v>
      </c>
      <c r="R7" s="242">
        <f>IF(Sheet1!R143="","",Sheet1!R143)</f>
        <v>48788.920776496598</v>
      </c>
      <c r="S7" s="242">
        <f>IF(Sheet1!S143="","",Sheet1!S143)</f>
        <v>52161.394188226783</v>
      </c>
    </row>
    <row r="8" spans="1:21">
      <c r="B8" t="s">
        <v>361</v>
      </c>
      <c r="D8" t="s">
        <v>1294</v>
      </c>
      <c r="E8" s="242">
        <f>IF(Sheet1!E145="","",Sheet1!E145)</f>
        <v>16441.870999999999</v>
      </c>
      <c r="F8" s="242">
        <f>IF(Sheet1!F145="","",Sheet1!F145)</f>
        <v>19291.807000000001</v>
      </c>
      <c r="G8" s="242">
        <f>IF(Sheet1!G145="","",Sheet1!G145)</f>
        <v>20463.040999999997</v>
      </c>
      <c r="H8" s="242">
        <f>IF(Sheet1!H145="","",Sheet1!H145)</f>
        <v>22965.652999999998</v>
      </c>
      <c r="I8" s="242">
        <f>IF(Sheet1!I145="","",Sheet1!I145)</f>
        <v>26065.682000000001</v>
      </c>
      <c r="J8" s="242">
        <f>IF(Sheet1!J145="","",Sheet1!J145)</f>
        <v>29797.670887243428</v>
      </c>
      <c r="K8" s="242">
        <f>IF(Sheet1!K145="","",Sheet1!K145)</f>
        <v>34743.98374060147</v>
      </c>
      <c r="L8" s="242">
        <f>IF(Sheet1!L145="","",Sheet1!L145)</f>
        <v>39734.361112779334</v>
      </c>
      <c r="M8" s="242">
        <f>IF(Sheet1!M145="","",Sheet1!M145)</f>
        <v>44225.579286374879</v>
      </c>
      <c r="N8" s="242">
        <f>IF(Sheet1!N145="","",Sheet1!N145)</f>
        <v>48633.791968181606</v>
      </c>
      <c r="O8" s="242">
        <f>IF(Sheet1!O145="","",Sheet1!O145)</f>
        <v>53219.403628787833</v>
      </c>
      <c r="P8" s="242">
        <f>IF(Sheet1!P145="","",Sheet1!P145)</f>
        <v>57964.499636216664</v>
      </c>
      <c r="Q8" s="242">
        <f>IF(Sheet1!Q145="","",Sheet1!Q145)</f>
        <v>62749.189635866955</v>
      </c>
      <c r="R8" s="242">
        <f>IF(Sheet1!R145="","",Sheet1!R145)</f>
        <v>67514.850834294193</v>
      </c>
      <c r="S8" s="242">
        <f>IF(Sheet1!S145="","",Sheet1!S145)</f>
        <v>72198.139350070211</v>
      </c>
    </row>
    <row r="9" spans="1:21">
      <c r="B9" t="s">
        <v>368</v>
      </c>
      <c r="D9" t="s">
        <v>1301</v>
      </c>
      <c r="E9" s="242">
        <f>IF(Sheet1!E149="","",Sheet1!E149)</f>
        <v>8782.7729999999992</v>
      </c>
      <c r="F9" s="242">
        <f>IF(Sheet1!F149="","",Sheet1!F149)</f>
        <v>9895.3359999999993</v>
      </c>
      <c r="G9" s="242">
        <f>IF(Sheet1!G149="","",Sheet1!G149)</f>
        <v>10249.204</v>
      </c>
      <c r="H9" s="242">
        <f>IF(Sheet1!H149="","",Sheet1!H149)</f>
        <v>11793.642</v>
      </c>
      <c r="I9" s="242">
        <f>IF(Sheet1!I149="","",Sheet1!I149)</f>
        <v>13700.714</v>
      </c>
      <c r="J9" s="242">
        <f>IF(Sheet1!J149="","",Sheet1!J149)</f>
        <v>16239.73063354767</v>
      </c>
      <c r="K9" s="242">
        <f>IF(Sheet1!K149="","",Sheet1!K149)</f>
        <v>18066.871545112765</v>
      </c>
      <c r="L9" s="242">
        <f>IF(Sheet1!L149="","",Sheet1!L149)</f>
        <v>20463.195973081358</v>
      </c>
      <c r="M9" s="242">
        <f>IF(Sheet1!M149="","",Sheet1!M149)</f>
        <v>22555.04543605119</v>
      </c>
      <c r="N9" s="242">
        <f>IF(Sheet1!N149="","",Sheet1!N149)</f>
        <v>24560.064943931709</v>
      </c>
      <c r="O9" s="242">
        <f>IF(Sheet1!O149="","",Sheet1!O149)</f>
        <v>26875.798832537857</v>
      </c>
      <c r="P9" s="242">
        <f>IF(Sheet1!P149="","",Sheet1!P149)</f>
        <v>29272.072316289417</v>
      </c>
      <c r="Q9" s="242">
        <f>IF(Sheet1!Q149="","",Sheet1!Q149)</f>
        <v>31688.340766112811</v>
      </c>
      <c r="R9" s="242">
        <f>IF(Sheet1!R149="","",Sheet1!R149)</f>
        <v>34094.999671318568</v>
      </c>
      <c r="S9" s="242">
        <f>IF(Sheet1!S149="","",Sheet1!S149)</f>
        <v>36460.060371785454</v>
      </c>
    </row>
    <row r="10" spans="1:21">
      <c r="B10" t="s">
        <v>369</v>
      </c>
      <c r="D10" t="s">
        <v>1302</v>
      </c>
      <c r="E10" s="242">
        <f>IF(Sheet1!E150="","",Sheet1!E150)</f>
        <v>7659.098</v>
      </c>
      <c r="F10" s="242">
        <f>IF(Sheet1!F150="","",Sheet1!F150)</f>
        <v>9396.4710000000014</v>
      </c>
      <c r="G10" s="242">
        <f>IF(Sheet1!G150="","",Sheet1!G150)</f>
        <v>10213.836999999998</v>
      </c>
      <c r="H10" s="242">
        <f>IF(Sheet1!H150="","",Sheet1!H150)</f>
        <v>11172.010999999999</v>
      </c>
      <c r="I10" s="242">
        <f>IF(Sheet1!I150="","",Sheet1!I150)</f>
        <v>12364.968000000001</v>
      </c>
      <c r="J10" s="242">
        <f>IF(Sheet1!J150="","",Sheet1!J150)</f>
        <v>13557.940253695759</v>
      </c>
      <c r="K10" s="242">
        <f>IF(Sheet1!K150="","",Sheet1!K150)</f>
        <v>16677.112195488706</v>
      </c>
      <c r="L10" s="242">
        <f>IF(Sheet1!L150="","",Sheet1!L150)</f>
        <v>19271.165139697976</v>
      </c>
      <c r="M10" s="242">
        <f>IF(Sheet1!M150="","",Sheet1!M150)</f>
        <v>21670.533850323689</v>
      </c>
      <c r="N10" s="242">
        <f>IF(Sheet1!N150="","",Sheet1!N150)</f>
        <v>24073.727024249896</v>
      </c>
      <c r="O10" s="242">
        <f>IF(Sheet1!O150="","",Sheet1!O150)</f>
        <v>26343.604796249976</v>
      </c>
      <c r="P10" s="242">
        <f>IF(Sheet1!P150="","",Sheet1!P150)</f>
        <v>28692.427319927247</v>
      </c>
      <c r="Q10" s="242">
        <f>IF(Sheet1!Q150="","",Sheet1!Q150)</f>
        <v>31060.848869754143</v>
      </c>
      <c r="R10" s="242">
        <f>IF(Sheet1!R150="","",Sheet1!R150)</f>
        <v>33419.851162975625</v>
      </c>
      <c r="S10" s="242">
        <f>IF(Sheet1!S150="","",Sheet1!S150)</f>
        <v>35738.078978284757</v>
      </c>
    </row>
    <row r="11" spans="1:21">
      <c r="B11" t="s">
        <v>373</v>
      </c>
      <c r="D11" t="s">
        <v>1255</v>
      </c>
      <c r="E11" s="242">
        <f>IF(Sheet1!E153="","",Sheet1!E153)</f>
        <v>1079.6440000000002</v>
      </c>
      <c r="F11" s="242">
        <f>IF(Sheet1!F153="","",Sheet1!F153)</f>
        <v>1387.6740000000009</v>
      </c>
      <c r="G11" s="242">
        <f>IF(Sheet1!G153="","",Sheet1!G153)</f>
        <v>1887.614999999998</v>
      </c>
      <c r="H11" s="242">
        <f>IF(Sheet1!H153="","",Sheet1!H153)</f>
        <v>2272.2559999999985</v>
      </c>
      <c r="I11" s="242">
        <f>IF(Sheet1!I153="","",Sheet1!I153)</f>
        <v>2440.4939999999997</v>
      </c>
      <c r="J11" s="242">
        <f>IF(Sheet1!J153="","",Sheet1!J153)</f>
        <v>2744.2646895637067</v>
      </c>
      <c r="K11" s="242">
        <f>IF(Sheet1!K153="","",Sheet1!K153)</f>
        <v>3383.1333635247929</v>
      </c>
      <c r="L11" s="242">
        <f>IF(Sheet1!L153="","",Sheet1!L153)</f>
        <v>3933.3859950677906</v>
      </c>
      <c r="M11" s="242">
        <f>IF(Sheet1!M153="","",Sheet1!M153)</f>
        <v>4434.047019704818</v>
      </c>
      <c r="N11" s="242">
        <f>IF(Sheet1!N153="","",Sheet1!N153)</f>
        <v>4933.4401665013856</v>
      </c>
      <c r="O11" s="242">
        <f>IF(Sheet1!O153="","",Sheet1!O153)</f>
        <v>5398.1769650896231</v>
      </c>
      <c r="P11" s="242">
        <f>IF(Sheet1!P153="","",Sheet1!P153)</f>
        <v>5880.6152434014903</v>
      </c>
      <c r="Q11" s="242">
        <f>IF(Sheet1!Q153="","",Sheet1!Q153)</f>
        <v>6367.2752058349961</v>
      </c>
      <c r="R11" s="242">
        <f>IF(Sheet1!R153="","",Sheet1!R153)</f>
        <v>6852.2469433524811</v>
      </c>
      <c r="S11" s="242">
        <f>IF(Sheet1!S153="","",Sheet1!S153)</f>
        <v>7329.1398231595222</v>
      </c>
    </row>
    <row r="12" spans="1:21">
      <c r="B12" t="s">
        <v>496</v>
      </c>
      <c r="D12" t="s">
        <v>1363</v>
      </c>
      <c r="E12" s="242">
        <f>IF(Sheet1!E267="","",Sheet1!E267)</f>
        <v>0.53417114147167311</v>
      </c>
      <c r="F12" s="242">
        <f>IF(Sheet1!F267="","",Sheet1!F267)</f>
        <v>0.51292945238359466</v>
      </c>
      <c r="G12" s="242">
        <f>IF(Sheet1!G267="","",Sheet1!G267)</f>
        <v>0.50086416774515585</v>
      </c>
      <c r="H12" s="242">
        <f>IF(Sheet1!H267="","",Sheet1!H267)</f>
        <v>0.51353392825364041</v>
      </c>
      <c r="I12" s="242">
        <f>IF(Sheet1!I267="","",Sheet1!I267)</f>
        <v>0.52562269423834751</v>
      </c>
      <c r="J12" s="242">
        <f>IF(Sheet1!J267="","",Sheet1!J267)</f>
        <v>0.54500000000000004</v>
      </c>
      <c r="K12" s="242">
        <f>IF(Sheet1!K267="","",Sheet1!K267)</f>
        <v>0.52</v>
      </c>
      <c r="L12" s="242">
        <f>IF(Sheet1!L267="","",Sheet1!L267)</f>
        <v>0.51500000000000001</v>
      </c>
      <c r="M12" s="242">
        <f>IF(Sheet1!M267="","",Sheet1!M267)</f>
        <v>0.51</v>
      </c>
      <c r="N12" s="242">
        <f>IF(Sheet1!N267="","",Sheet1!N267)</f>
        <v>0.505</v>
      </c>
      <c r="O12" s="242">
        <f>IF(Sheet1!O267="","",Sheet1!O267)</f>
        <v>0.505</v>
      </c>
      <c r="P12" s="242">
        <f>IF(Sheet1!P267="","",Sheet1!P267)</f>
        <v>0.505</v>
      </c>
      <c r="Q12" s="242">
        <f>IF(Sheet1!Q267="","",Sheet1!Q267)</f>
        <v>0.505</v>
      </c>
      <c r="R12" s="242">
        <f>IF(Sheet1!R267="","",Sheet1!R267)</f>
        <v>0.505</v>
      </c>
      <c r="S12" s="242">
        <f>IF(Sheet1!S267="","",Sheet1!S267)</f>
        <v>0.505</v>
      </c>
    </row>
    <row r="13" spans="1:21">
      <c r="B13" t="s">
        <v>497</v>
      </c>
      <c r="D13" t="s">
        <v>1364</v>
      </c>
      <c r="E13" s="242">
        <f>IF(Sheet1!E268="","",Sheet1!E268)</f>
        <v>0.52569999999999995</v>
      </c>
      <c r="F13" s="242">
        <f>IF(Sheet1!F268="","",Sheet1!F268)</f>
        <v>0.5101</v>
      </c>
      <c r="G13" s="242">
        <f>IF(Sheet1!G268="","",Sheet1!G268)</f>
        <v>0.49859999999999999</v>
      </c>
      <c r="H13" s="242">
        <f>IF(Sheet1!H268="","",Sheet1!H268)</f>
        <v>0.50890000000000002</v>
      </c>
      <c r="I13" s="242">
        <f>IF(Sheet1!I268="","",Sheet1!I268)</f>
        <v>0.52090000000000003</v>
      </c>
      <c r="J13" s="242" t="str">
        <f>IF(Sheet1!J268="","",Sheet1!J268)</f>
        <v/>
      </c>
      <c r="K13" s="242" t="str">
        <f>IF(Sheet1!K268="","",Sheet1!K268)</f>
        <v/>
      </c>
      <c r="L13" s="242" t="str">
        <f>IF(Sheet1!L268="","",Sheet1!L268)</f>
        <v/>
      </c>
      <c r="M13" s="242" t="str">
        <f>IF(Sheet1!M268="","",Sheet1!M268)</f>
        <v/>
      </c>
      <c r="N13" s="242" t="str">
        <f>IF(Sheet1!N268="","",Sheet1!N268)</f>
        <v/>
      </c>
      <c r="O13" s="242" t="str">
        <f>IF(Sheet1!O268="","",Sheet1!O268)</f>
        <v/>
      </c>
      <c r="P13" s="242" t="str">
        <f>IF(Sheet1!P268="","",Sheet1!P268)</f>
        <v/>
      </c>
      <c r="Q13" s="242" t="str">
        <f>IF(Sheet1!Q268="","",Sheet1!Q268)</f>
        <v/>
      </c>
      <c r="R13" s="242" t="str">
        <f>IF(Sheet1!R268="","",Sheet1!R268)</f>
        <v/>
      </c>
      <c r="S13" s="242" t="str">
        <f>IF(Sheet1!S268="","",Sheet1!S268)</f>
        <v/>
      </c>
    </row>
    <row r="14" spans="1:21">
      <c r="B14" t="s">
        <v>498</v>
      </c>
      <c r="D14" t="s">
        <v>1365</v>
      </c>
      <c r="E14" s="242" t="str">
        <f>IF(Sheet1!E269="","",Sheet1!E269)</f>
        <v/>
      </c>
      <c r="F14" s="242">
        <f>IF(Sheet1!F269="","",Sheet1!F269)</f>
        <v>4.6658449016183656E-2</v>
      </c>
      <c r="G14" s="242">
        <f>IF(Sheet1!G269="","",Sheet1!G269)</f>
        <v>2.4950382102542523E-2</v>
      </c>
      <c r="H14" s="242">
        <f>IF(Sheet1!H269="","",Sheet1!H269)</f>
        <v>-2.8389455750023052E-2</v>
      </c>
      <c r="I14" s="242">
        <f>IF(Sheet1!I269="","",Sheet1!I269)</f>
        <v>-2.6717949377282668E-2</v>
      </c>
      <c r="J14" s="242">
        <f>IF(Sheet1!J269="","",Sheet1!J269)</f>
        <v>-4.2143685341304638E-2</v>
      </c>
      <c r="K14" s="242">
        <f>IF(Sheet1!K269="","",Sheet1!K269)</f>
        <v>5.3486083797517292E-2</v>
      </c>
      <c r="L14" s="242">
        <f>IF(Sheet1!L269="","",Sheet1!L269)</f>
        <v>1.0996469702450495E-2</v>
      </c>
      <c r="M14" s="242">
        <f>IF(Sheet1!M269="","",Sheet1!M269)</f>
        <v>1.08061270938693E-2</v>
      </c>
      <c r="N14" s="242">
        <f>IF(Sheet1!N269="","",Sheet1!N269)</f>
        <v>1.0781133672745247E-2</v>
      </c>
      <c r="O14" s="242">
        <f>IF(Sheet1!O269="","",Sheet1!O269)</f>
        <v>-2.2204460492503131E-16</v>
      </c>
      <c r="P14" s="242">
        <f>IF(Sheet1!P269="","",Sheet1!P269)</f>
        <v>0</v>
      </c>
      <c r="Q14" s="242">
        <f>IF(Sheet1!Q269="","",Sheet1!Q269)</f>
        <v>2.2204460492503131E-16</v>
      </c>
      <c r="R14" s="242">
        <f>IF(Sheet1!R269="","",Sheet1!R269)</f>
        <v>0</v>
      </c>
      <c r="S14" s="242">
        <f>IF(Sheet1!S269="","",Sheet1!S269)</f>
        <v>2.2204460492503131E-16</v>
      </c>
    </row>
    <row r="15" spans="1:21" ht="20.100000000000001" customHeight="1">
      <c r="B15" s="3" t="s">
        <v>1366</v>
      </c>
      <c r="C15" s="3"/>
      <c r="D15" s="3"/>
      <c r="E15" s="2"/>
      <c r="F15" s="2"/>
      <c r="G15" s="2"/>
      <c r="H15" s="2"/>
      <c r="I15" s="2"/>
      <c r="J15" s="2"/>
      <c r="K15" s="2"/>
      <c r="L15" s="2"/>
      <c r="M15" s="2"/>
      <c r="N15" s="2"/>
      <c r="O15" s="2"/>
      <c r="P15" s="2"/>
      <c r="Q15" s="2"/>
      <c r="R15" s="2"/>
      <c r="S15" s="2"/>
    </row>
    <row r="16" spans="1:21">
      <c r="B16" t="s">
        <v>393</v>
      </c>
      <c r="D16" t="s">
        <v>1256</v>
      </c>
      <c r="E16" s="242">
        <f>IF(Sheet1!E169="","",Sheet1!E169)</f>
        <v>265289</v>
      </c>
      <c r="F16" s="242">
        <f>IF(Sheet1!F169="","",Sheet1!F169)</f>
        <v>305727</v>
      </c>
      <c r="G16" s="242">
        <f>IF(Sheet1!G169="","",Sheet1!G169)</f>
        <v>353624</v>
      </c>
      <c r="H16" s="242">
        <f>IF(Sheet1!H169="","",Sheet1!H169)</f>
        <v>408613</v>
      </c>
      <c r="I16" s="242">
        <f>IF(Sheet1!I169="","",Sheet1!I169)</f>
        <v>456193</v>
      </c>
      <c r="J16" s="242">
        <f>IF(Sheet1!J169="","",Sheet1!J169)</f>
        <v>512440.95989619783</v>
      </c>
      <c r="K16" s="242">
        <f>IF(Sheet1!K169="","",Sheet1!K169)</f>
        <v>580330.32661470189</v>
      </c>
      <c r="L16" s="242">
        <f>IF(Sheet1!L169="","",Sheet1!L169)</f>
        <v>641717.00022929918</v>
      </c>
      <c r="M16" s="242">
        <f>IF(Sheet1!M169="","",Sheet1!M169)</f>
        <v>711886.84094175894</v>
      </c>
      <c r="N16" s="242">
        <f>IF(Sheet1!N169="","",Sheet1!N169)</f>
        <v>783779.24640089413</v>
      </c>
      <c r="O16" s="242">
        <f>IF(Sheet1!O169="","",Sheet1!O169)</f>
        <v>856133.85600439331</v>
      </c>
      <c r="P16" s="242">
        <f>IF(Sheet1!P169="","",Sheet1!P169)</f>
        <v>928716.02492979157</v>
      </c>
      <c r="Q16" s="242">
        <f>IF(Sheet1!Q169="","",Sheet1!Q169)</f>
        <v>1000452.683660768</v>
      </c>
      <c r="R16" s="242">
        <f>IF(Sheet1!R169="","",Sheet1!R169)</f>
        <v>1071190.8570160782</v>
      </c>
      <c r="S16" s="242">
        <f>IF(Sheet1!S169="","",Sheet1!S169)</f>
        <v>1139887.1734859913</v>
      </c>
    </row>
    <row r="17" spans="2:19">
      <c r="B17" t="s">
        <v>416</v>
      </c>
      <c r="D17" t="s">
        <v>1257</v>
      </c>
      <c r="E17" s="242" t="str">
        <f>IF(Sheet1!E187="","",Sheet1!E187)</f>
        <v/>
      </c>
      <c r="F17" s="242" t="str">
        <f>IF(Sheet1!F187="","",Sheet1!F187)</f>
        <v/>
      </c>
      <c r="G17" s="242" t="str">
        <f>IF(Sheet1!G187="","",Sheet1!G187)</f>
        <v/>
      </c>
      <c r="H17" s="242" t="str">
        <f>IF(Sheet1!H187="","",Sheet1!H187)</f>
        <v/>
      </c>
      <c r="I17" s="242" t="str">
        <f>IF(Sheet1!I187="","",Sheet1!I187)</f>
        <v/>
      </c>
      <c r="J17" s="242">
        <f>IF(Sheet1!J187="","",Sheet1!J187)</f>
        <v>-1330.537705829187</v>
      </c>
      <c r="K17" s="242">
        <f>IF(Sheet1!K187="","",Sheet1!K187)</f>
        <v>-1763.4714237001863</v>
      </c>
      <c r="L17" s="242">
        <f>IF(Sheet1!L187="","",Sheet1!L187)</f>
        <v>-1779.1814125427009</v>
      </c>
      <c r="M17" s="242">
        <f>IF(Sheet1!M187="","",Sheet1!M187)</f>
        <v>-1601.2199675889315</v>
      </c>
      <c r="N17" s="242">
        <f>IF(Sheet1!N187="","",Sheet1!N187)</f>
        <v>-1571.6266488645833</v>
      </c>
      <c r="O17" s="242">
        <f>IF(Sheet1!O187="","",Sheet1!O187)</f>
        <v>-1634.8733619175473</v>
      </c>
      <c r="P17" s="242">
        <f>IF(Sheet1!P187="","",Sheet1!P187)</f>
        <v>-1691.7331070422842</v>
      </c>
      <c r="Q17" s="242">
        <f>IF(Sheet1!Q187="","",Sheet1!Q187)</f>
        <v>-1705.8492529276664</v>
      </c>
      <c r="R17" s="242">
        <f>IF(Sheet1!R187="","",Sheet1!R187)</f>
        <v>-1699.0650586846095</v>
      </c>
      <c r="S17" s="242">
        <f>IF(Sheet1!S187="","",Sheet1!S187)</f>
        <v>-1669.6973506047725</v>
      </c>
    </row>
    <row r="18" spans="2:19">
      <c r="B18" t="s">
        <v>433</v>
      </c>
      <c r="D18" t="s">
        <v>1359</v>
      </c>
      <c r="E18" s="242" t="str">
        <f>IF(Sheet1!E206="","",Sheet1!E206)</f>
        <v>FY21A</v>
      </c>
      <c r="F18" s="242" t="str">
        <f>IF(Sheet1!F206="","",Sheet1!F206)</f>
        <v>FY22A</v>
      </c>
      <c r="G18" s="242" t="str">
        <f>IF(Sheet1!G206="","",Sheet1!G206)</f>
        <v>FY23A</v>
      </c>
      <c r="H18" s="242" t="str">
        <f>IF(Sheet1!H206="","",Sheet1!H206)</f>
        <v>FY24A</v>
      </c>
      <c r="I18" s="242" t="str">
        <f>IF(Sheet1!I206="","",Sheet1!I206)</f>
        <v>FY25A</v>
      </c>
      <c r="J18" s="242" t="str">
        <f>IF(Sheet1!J206="","",Sheet1!J206)</f>
        <v>FY26E</v>
      </c>
      <c r="K18" s="242" t="str">
        <f>IF(Sheet1!K206="","",Sheet1!K206)</f>
        <v>FY27E</v>
      </c>
      <c r="L18" s="242" t="str">
        <f>IF(Sheet1!L206="","",Sheet1!L206)</f>
        <v>FY28E</v>
      </c>
      <c r="M18" s="242" t="str">
        <f>IF(Sheet1!M206="","",Sheet1!M206)</f>
        <v>FY29E</v>
      </c>
      <c r="N18" s="242" t="str">
        <f>IF(Sheet1!N206="","",Sheet1!N206)</f>
        <v>FY30E</v>
      </c>
      <c r="O18" s="242" t="str">
        <f>IF(Sheet1!O206="","",Sheet1!O206)</f>
        <v>FY31E</v>
      </c>
      <c r="P18" s="242" t="str">
        <f>IF(Sheet1!P206="","",Sheet1!P206)</f>
        <v>FY32E</v>
      </c>
      <c r="Q18" s="242" t="str">
        <f>IF(Sheet1!Q206="","",Sheet1!Q206)</f>
        <v>FY33E</v>
      </c>
      <c r="R18" s="242" t="str">
        <f>IF(Sheet1!R206="","",Sheet1!R206)</f>
        <v>FY34E</v>
      </c>
      <c r="S18" s="242" t="str">
        <f>IF(Sheet1!S206="","",Sheet1!S206)</f>
        <v>FY35E</v>
      </c>
    </row>
    <row r="19" spans="2:19">
      <c r="B19" t="s">
        <v>496</v>
      </c>
      <c r="D19" t="s">
        <v>1363</v>
      </c>
      <c r="E19" s="242">
        <f>IF(Sheet1!E267="","",Sheet1!E267)</f>
        <v>0.53417114147167311</v>
      </c>
      <c r="F19" s="242">
        <f>IF(Sheet1!F267="","",Sheet1!F267)</f>
        <v>0.51292945238359466</v>
      </c>
      <c r="G19" s="242">
        <f>IF(Sheet1!G267="","",Sheet1!G267)</f>
        <v>0.50086416774515585</v>
      </c>
      <c r="H19" s="242">
        <f>IF(Sheet1!H267="","",Sheet1!H267)</f>
        <v>0.51353392825364041</v>
      </c>
      <c r="I19" s="242">
        <f>IF(Sheet1!I267="","",Sheet1!I267)</f>
        <v>0.52562269423834751</v>
      </c>
      <c r="J19" s="242">
        <f>IF(Sheet1!J267="","",Sheet1!J267)</f>
        <v>0.54500000000000004</v>
      </c>
      <c r="K19" s="242">
        <f>IF(Sheet1!K267="","",Sheet1!K267)</f>
        <v>0.52</v>
      </c>
      <c r="L19" s="242">
        <f>IF(Sheet1!L267="","",Sheet1!L267)</f>
        <v>0.51500000000000001</v>
      </c>
      <c r="M19" s="242">
        <f>IF(Sheet1!M267="","",Sheet1!M267)</f>
        <v>0.51</v>
      </c>
      <c r="N19" s="242">
        <f>IF(Sheet1!N267="","",Sheet1!N267)</f>
        <v>0.505</v>
      </c>
      <c r="O19" s="242">
        <f>IF(Sheet1!O267="","",Sheet1!O267)</f>
        <v>0.505</v>
      </c>
      <c r="P19" s="242">
        <f>IF(Sheet1!P267="","",Sheet1!P267)</f>
        <v>0.505</v>
      </c>
      <c r="Q19" s="242">
        <f>IF(Sheet1!Q267="","",Sheet1!Q267)</f>
        <v>0.505</v>
      </c>
      <c r="R19" s="242">
        <f>IF(Sheet1!R267="","",Sheet1!R267)</f>
        <v>0.505</v>
      </c>
      <c r="S19" s="242">
        <f>IF(Sheet1!S267="","",Sheet1!S267)</f>
        <v>0.505</v>
      </c>
    </row>
    <row r="20" spans="2:19">
      <c r="B20" t="s">
        <v>525</v>
      </c>
      <c r="D20" t="s">
        <v>1367</v>
      </c>
      <c r="E20" s="242">
        <f>IF(Sheet1!E298="","",Sheet1!E298)</f>
        <v>7471.5267128099995</v>
      </c>
      <c r="F20" s="242">
        <f>IF(Sheet1!F298="","",Sheet1!F298)</f>
        <v>9204.4110681599996</v>
      </c>
      <c r="G20" s="242">
        <f>IF(Sheet1!G298="","",Sheet1!G298)</f>
        <v>9714.7262367999992</v>
      </c>
      <c r="H20" s="242">
        <f>IF(Sheet1!H298="","",Sheet1!H298)</f>
        <v>10318.2501639</v>
      </c>
      <c r="I20" s="242">
        <f>IF(Sheet1!I298="","",Sheet1!I298)</f>
        <v>11015.830632320001</v>
      </c>
      <c r="J20" s="242">
        <f>IF(Sheet1!J298="","",Sheet1!J298)</f>
        <v>12819.051745999999</v>
      </c>
      <c r="K20" s="242">
        <f>IF(Sheet1!K298="","",Sheet1!K298)</f>
        <v>14478.012777309998</v>
      </c>
      <c r="L20" s="242">
        <f>IF(Sheet1!L298="","",Sheet1!L298)</f>
        <v>15712.450162754401</v>
      </c>
      <c r="M20" s="242">
        <f>IF(Sheet1!M298="","",Sheet1!M298)</f>
        <v>17391.221042456953</v>
      </c>
      <c r="N20" s="242">
        <f>IF(Sheet1!N298="","",Sheet1!N298)</f>
        <v>19098.881579627545</v>
      </c>
      <c r="O20" s="242">
        <f>IF(Sheet1!O298="","",Sheet1!O298)</f>
        <v>20847.788900508061</v>
      </c>
      <c r="P20" s="242">
        <f>IF(Sheet1!P298="","",Sheet1!P298)</f>
        <v>22618.587085635136</v>
      </c>
      <c r="Q20" s="242">
        <f>IF(Sheet1!Q298="","",Sheet1!Q298)</f>
        <v>24389.585953731839</v>
      </c>
      <c r="R20" s="242">
        <f>IF(Sheet1!R298="","",Sheet1!R298)</f>
        <v>26137.124496264634</v>
      </c>
      <c r="S20" s="242">
        <f>IF(Sheet1!S298="","",Sheet1!S298)</f>
        <v>27836.037588521831</v>
      </c>
    </row>
    <row r="21" spans="2:19">
      <c r="B21" t="s">
        <v>529</v>
      </c>
      <c r="D21" t="s">
        <v>1368</v>
      </c>
      <c r="E21" s="242" t="str">
        <f>IF(Sheet1!E301="","",Sheet1!E301)</f>
        <v/>
      </c>
      <c r="F21" s="242">
        <f>IF(Sheet1!F301="","",Sheet1!F301)</f>
        <v>1.0638201795010486E-2</v>
      </c>
      <c r="G21" s="242">
        <f>IF(Sheet1!G301="","",Sheet1!G301)</f>
        <v>9.4288818863443574E-3</v>
      </c>
      <c r="H21" s="242">
        <f>IF(Sheet1!H301="","",Sheet1!H301)</f>
        <v>4.9743659770584616E-3</v>
      </c>
      <c r="I21" s="242">
        <f>IF(Sheet1!I301="","",Sheet1!I301)</f>
        <v>5.556005630368727E-3</v>
      </c>
      <c r="J21" s="242">
        <f>IF(Sheet1!J301="","",Sheet1!J301)</f>
        <v>1.7238725944847982E-3</v>
      </c>
      <c r="K21" s="242">
        <f>IF(Sheet1!K301="","",Sheet1!K301)</f>
        <v>3.2275640242743898E-3</v>
      </c>
      <c r="L21" s="242">
        <f>IF(Sheet1!L301="","",Sheet1!L301)</f>
        <v>4.6665140173685728E-3</v>
      </c>
      <c r="M21" s="242">
        <f>IF(Sheet1!M301="","",Sheet1!M301)</f>
        <v>4.031263029413556E-3</v>
      </c>
      <c r="N21" s="242">
        <f>IF(Sheet1!N301="","",Sheet1!N301)</f>
        <v>4.2990229583027674E-3</v>
      </c>
      <c r="O21" s="242">
        <f>IF(Sheet1!O301="","",Sheet1!O301)</f>
        <v>4.5053759347049019E-3</v>
      </c>
      <c r="P21" s="242">
        <f>IF(Sheet1!P301="","",Sheet1!P301)</f>
        <v>4.7134185766647511E-3</v>
      </c>
      <c r="Q21" s="242">
        <f>IF(Sheet1!Q301="","",Sheet1!Q301)</f>
        <v>4.9230795466914026E-3</v>
      </c>
      <c r="R21" s="242">
        <f>IF(Sheet1!R301="","",Sheet1!R301)</f>
        <v>5.1342881765964752E-3</v>
      </c>
      <c r="S21" s="242">
        <f>IF(Sheet1!S301="","",Sheet1!S301)</f>
        <v>5.3469733656174396E-3</v>
      </c>
    </row>
    <row r="22" spans="2:19">
      <c r="B22" t="s">
        <v>531</v>
      </c>
      <c r="D22" t="s">
        <v>1369</v>
      </c>
      <c r="E22" s="242" t="str">
        <f>IF(Sheet1!E303="","",Sheet1!E303)</f>
        <v/>
      </c>
      <c r="F22" s="242">
        <f>IF(Sheet1!F303="","",Sheet1!F303)</f>
        <v>1.9699999999999999E-2</v>
      </c>
      <c r="G22" s="242">
        <f>IF(Sheet1!G303="","",Sheet1!G303)</f>
        <v>1.14E-2</v>
      </c>
      <c r="H22" s="242">
        <f>IF(Sheet1!H303="","",Sheet1!H303)</f>
        <v>8.3000000000000001E-3</v>
      </c>
      <c r="I22" s="242">
        <f>IF(Sheet1!I303="","",Sheet1!I303)</f>
        <v>8.3999999999999995E-3</v>
      </c>
      <c r="J22" s="242" t="str">
        <f>IF(Sheet1!J303="","",Sheet1!J303)</f>
        <v/>
      </c>
      <c r="K22" s="242" t="str">
        <f>IF(Sheet1!K303="","",Sheet1!K303)</f>
        <v/>
      </c>
      <c r="L22" s="242" t="str">
        <f>IF(Sheet1!L303="","",Sheet1!L303)</f>
        <v/>
      </c>
      <c r="M22" s="242" t="str">
        <f>IF(Sheet1!M303="","",Sheet1!M303)</f>
        <v/>
      </c>
      <c r="N22" s="242" t="str">
        <f>IF(Sheet1!N303="","",Sheet1!N303)</f>
        <v/>
      </c>
      <c r="O22" s="242" t="str">
        <f>IF(Sheet1!O303="","",Sheet1!O303)</f>
        <v/>
      </c>
      <c r="P22" s="242" t="str">
        <f>IF(Sheet1!P303="","",Sheet1!P303)</f>
        <v/>
      </c>
      <c r="Q22" s="242" t="str">
        <f>IF(Sheet1!Q303="","",Sheet1!Q303)</f>
        <v/>
      </c>
      <c r="R22" s="242" t="str">
        <f>IF(Sheet1!R303="","",Sheet1!R303)</f>
        <v/>
      </c>
      <c r="S22" s="242" t="str">
        <f>IF(Sheet1!S303="","",Sheet1!S303)</f>
        <v/>
      </c>
    </row>
    <row r="23" spans="2:19">
      <c r="B23" t="s">
        <v>532</v>
      </c>
      <c r="D23" t="s">
        <v>1370</v>
      </c>
      <c r="E23" s="242" t="str">
        <f>IF(Sheet1!E304="","",Sheet1!E304)</f>
        <v/>
      </c>
      <c r="F23" s="242">
        <f>IF(Sheet1!F304="","",Sheet1!F304)</f>
        <v>5.7000000000000002E-3</v>
      </c>
      <c r="G23" s="242">
        <f>IF(Sheet1!G304="","",Sheet1!G304)</f>
        <v>5.4999999999999997E-3</v>
      </c>
      <c r="H23" s="242">
        <f>IF(Sheet1!H304="","",Sheet1!H304)</f>
        <v>5.0000000000000001E-3</v>
      </c>
      <c r="I23" s="242">
        <f>IF(Sheet1!I304="","",Sheet1!I304)</f>
        <v>4.7000000000000002E-3</v>
      </c>
      <c r="J23" s="242" t="str">
        <f>IF(Sheet1!J304="","",Sheet1!J304)</f>
        <v/>
      </c>
      <c r="K23" s="242" t="str">
        <f>IF(Sheet1!K304="","",Sheet1!K304)</f>
        <v/>
      </c>
      <c r="L23" s="242" t="str">
        <f>IF(Sheet1!L304="","",Sheet1!L304)</f>
        <v/>
      </c>
      <c r="M23" s="242" t="str">
        <f>IF(Sheet1!M304="","",Sheet1!M304)</f>
        <v/>
      </c>
      <c r="N23" s="242" t="str">
        <f>IF(Sheet1!N304="","",Sheet1!N304)</f>
        <v/>
      </c>
      <c r="O23" s="242" t="str">
        <f>IF(Sheet1!O304="","",Sheet1!O304)</f>
        <v/>
      </c>
      <c r="P23" s="242" t="str">
        <f>IF(Sheet1!P304="","",Sheet1!P304)</f>
        <v/>
      </c>
      <c r="Q23" s="242" t="str">
        <f>IF(Sheet1!Q304="","",Sheet1!Q304)</f>
        <v/>
      </c>
      <c r="R23" s="242" t="str">
        <f>IF(Sheet1!R304="","",Sheet1!R304)</f>
        <v/>
      </c>
      <c r="S23" s="242" t="str">
        <f>IF(Sheet1!S304="","",Sheet1!S304)</f>
        <v/>
      </c>
    </row>
    <row r="24" spans="2:19">
      <c r="B24" t="s">
        <v>540</v>
      </c>
      <c r="D24" t="s">
        <v>1258</v>
      </c>
      <c r="E24" s="242">
        <f>IF(Sheet1!E315="","",Sheet1!E315)</f>
        <v>0.22090000000000001</v>
      </c>
      <c r="F24" s="242">
        <f>IF(Sheet1!F315="","",Sheet1!F315)</f>
        <v>0.2029</v>
      </c>
      <c r="G24" s="242">
        <f>IF(Sheet1!G315="","",Sheet1!G315)</f>
        <v>0.2104</v>
      </c>
      <c r="H24" s="242">
        <f>IF(Sheet1!H315="","",Sheet1!H315)</f>
        <v>0.214</v>
      </c>
      <c r="I24" s="242">
        <f>IF(Sheet1!I315="","",Sheet1!I315)</f>
        <v>0.22</v>
      </c>
      <c r="J24" s="242" t="str">
        <f>IF(Sheet1!J315="","",Sheet1!J315)</f>
        <v/>
      </c>
      <c r="K24" s="242" t="str">
        <f>IF(Sheet1!K315="","",Sheet1!K315)</f>
        <v/>
      </c>
      <c r="L24" s="242" t="str">
        <f>IF(Sheet1!L315="","",Sheet1!L315)</f>
        <v/>
      </c>
      <c r="M24" s="242" t="str">
        <f>IF(Sheet1!M315="","",Sheet1!M315)</f>
        <v/>
      </c>
      <c r="N24" s="242" t="str">
        <f>IF(Sheet1!N315="","",Sheet1!N315)</f>
        <v/>
      </c>
      <c r="O24" s="242" t="str">
        <f>IF(Sheet1!O315="","",Sheet1!O315)</f>
        <v/>
      </c>
      <c r="P24" s="242" t="str">
        <f>IF(Sheet1!P315="","",Sheet1!P315)</f>
        <v/>
      </c>
      <c r="Q24" s="242" t="str">
        <f>IF(Sheet1!Q315="","",Sheet1!Q315)</f>
        <v/>
      </c>
      <c r="R24" s="242" t="str">
        <f>IF(Sheet1!R315="","",Sheet1!R315)</f>
        <v/>
      </c>
      <c r="S24" s="242" t="str">
        <f>IF(Sheet1!S315="","",Sheet1!S315)</f>
        <v/>
      </c>
    </row>
    <row r="25" spans="2:19">
      <c r="B25" t="s">
        <v>556</v>
      </c>
      <c r="D25" t="s">
        <v>1259</v>
      </c>
      <c r="E25" s="242">
        <f>IF(Sheet1!E328="","",Sheet1!E328)</f>
        <v>0.22086521815038754</v>
      </c>
      <c r="F25" s="242">
        <f>IF(Sheet1!F328="","",Sheet1!F328)</f>
        <v>0.20293205958405799</v>
      </c>
      <c r="G25" s="242">
        <f>IF(Sheet1!G328="","",Sheet1!G328)</f>
        <v>0.21044249323486508</v>
      </c>
      <c r="H25" s="242">
        <f>IF(Sheet1!H328="","",Sheet1!H328)</f>
        <v>0.21403664446695822</v>
      </c>
      <c r="I25" s="242">
        <f>IF(Sheet1!I328="","",Sheet1!I328)</f>
        <v>0.21996524721384358</v>
      </c>
      <c r="J25" s="242">
        <f>IF(Sheet1!J328="","",Sheet1!J328)</f>
        <v>0.22000883624760575</v>
      </c>
      <c r="K25" s="242">
        <f>IF(Sheet1!K328="","",Sheet1!K328)</f>
        <v>0.24524347352430514</v>
      </c>
      <c r="L25" s="242">
        <f>IF(Sheet1!L328="","",Sheet1!L328)</f>
        <v>0.24758546831325884</v>
      </c>
      <c r="M25" s="242">
        <f>IF(Sheet1!M328="","",Sheet1!M328)</f>
        <v>0.25175609540588806</v>
      </c>
      <c r="N25" s="242">
        <f>IF(Sheet1!N328="","",Sheet1!N328)</f>
        <v>0.25651249954318212</v>
      </c>
      <c r="O25" s="242">
        <f>IF(Sheet1!O328="","",Sheet1!O328)</f>
        <v>0.26208880727592776</v>
      </c>
      <c r="P25" s="242">
        <f>IF(Sheet1!P328="","",Sheet1!P328)</f>
        <v>0.26524103865691562</v>
      </c>
      <c r="Q25" s="242">
        <f>IF(Sheet1!Q328="","",Sheet1!Q328)</f>
        <v>0.26615704261128365</v>
      </c>
      <c r="R25" s="242">
        <f>IF(Sheet1!R328="","",Sheet1!R328)</f>
        <v>0.26672525733579877</v>
      </c>
      <c r="S25" s="242">
        <f>IF(Sheet1!S328="","",Sheet1!S328)</f>
        <v>0.26696652662695464</v>
      </c>
    </row>
    <row r="26" spans="2:19" ht="20.100000000000001" customHeight="1">
      <c r="B26" s="3" t="s">
        <v>1371</v>
      </c>
      <c r="C26" s="3"/>
      <c r="D26" s="3"/>
      <c r="E26" s="2"/>
      <c r="F26" s="2"/>
      <c r="G26" s="2"/>
      <c r="H26" s="2"/>
      <c r="I26" s="2"/>
      <c r="J26" s="2"/>
      <c r="K26" s="2"/>
      <c r="L26" s="2"/>
      <c r="M26" s="2"/>
      <c r="N26" s="2"/>
      <c r="O26" s="2"/>
      <c r="P26" s="2"/>
      <c r="Q26" s="2"/>
      <c r="R26" s="2"/>
      <c r="S26" s="2"/>
    </row>
    <row r="27" spans="2:19">
      <c r="B27" t="s">
        <v>570</v>
      </c>
      <c r="D27" t="s">
        <v>1372</v>
      </c>
      <c r="E27" s="242" t="str">
        <f>IF(Sheet1!E345="","",Sheet1!E345)</f>
        <v>FY21A</v>
      </c>
      <c r="F27" s="242" t="str">
        <f>IF(Sheet1!F345="","",Sheet1!F345)</f>
        <v>FY22A</v>
      </c>
      <c r="G27" s="242" t="str">
        <f>IF(Sheet1!G345="","",Sheet1!G345)</f>
        <v>FY23A</v>
      </c>
      <c r="H27" s="242" t="str">
        <f>IF(Sheet1!H345="","",Sheet1!H345)</f>
        <v>FY24A</v>
      </c>
      <c r="I27" s="242" t="str">
        <f>IF(Sheet1!I345="","",Sheet1!I345)</f>
        <v>FY25A</v>
      </c>
      <c r="J27" s="242" t="str">
        <f>IF(Sheet1!J345="","",Sheet1!J345)</f>
        <v>FY26E</v>
      </c>
      <c r="K27" s="242" t="str">
        <f>IF(Sheet1!K345="","",Sheet1!K345)</f>
        <v>FY27E</v>
      </c>
      <c r="L27" s="242" t="str">
        <f>IF(Sheet1!L345="","",Sheet1!L345)</f>
        <v>FY28E</v>
      </c>
      <c r="M27" s="242" t="str">
        <f>IF(Sheet1!M345="","",Sheet1!M345)</f>
        <v>FY29E</v>
      </c>
      <c r="N27" s="242" t="str">
        <f>IF(Sheet1!N345="","",Sheet1!N345)</f>
        <v>FY30E</v>
      </c>
      <c r="O27" s="242" t="str">
        <f>IF(Sheet1!O345="","",Sheet1!O345)</f>
        <v>FY31E</v>
      </c>
      <c r="P27" s="242" t="str">
        <f>IF(Sheet1!P345="","",Sheet1!P345)</f>
        <v>FY32E</v>
      </c>
      <c r="Q27" s="242" t="str">
        <f>IF(Sheet1!Q345="","",Sheet1!Q345)</f>
        <v>FY33E</v>
      </c>
      <c r="R27" s="242" t="str">
        <f>IF(Sheet1!R345="","",Sheet1!R345)</f>
        <v>FY34E</v>
      </c>
      <c r="S27" s="242" t="str">
        <f>IF(Sheet1!S345="","",Sheet1!S345)</f>
        <v>FY35E</v>
      </c>
    </row>
    <row r="28" spans="2:19">
      <c r="B28" t="s">
        <v>571</v>
      </c>
      <c r="D28" t="s">
        <v>1260</v>
      </c>
      <c r="E28" s="242" t="str">
        <f>IF(Sheet1!E346="","",Sheet1!E346)</f>
        <v/>
      </c>
      <c r="F28" s="242">
        <f>IF(Sheet1!F346="","",Sheet1!F346)</f>
        <v>1.4920772797960127E-2</v>
      </c>
      <c r="G28" s="242">
        <f>IF(Sheet1!G346="","",Sheet1!G346)</f>
        <v>1.7301082428023921E-2</v>
      </c>
      <c r="H28" s="242">
        <f>IF(Sheet1!H346="","",Sheet1!H346)</f>
        <v>1.8382440107210751E-2</v>
      </c>
      <c r="I28" s="242">
        <f>IF(Sheet1!I346="","",Sheet1!I346)</f>
        <v>1.7501088105309169E-2</v>
      </c>
      <c r="J28" s="242">
        <f>IF(Sheet1!J346="","",Sheet1!J346)</f>
        <v>1.7387965264060133E-2</v>
      </c>
      <c r="K28" s="242">
        <f>IF(Sheet1!K346="","",Sheet1!K346)</f>
        <v>1.9000818107806978E-2</v>
      </c>
      <c r="L28" s="242">
        <f>IF(Sheet1!L346="","",Sheet1!L346)</f>
        <v>1.9754270631330478E-2</v>
      </c>
      <c r="M28" s="242">
        <f>IF(Sheet1!M346="","",Sheet1!M346)</f>
        <v>2.0104402643396472E-2</v>
      </c>
      <c r="N28" s="242">
        <f>IF(Sheet1!N346="","",Sheet1!N346)</f>
        <v>2.0244062818856372E-2</v>
      </c>
      <c r="O28" s="242">
        <f>IF(Sheet1!O346="","",Sheet1!O346)</f>
        <v>2.0202668580006942E-2</v>
      </c>
      <c r="P28" s="242">
        <f>IF(Sheet1!P346="","",Sheet1!P346)</f>
        <v>2.0221041859946279E-2</v>
      </c>
      <c r="Q28" s="242">
        <f>IF(Sheet1!Q346="","",Sheet1!Q346)</f>
        <v>2.0256568166780273E-2</v>
      </c>
      <c r="R28" s="242">
        <f>IF(Sheet1!R346="","",Sheet1!R346)</f>
        <v>2.0300205443246094E-2</v>
      </c>
      <c r="S28" s="242">
        <f>IF(Sheet1!S346="","",Sheet1!S346)</f>
        <v>2.0343768032736884E-2</v>
      </c>
    </row>
    <row r="29" spans="2:19">
      <c r="B29" t="s">
        <v>572</v>
      </c>
      <c r="D29" t="s">
        <v>1261</v>
      </c>
      <c r="E29" s="242" t="str">
        <f>IF(Sheet1!E347="","",Sheet1!E347)</f>
        <v/>
      </c>
      <c r="F29" s="242">
        <f>IF(Sheet1!F347="","",Sheet1!F347)</f>
        <v>0.1455914150552528</v>
      </c>
      <c r="G29" s="242">
        <f>IF(Sheet1!G347="","",Sheet1!G347)</f>
        <v>0.15789974246150132</v>
      </c>
      <c r="H29" s="242">
        <f>IF(Sheet1!H347="","",Sheet1!H347)</f>
        <v>0.16724349606418271</v>
      </c>
      <c r="I29" s="242">
        <f>IF(Sheet1!I347="","",Sheet1!I347)</f>
        <v>0.1560403365776222</v>
      </c>
      <c r="J29" s="242">
        <f>IF(Sheet1!J347="","",Sheet1!J347)</f>
        <v>0.15199022731428394</v>
      </c>
      <c r="K29" s="242">
        <f>IF(Sheet1!K347="","",Sheet1!K347)</f>
        <v>0.15653778798789025</v>
      </c>
      <c r="L29" s="242">
        <f>IF(Sheet1!L347="","",Sheet1!L347)</f>
        <v>0.15372454768257623</v>
      </c>
      <c r="M29" s="242">
        <f>IF(Sheet1!M347="","",Sheet1!M347)</f>
        <v>0.15386886346413017</v>
      </c>
      <c r="N29" s="242">
        <f>IF(Sheet1!N347="","",Sheet1!N347)</f>
        <v>0.15271595223249482</v>
      </c>
      <c r="O29" s="242">
        <f>IF(Sheet1!O347="","",Sheet1!O347)</f>
        <v>0.14967758394475775</v>
      </c>
      <c r="P29" s="242">
        <f>IF(Sheet1!P347="","",Sheet1!P347)</f>
        <v>0.14743885690328595</v>
      </c>
      <c r="Q29" s="242">
        <f>IF(Sheet1!Q347="","",Sheet1!Q347)</f>
        <v>0.14651133285646717</v>
      </c>
      <c r="R29" s="242">
        <f>IF(Sheet1!R347="","",Sheet1!R347)</f>
        <v>0.1462659102074344</v>
      </c>
      <c r="S29" s="242">
        <f>IF(Sheet1!S347="","",Sheet1!S347)</f>
        <v>0.146197149735769</v>
      </c>
    </row>
    <row r="30" spans="2:19">
      <c r="B30" t="s">
        <v>573</v>
      </c>
      <c r="D30" t="s">
        <v>1373</v>
      </c>
      <c r="E30" s="242">
        <f>IF(Sheet1!E348="","",Sheet1!E348)</f>
        <v>0.1371</v>
      </c>
      <c r="F30" s="242">
        <f>IF(Sheet1!F348="","",Sheet1!F348)</f>
        <v>0.16839999999999999</v>
      </c>
      <c r="G30" s="242">
        <f>IF(Sheet1!G348="","",Sheet1!G348)</f>
        <v>0.16880000000000001</v>
      </c>
      <c r="H30" s="242">
        <f>IF(Sheet1!H348="","",Sheet1!H348)</f>
        <v>0.1777</v>
      </c>
      <c r="I30" s="242">
        <f>IF(Sheet1!I348="","",Sheet1!I348)</f>
        <v>0.16850000000000001</v>
      </c>
      <c r="J30" s="242" t="str">
        <f>IF(Sheet1!J348="","",Sheet1!J348)</f>
        <v/>
      </c>
      <c r="K30" s="242" t="str">
        <f>IF(Sheet1!K348="","",Sheet1!K348)</f>
        <v/>
      </c>
      <c r="L30" s="242" t="str">
        <f>IF(Sheet1!L348="","",Sheet1!L348)</f>
        <v/>
      </c>
      <c r="M30" s="242" t="str">
        <f>IF(Sheet1!M348="","",Sheet1!M348)</f>
        <v/>
      </c>
      <c r="N30" s="242" t="str">
        <f>IF(Sheet1!N348="","",Sheet1!N348)</f>
        <v/>
      </c>
      <c r="O30" s="242" t="str">
        <f>IF(Sheet1!O348="","",Sheet1!O348)</f>
        <v/>
      </c>
      <c r="P30" s="242" t="str">
        <f>IF(Sheet1!P348="","",Sheet1!P348)</f>
        <v/>
      </c>
      <c r="Q30" s="242" t="str">
        <f>IF(Sheet1!Q348="","",Sheet1!Q348)</f>
        <v/>
      </c>
      <c r="R30" s="242" t="str">
        <f>IF(Sheet1!R348="","",Sheet1!R348)</f>
        <v/>
      </c>
      <c r="S30" s="242" t="str">
        <f>IF(Sheet1!S348="","",Sheet1!S348)</f>
        <v/>
      </c>
    </row>
    <row r="31" spans="2:19">
      <c r="B31" t="s">
        <v>574</v>
      </c>
      <c r="D31" t="s">
        <v>1374</v>
      </c>
      <c r="E31" s="242" t="str">
        <f>IF(Sheet1!E349="","",Sheet1!E349)</f>
        <v/>
      </c>
      <c r="F31" s="242">
        <f>IF(Sheet1!F349="","",Sheet1!F349)</f>
        <v>9.7576323308908712</v>
      </c>
      <c r="G31" s="242">
        <f>IF(Sheet1!G349="","",Sheet1!G349)</f>
        <v>9.1265817106182165</v>
      </c>
      <c r="H31" s="242">
        <f>IF(Sheet1!H349="","",Sheet1!H349)</f>
        <v>9.0980030446871574</v>
      </c>
      <c r="I31" s="242">
        <f>IF(Sheet1!I349="","",Sheet1!I349)</f>
        <v>8.9160362852116304</v>
      </c>
      <c r="J31" s="242">
        <f>IF(Sheet1!J349="","",Sheet1!J349)</f>
        <v>8.741116341452468</v>
      </c>
      <c r="K31" s="242">
        <f>IF(Sheet1!K349="","",Sheet1!K349)</f>
        <v>8.2384762119044055</v>
      </c>
      <c r="L31" s="242">
        <f>IF(Sheet1!L349="","",Sheet1!L349)</f>
        <v>7.7818386996666691</v>
      </c>
      <c r="M31" s="242">
        <f>IF(Sheet1!M349="","",Sheet1!M349)</f>
        <v>7.6534909389446701</v>
      </c>
      <c r="N31" s="242">
        <f>IF(Sheet1!N349="","",Sheet1!N349)</f>
        <v>7.5437402856825386</v>
      </c>
      <c r="O31" s="242">
        <f>IF(Sheet1!O349="","",Sheet1!O349)</f>
        <v>7.4088026218913665</v>
      </c>
      <c r="P31" s="242">
        <f>IF(Sheet1!P349="","",Sheet1!P349)</f>
        <v>7.2913580776137934</v>
      </c>
      <c r="Q31" s="242">
        <f>IF(Sheet1!Q349="","",Sheet1!Q349)</f>
        <v>7.2327815674492282</v>
      </c>
      <c r="R31" s="242">
        <f>IF(Sheet1!R349="","",Sheet1!R349)</f>
        <v>7.2051443329652258</v>
      </c>
      <c r="S31" s="242">
        <f>IF(Sheet1!S349="","",Sheet1!S349)</f>
        <v>7.1863358597340845</v>
      </c>
    </row>
    <row r="32" spans="2:19">
      <c r="B32" t="s">
        <v>575</v>
      </c>
      <c r="D32" t="s">
        <v>1262</v>
      </c>
      <c r="E32" s="242">
        <f>IF(Sheet1!E350="","",Sheet1!E350)</f>
        <v>73.62645327333135</v>
      </c>
      <c r="F32" s="242">
        <f>IF(Sheet1!F350="","",Sheet1!F350)</f>
        <v>92.349194415865327</v>
      </c>
      <c r="G32" s="242">
        <f>IF(Sheet1!G350="","",Sheet1!G350)</f>
        <v>123.64696507162699</v>
      </c>
      <c r="H32" s="242">
        <f>IF(Sheet1!H350="","",Sheet1!H350)</f>
        <v>151.87514388914974</v>
      </c>
      <c r="I32" s="242">
        <f>IF(Sheet1!I350="","",Sheet1!I350)</f>
        <v>164.05038797500762</v>
      </c>
      <c r="J32" s="242">
        <f>IF(Sheet1!J350="","",Sheet1!J350)</f>
        <v>182.55846341632301</v>
      </c>
      <c r="K32" s="242">
        <f>IF(Sheet1!K350="","",Sheet1!K350)</f>
        <v>209.6089104544246</v>
      </c>
      <c r="L32" s="242">
        <f>IF(Sheet1!L350="","",Sheet1!L350)</f>
        <v>228.04639266419341</v>
      </c>
      <c r="M32" s="242">
        <f>IF(Sheet1!M350="","",Sheet1!M350)</f>
        <v>257.07327707350373</v>
      </c>
      <c r="N32" s="242">
        <f>IF(Sheet1!N350="","",Sheet1!N350)</f>
        <v>286.02665357684754</v>
      </c>
      <c r="O32" s="242">
        <f>IF(Sheet1!O350="","",Sheet1!O350)</f>
        <v>312.97075481411417</v>
      </c>
      <c r="P32" s="242">
        <f>IF(Sheet1!P350="","",Sheet1!P350)</f>
        <v>340.94113686919377</v>
      </c>
      <c r="Q32" s="242">
        <f>IF(Sheet1!Q350="","",Sheet1!Q350)</f>
        <v>369.15628001207779</v>
      </c>
      <c r="R32" s="242">
        <f>IF(Sheet1!R350="","",Sheet1!R350)</f>
        <v>397.27354473606584</v>
      </c>
      <c r="S32" s="242">
        <f>IF(Sheet1!S350="","",Sheet1!S350)</f>
        <v>424.92242055542465</v>
      </c>
    </row>
    <row r="33" spans="2:19">
      <c r="B33" t="s">
        <v>576</v>
      </c>
      <c r="D33" t="s">
        <v>1263</v>
      </c>
      <c r="E33" s="242">
        <f>IF(Sheet1!E351="","",Sheet1!E351)</f>
        <v>608.17786207776373</v>
      </c>
      <c r="F33" s="242">
        <f>IF(Sheet1!F351="","",Sheet1!F351)</f>
        <v>726.35026011689763</v>
      </c>
      <c r="G33" s="242">
        <f>IF(Sheet1!G351="","",Sheet1!G351)</f>
        <v>839.79498045275375</v>
      </c>
      <c r="H33" s="242">
        <f>IF(Sheet1!H351="","",Sheet1!H351)</f>
        <v>976.42086606201781</v>
      </c>
      <c r="I33" s="242">
        <f>IF(Sheet1!I351="","",Sheet1!I351)</f>
        <v>1126.2455543401304</v>
      </c>
      <c r="J33" s="242">
        <f>IF(Sheet1!J351="","",Sheet1!J351)</f>
        <v>1275.993940161452</v>
      </c>
      <c r="K33" s="242">
        <f>IF(Sheet1!K351="","",Sheet1!K351)</f>
        <v>1393.9689945983923</v>
      </c>
      <c r="L33" s="242">
        <f>IF(Sheet1!L351="","",Sheet1!L351)</f>
        <v>1572.9793048376007</v>
      </c>
      <c r="M33" s="242">
        <f>IF(Sheet1!M351="","",Sheet1!M351)</f>
        <v>1768.4800558917718</v>
      </c>
      <c r="N33" s="242">
        <f>IF(Sheet1!N351="","",Sheet1!N351)</f>
        <v>1977.3847263465682</v>
      </c>
      <c r="O33" s="242">
        <f>IF(Sheet1!O351="","",Sheet1!O351)</f>
        <v>2204.547485087628</v>
      </c>
      <c r="P33" s="242">
        <f>IF(Sheet1!P351="","",Sheet1!P351)</f>
        <v>2420.3003200311764</v>
      </c>
      <c r="Q33" s="242">
        <f>IF(Sheet1!Q351="","",Sheet1!Q351)</f>
        <v>2618.986031608657</v>
      </c>
      <c r="R33" s="242">
        <f>IF(Sheet1!R351="","",Sheet1!R351)</f>
        <v>2813.2236223380801</v>
      </c>
      <c r="S33" s="242">
        <f>IF(Sheet1!S351="","",Sheet1!S351)</f>
        <v>2999.7819160518652</v>
      </c>
    </row>
    <row r="34" spans="2:19">
      <c r="B34" t="s">
        <v>577</v>
      </c>
      <c r="D34" t="s">
        <v>1375</v>
      </c>
      <c r="E34" s="242">
        <f>IF(Sheet1!E352="","",Sheet1!E352)</f>
        <v>14.872371971184249</v>
      </c>
      <c r="F34" s="242">
        <f>IF(Sheet1!F352="","",Sheet1!F352)</f>
        <v>11.857168943661973</v>
      </c>
      <c r="G34" s="242">
        <f>IF(Sheet1!G352="","",Sheet1!G352)</f>
        <v>8.8558582846387015</v>
      </c>
      <c r="H34" s="242">
        <f>IF(Sheet1!H352="","",Sheet1!H352)</f>
        <v>7.2098697124475875</v>
      </c>
      <c r="I34" s="242">
        <f>IF(Sheet1!I352="","",Sheet1!I352)</f>
        <v>6.6747784843204307</v>
      </c>
      <c r="J34" s="242">
        <f>IF(Sheet1!J352="","",Sheet1!J352)</f>
        <v>5.9980785306176791</v>
      </c>
      <c r="K34" s="242">
        <f>IF(Sheet1!K352="","",Sheet1!K352)</f>
        <v>5.2240145594291736</v>
      </c>
      <c r="L34" s="242">
        <f>IF(Sheet1!L352="","",Sheet1!L352)</f>
        <v>4.8016545546169951</v>
      </c>
      <c r="M34" s="242">
        <f>IF(Sheet1!M352="","",Sheet1!M352)</f>
        <v>4.2594859040401616</v>
      </c>
      <c r="N34" s="242">
        <f>IF(Sheet1!N352="","",Sheet1!N352)</f>
        <v>3.8283145514821872</v>
      </c>
      <c r="O34" s="242">
        <f>IF(Sheet1!O352="","",Sheet1!O352)</f>
        <v>3.4987294600428855</v>
      </c>
      <c r="P34" s="242">
        <f>IF(Sheet1!P352="","",Sheet1!P352)</f>
        <v>3.2116980956161654</v>
      </c>
      <c r="Q34" s="242">
        <f>IF(Sheet1!Q352="","",Sheet1!Q352)</f>
        <v>2.9662234107575647</v>
      </c>
      <c r="R34" s="242">
        <f>IF(Sheet1!R352="","",Sheet1!R352)</f>
        <v>2.7562872345992191</v>
      </c>
      <c r="S34" s="242">
        <f>IF(Sheet1!S352="","",Sheet1!S352)</f>
        <v>2.576940982706216</v>
      </c>
    </row>
    <row r="35" spans="2:19">
      <c r="B35" t="s">
        <v>578</v>
      </c>
      <c r="D35" t="s">
        <v>1376</v>
      </c>
      <c r="E35" s="242">
        <f>IF(Sheet1!E353="","",Sheet1!E353)</f>
        <v>1.8004601421351794</v>
      </c>
      <c r="F35" s="242">
        <f>IF(Sheet1!F353="","",Sheet1!F353)</f>
        <v>1.5075371485704052</v>
      </c>
      <c r="G35" s="242">
        <f>IF(Sheet1!G353="","",Sheet1!G353)</f>
        <v>1.3038896700831184</v>
      </c>
      <c r="H35" s="242">
        <f>IF(Sheet1!H353="","",Sheet1!H353)</f>
        <v>1.1214426463623428</v>
      </c>
      <c r="I35" s="242">
        <f>IF(Sheet1!I353="","",Sheet1!I353)</f>
        <v>0.97225688996531734</v>
      </c>
      <c r="J35" s="242">
        <f>IF(Sheet1!J353="","",Sheet1!J353)</f>
        <v>0.85815454567241067</v>
      </c>
      <c r="K35" s="242">
        <f>IF(Sheet1!K353="","",Sheet1!K353)</f>
        <v>0.7855267973987281</v>
      </c>
      <c r="L35" s="242">
        <f>IF(Sheet1!L353="","",Sheet1!L353)</f>
        <v>0.69613121840344316</v>
      </c>
      <c r="M35" s="242">
        <f>IF(Sheet1!M353="","",Sheet1!M353)</f>
        <v>0.61917576980976274</v>
      </c>
      <c r="N35" s="242">
        <f>IF(Sheet1!N353="","",Sheet1!N353)</f>
        <v>0.55376173660607297</v>
      </c>
      <c r="O35" s="242">
        <f>IF(Sheet1!O353="","",Sheet1!O353)</f>
        <v>0.49670057343150181</v>
      </c>
      <c r="P35" s="242">
        <f>IF(Sheet1!P353="","",Sheet1!P353)</f>
        <v>0.45242319349273774</v>
      </c>
      <c r="Q35" s="242">
        <f>IF(Sheet1!Q353="","",Sheet1!Q353)</f>
        <v>0.41810074081510823</v>
      </c>
      <c r="R35" s="242">
        <f>IF(Sheet1!R353="","",Sheet1!R353)</f>
        <v>0.38923318832718373</v>
      </c>
      <c r="S35" s="242">
        <f>IF(Sheet1!S353="","",Sheet1!S353)</f>
        <v>0.36502653547601022</v>
      </c>
    </row>
    <row r="36" spans="2:19">
      <c r="B36" t="s">
        <v>579</v>
      </c>
      <c r="D36" t="s">
        <v>1377</v>
      </c>
      <c r="E36" s="242" t="str">
        <f>IF(Sheet1!E354="","",Sheet1!E354)</f>
        <v/>
      </c>
      <c r="F36" s="242">
        <f>IF(Sheet1!F354="","",Sheet1!F354)</f>
        <v>0.53283368364701167</v>
      </c>
      <c r="G36" s="242">
        <f>IF(Sheet1!G354="","",Sheet1!G354)</f>
        <v>0.45009475449560116</v>
      </c>
      <c r="H36" s="242">
        <f>IF(Sheet1!H354="","",Sheet1!H354)</f>
        <v>0.41558916205193003</v>
      </c>
      <c r="I36" s="242">
        <f>IF(Sheet1!I354="","",Sheet1!I354)</f>
        <v>0.39443672888239401</v>
      </c>
      <c r="J36" s="242">
        <f>IF(Sheet1!J354="","",Sheet1!J354)</f>
        <v>0.38130589007519194</v>
      </c>
      <c r="K36" s="242">
        <f>IF(Sheet1!K354="","",Sheet1!K354)</f>
        <v>0.37352500141193196</v>
      </c>
      <c r="L36" s="242">
        <f>IF(Sheet1!L354="","",Sheet1!L354)</f>
        <v>0.3638147811530078</v>
      </c>
      <c r="M36" s="242">
        <f>IF(Sheet1!M354="","",Sheet1!M354)</f>
        <v>0.36119747096920529</v>
      </c>
      <c r="N36" s="242">
        <f>IF(Sheet1!N354="","",Sheet1!N354)</f>
        <v>0.35427794676983559</v>
      </c>
      <c r="O36" s="242">
        <f>IF(Sheet1!O354="","",Sheet1!O354)</f>
        <v>0.34729230743539174</v>
      </c>
      <c r="P36" s="242">
        <f>IF(Sheet1!P354="","",Sheet1!P354)</f>
        <v>0.34217227578257853</v>
      </c>
      <c r="Q36" s="242">
        <f>IF(Sheet1!Q354="","",Sheet1!Q354)</f>
        <v>0.34001904829240681</v>
      </c>
      <c r="R36" s="242">
        <f>IF(Sheet1!R354="","",Sheet1!R354)</f>
        <v>0.33937423030741259</v>
      </c>
      <c r="S36" s="242">
        <f>IF(Sheet1!S354="","",Sheet1!S354)</f>
        <v>0.33906473889884575</v>
      </c>
    </row>
    <row r="37" spans="2:19">
      <c r="B37" t="s">
        <v>580</v>
      </c>
      <c r="D37" t="s">
        <v>1378</v>
      </c>
      <c r="E37" s="242" t="str">
        <f>IF(Sheet1!E355="","",Sheet1!E355)</f>
        <v/>
      </c>
      <c r="F37" s="242">
        <f>IF(Sheet1!F355="","",Sheet1!F355)</f>
        <v>0.12649060745693938</v>
      </c>
      <c r="G37" s="242">
        <f>IF(Sheet1!G355="","",Sheet1!G355)</f>
        <v>0.11639446212568459</v>
      </c>
      <c r="H37" s="242">
        <f>IF(Sheet1!H355="","",Sheet1!H355)</f>
        <v>0.13264342418366007</v>
      </c>
      <c r="I37" s="242">
        <f>IF(Sheet1!I355="","",Sheet1!I355)</f>
        <v>0.14303078755664009</v>
      </c>
      <c r="J37" s="242">
        <f>IF(Sheet1!J355="","",Sheet1!J355)</f>
        <v>0.15649253268012492</v>
      </c>
      <c r="K37" s="242">
        <f>IF(Sheet1!K355="","",Sheet1!K355)</f>
        <v>0.15034945811502712</v>
      </c>
      <c r="L37" s="242">
        <f>IF(Sheet1!L355="","",Sheet1!L355)</f>
        <v>0.14223172330193451</v>
      </c>
      <c r="M37" s="242">
        <f>IF(Sheet1!M355="","",Sheet1!M355)</f>
        <v>0.13891941706358321</v>
      </c>
      <c r="N37" s="242">
        <f>IF(Sheet1!N355="","",Sheet1!N355)</f>
        <v>0.13631376861459452</v>
      </c>
      <c r="O37" s="242">
        <f>IF(Sheet1!O355="","",Sheet1!O355)</f>
        <v>0.13357714419853159</v>
      </c>
      <c r="P37" s="242">
        <f>IF(Sheet1!P355="","",Sheet1!P355)</f>
        <v>0.1314136847533986</v>
      </c>
      <c r="Q37" s="242">
        <f>IF(Sheet1!Q355="","",Sheet1!Q355)</f>
        <v>0.13049571814526353</v>
      </c>
      <c r="R37" s="242">
        <f>IF(Sheet1!R355="","",Sheet1!R355)</f>
        <v>0.13025699275596569</v>
      </c>
      <c r="S37" s="242">
        <f>IF(Sheet1!S355="","",Sheet1!S355)</f>
        <v>0.13024486542993044</v>
      </c>
    </row>
    <row r="38" spans="2:19">
      <c r="B38" t="s">
        <v>581</v>
      </c>
      <c r="D38" t="s">
        <v>1379</v>
      </c>
      <c r="E38" s="242" t="str">
        <f>IF(Sheet1!E356="","",Sheet1!E356)</f>
        <v/>
      </c>
      <c r="F38" s="242">
        <f>IF(Sheet1!F356="","",Sheet1!F356)</f>
        <v>-0.33818684757915135</v>
      </c>
      <c r="G38" s="242">
        <f>IF(Sheet1!G356="","",Sheet1!G356)</f>
        <v>-0.28373415001962554</v>
      </c>
      <c r="H38" s="242">
        <f>IF(Sheet1!H356="","",Sheet1!H356)</f>
        <v>-0.28153603360621521</v>
      </c>
      <c r="I38" s="242">
        <f>IF(Sheet1!I356="","",Sheet1!I356)</f>
        <v>-0.28250512405627842</v>
      </c>
      <c r="J38" s="242">
        <f>IF(Sheet1!J356="","",Sheet1!J356)</f>
        <v>-0.29310014040164772</v>
      </c>
      <c r="K38" s="242">
        <f>IF(Sheet1!K356="","",Sheet1!K356)</f>
        <v>-0.27241471895401875</v>
      </c>
      <c r="L38" s="242">
        <f>IF(Sheet1!L356="","",Sheet1!L356)</f>
        <v>-0.26061394979429531</v>
      </c>
      <c r="M38" s="242">
        <f>IF(Sheet1!M356="","",Sheet1!M356)</f>
        <v>-0.25505961289672213</v>
      </c>
      <c r="N38" s="242">
        <f>IF(Sheet1!N356="","",Sheet1!N356)</f>
        <v>-0.2477488162691372</v>
      </c>
      <c r="O38" s="242">
        <f>IF(Sheet1!O356="","",Sheet1!O356)</f>
        <v>-0.24283907307513128</v>
      </c>
      <c r="P38" s="242">
        <f>IF(Sheet1!P356="","",Sheet1!P356)</f>
        <v>-0.23916091007066848</v>
      </c>
      <c r="Q38" s="242">
        <f>IF(Sheet1!Q356="","",Sheet1!Q356)</f>
        <v>-0.23760995705102353</v>
      </c>
      <c r="R38" s="242">
        <f>IF(Sheet1!R356="","",Sheet1!R356)</f>
        <v>-0.23716376764700603</v>
      </c>
      <c r="S38" s="242">
        <f>IF(Sheet1!S356="","",Sheet1!S356)</f>
        <v>-0.23700135018603197</v>
      </c>
    </row>
    <row r="39" spans="2:19">
      <c r="B39" t="s">
        <v>582</v>
      </c>
      <c r="D39" t="s">
        <v>1380</v>
      </c>
      <c r="E39" s="242" t="str">
        <f>IF(Sheet1!E357="","",Sheet1!E357)</f>
        <v/>
      </c>
      <c r="F39" s="242">
        <f>IF(Sheet1!F357="","",Sheet1!F357)</f>
        <v>-0.12812034271945694</v>
      </c>
      <c r="G39" s="242">
        <f>IF(Sheet1!G357="","",Sheet1!G357)</f>
        <v>-7.2599476994439527E-2</v>
      </c>
      <c r="H39" s="242">
        <f>IF(Sheet1!H357="","",Sheet1!H357)</f>
        <v>-4.5210105865321502E-2</v>
      </c>
      <c r="I39" s="242">
        <f>IF(Sheet1!I357="","",Sheet1!I357)</f>
        <v>-4.8599710544251162E-2</v>
      </c>
      <c r="J39" s="242">
        <f>IF(Sheet1!J357="","",Sheet1!J357)</f>
        <v>-4.3178639560731286E-2</v>
      </c>
      <c r="K39" s="242">
        <f>IF(Sheet1!K357="","",Sheet1!K357)</f>
        <v>-4.3910612735352961E-2</v>
      </c>
      <c r="L39" s="242">
        <f>IF(Sheet1!L357="","",Sheet1!L357)</f>
        <v>-4.1613424411952565E-2</v>
      </c>
      <c r="M39" s="242">
        <f>IF(Sheet1!M357="","",Sheet1!M357)</f>
        <v>-4.1046800580161948E-2</v>
      </c>
      <c r="N39" s="242">
        <f>IF(Sheet1!N357="","",Sheet1!N357)</f>
        <v>-4.0361037705618656E-2</v>
      </c>
      <c r="O39" s="242">
        <f>IF(Sheet1!O357="","",Sheet1!O357)</f>
        <v>-3.9577005709451843E-2</v>
      </c>
      <c r="P39" s="242">
        <f>IF(Sheet1!P357="","",Sheet1!P357)</f>
        <v>-3.8939943942562026E-2</v>
      </c>
      <c r="Q39" s="242">
        <f>IF(Sheet1!Q357="","",Sheet1!Q357)</f>
        <v>-3.864948136939772E-2</v>
      </c>
      <c r="R39" s="242">
        <f>IF(Sheet1!R357="","",Sheet1!R357)</f>
        <v>-3.8537526508265182E-2</v>
      </c>
      <c r="S39" s="242">
        <f>IF(Sheet1!S357="","",Sheet1!S357)</f>
        <v>-3.8469492844115362E-2</v>
      </c>
    </row>
    <row r="40" spans="2:19">
      <c r="B40" t="s">
        <v>583</v>
      </c>
      <c r="D40" t="s">
        <v>1381</v>
      </c>
      <c r="E40" s="242" t="str">
        <f>IF(Sheet1!E358="","",Sheet1!E358)</f>
        <v/>
      </c>
      <c r="F40" s="242">
        <f>IF(Sheet1!F358="","",Sheet1!F358)</f>
        <v>-4.7425685750089902E-2</v>
      </c>
      <c r="G40" s="242">
        <f>IF(Sheet1!G358="","",Sheet1!G358)</f>
        <v>-5.2255847145719306E-2</v>
      </c>
      <c r="H40" s="242">
        <f>IF(Sheet1!H358="","",Sheet1!H358)</f>
        <v>-5.4242950699870639E-2</v>
      </c>
      <c r="I40" s="242">
        <f>IF(Sheet1!I358="","",Sheet1!I358)</f>
        <v>-5.0322345260882251E-2</v>
      </c>
      <c r="J40" s="242">
        <f>IF(Sheet1!J358="","",Sheet1!J358)</f>
        <v>-4.952941547865395E-2</v>
      </c>
      <c r="K40" s="242">
        <f>IF(Sheet1!K358="","",Sheet1!K358)</f>
        <v>-5.1011339849697163E-2</v>
      </c>
      <c r="L40" s="242">
        <f>IF(Sheet1!L358="","",Sheet1!L358)</f>
        <v>-5.0094582566118193E-2</v>
      </c>
      <c r="M40" s="242">
        <f>IF(Sheet1!M358="","",Sheet1!M358)</f>
        <v>-5.0141611091774195E-2</v>
      </c>
      <c r="N40" s="242">
        <f>IF(Sheet1!N358="","",Sheet1!N358)</f>
        <v>-4.9765909177179407E-2</v>
      </c>
      <c r="O40" s="242">
        <f>IF(Sheet1!O358="","",Sheet1!O358)</f>
        <v>-4.877578890458243E-2</v>
      </c>
      <c r="P40" s="242">
        <f>IF(Sheet1!P358="","",Sheet1!P358)</f>
        <v>-4.8046249619460683E-2</v>
      </c>
      <c r="Q40" s="242">
        <f>IF(Sheet1!Q358="","",Sheet1!Q358)</f>
        <v>-4.7743995160781982E-2</v>
      </c>
      <c r="R40" s="242">
        <f>IF(Sheet1!R358="","",Sheet1!R358)</f>
        <v>-4.766401870067262E-2</v>
      </c>
      <c r="S40" s="242">
        <f>IF(Sheet1!S358="","",Sheet1!S358)</f>
        <v>-4.7641611562859856E-2</v>
      </c>
    </row>
    <row r="41" spans="2:19">
      <c r="B41" t="s">
        <v>584</v>
      </c>
      <c r="D41" t="s">
        <v>1382</v>
      </c>
      <c r="E41" s="242">
        <f>IF(Sheet1!E359="","",Sheet1!E359)</f>
        <v>0</v>
      </c>
      <c r="F41" s="242">
        <f>IF(Sheet1!F359="","",Sheet1!F359)</f>
        <v>0.14559141505525289</v>
      </c>
      <c r="G41" s="242">
        <f>IF(Sheet1!G359="","",Sheet1!G359)</f>
        <v>0.15789974246150135</v>
      </c>
      <c r="H41" s="242">
        <f>IF(Sheet1!H359="","",Sheet1!H359)</f>
        <v>0.16724349606418276</v>
      </c>
      <c r="I41" s="242">
        <f>IF(Sheet1!I359="","",Sheet1!I359)</f>
        <v>0.15604033657762229</v>
      </c>
      <c r="J41" s="242">
        <f>IF(Sheet1!J359="","",Sheet1!J359)</f>
        <v>0.15199022731428391</v>
      </c>
      <c r="K41" s="242">
        <f>IF(Sheet1!K359="","",Sheet1!K359)</f>
        <v>0.15653778798789023</v>
      </c>
      <c r="L41" s="242">
        <f>IF(Sheet1!L359="","",Sheet1!L359)</f>
        <v>0.15372454768257621</v>
      </c>
      <c r="M41" s="242">
        <f>IF(Sheet1!M359="","",Sheet1!M359)</f>
        <v>0.15386886346413026</v>
      </c>
      <c r="N41" s="242">
        <f>IF(Sheet1!N359="","",Sheet1!N359)</f>
        <v>0.15271595223249487</v>
      </c>
      <c r="O41" s="242">
        <f>IF(Sheet1!O359="","",Sheet1!O359)</f>
        <v>0.1496775839447578</v>
      </c>
      <c r="P41" s="242">
        <f>IF(Sheet1!P359="","",Sheet1!P359)</f>
        <v>0.14743885690328593</v>
      </c>
      <c r="Q41" s="242">
        <f>IF(Sheet1!Q359="","",Sheet1!Q359)</f>
        <v>0.14651133285646709</v>
      </c>
      <c r="R41" s="242">
        <f>IF(Sheet1!R359="","",Sheet1!R359)</f>
        <v>0.14626591020743446</v>
      </c>
      <c r="S41" s="242">
        <f>IF(Sheet1!S359="","",Sheet1!S359)</f>
        <v>0.14619714973576903</v>
      </c>
    </row>
    <row r="42" spans="2:19">
      <c r="E42" s="242"/>
      <c r="F42" s="242"/>
      <c r="G42" s="242"/>
      <c r="H42" s="242"/>
      <c r="I42" s="242"/>
      <c r="J42" s="242"/>
      <c r="K42" s="242"/>
      <c r="L42" s="242"/>
      <c r="M42" s="242"/>
      <c r="N42" s="242"/>
      <c r="O42" s="242"/>
      <c r="P42" s="242"/>
      <c r="Q42" s="242"/>
      <c r="R42" s="242"/>
      <c r="S42" s="242"/>
    </row>
  </sheetData>
  <mergeCells count="5">
    <mergeCell ref="A1:U2"/>
    <mergeCell ref="A3:U3"/>
    <mergeCell ref="B6:S6"/>
    <mergeCell ref="B15:S15"/>
    <mergeCell ref="B26:S2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6"/>
  <sheetViews>
    <sheetView workbookViewId="0">
      <pane ySplit="5" topLeftCell="A6" activePane="bottomLeft" state="frozen"/>
      <selection pane="bottomLeft"/>
    </sheetView>
  </sheetViews>
  <sheetFormatPr defaultRowHeight="12.75"/>
  <cols>
    <col min="1" max="1" width="6" customWidth="1"/>
    <col min="2" max="2" width="53" customWidth="1"/>
    <col min="3" max="3" width="13" customWidth="1"/>
    <col min="4" max="4" width="14" customWidth="1"/>
    <col min="5" max="21" width="13" customWidth="1"/>
  </cols>
  <sheetData>
    <row r="1" spans="1:21" ht="23.1" customHeight="1">
      <c r="A1" s="5" t="s">
        <v>1383</v>
      </c>
      <c r="B1" s="5"/>
      <c r="C1" s="5"/>
      <c r="D1" s="5"/>
      <c r="E1" s="5"/>
      <c r="F1" s="5"/>
      <c r="G1" s="5"/>
      <c r="H1" s="5"/>
      <c r="I1" s="5"/>
      <c r="J1" s="5"/>
      <c r="K1" s="5"/>
      <c r="L1" s="5"/>
      <c r="M1" s="5"/>
      <c r="N1" s="5"/>
      <c r="O1" s="5"/>
      <c r="P1" s="5"/>
      <c r="Q1" s="5"/>
      <c r="R1" s="5"/>
      <c r="S1" s="5"/>
      <c r="T1" s="5"/>
      <c r="U1" s="5"/>
    </row>
    <row r="2" spans="1:21" ht="23.1" customHeight="1">
      <c r="A2" s="5"/>
      <c r="B2" s="5"/>
      <c r="C2" s="5"/>
      <c r="D2" s="5"/>
      <c r="E2" s="5"/>
      <c r="F2" s="5"/>
      <c r="G2" s="5"/>
      <c r="H2" s="5"/>
      <c r="I2" s="5"/>
      <c r="J2" s="5"/>
      <c r="K2" s="5"/>
      <c r="L2" s="5"/>
      <c r="M2" s="5"/>
      <c r="N2" s="5"/>
      <c r="O2" s="5"/>
      <c r="P2" s="5"/>
      <c r="Q2" s="5"/>
      <c r="R2" s="5"/>
      <c r="S2" s="5"/>
      <c r="T2" s="5"/>
      <c r="U2" s="5"/>
    </row>
    <row r="3" spans="1:21" ht="24" customHeight="1">
      <c r="A3" s="4" t="s">
        <v>1384</v>
      </c>
      <c r="B3" s="4"/>
      <c r="C3" s="4"/>
      <c r="D3" s="4"/>
      <c r="E3" s="4"/>
      <c r="F3" s="4"/>
      <c r="G3" s="4"/>
      <c r="H3" s="4"/>
      <c r="I3" s="4"/>
      <c r="J3" s="4"/>
      <c r="K3" s="4"/>
      <c r="L3" s="4"/>
      <c r="M3" s="4"/>
      <c r="N3" s="4"/>
      <c r="O3" s="4"/>
      <c r="P3" s="4"/>
      <c r="Q3" s="4"/>
      <c r="R3" s="4"/>
      <c r="S3" s="4"/>
      <c r="T3" s="4"/>
      <c r="U3" s="4"/>
    </row>
    <row r="5" spans="1:21" ht="26.1" customHeight="1">
      <c r="B5" s="241" t="s">
        <v>1233</v>
      </c>
      <c r="C5" s="241" t="s">
        <v>1234</v>
      </c>
      <c r="D5" s="241" t="s">
        <v>1235</v>
      </c>
      <c r="E5" s="241" t="str">
        <f>Sheet1!E40</f>
        <v>FY21A</v>
      </c>
      <c r="F5" s="241" t="str">
        <f>Sheet1!F40</f>
        <v>FY22A</v>
      </c>
      <c r="G5" s="241" t="str">
        <f>Sheet1!G40</f>
        <v>FY23A</v>
      </c>
      <c r="H5" s="241" t="str">
        <f>Sheet1!H40</f>
        <v>FY24A</v>
      </c>
      <c r="I5" s="241" t="str">
        <f>Sheet1!I40</f>
        <v>FY25A</v>
      </c>
      <c r="J5" s="241" t="str">
        <f>Sheet1!J40</f>
        <v>FY26E</v>
      </c>
      <c r="K5" s="241" t="str">
        <f>Sheet1!K40</f>
        <v>FY27E</v>
      </c>
      <c r="L5" s="241" t="str">
        <f>Sheet1!L40</f>
        <v>FY28E</v>
      </c>
      <c r="M5" s="241" t="str">
        <f>Sheet1!M40</f>
        <v>FY29E</v>
      </c>
      <c r="N5" s="241" t="str">
        <f>Sheet1!N40</f>
        <v>FY30E</v>
      </c>
      <c r="O5" s="241" t="str">
        <f>Sheet1!O40</f>
        <v>FY31E</v>
      </c>
      <c r="P5" s="241" t="str">
        <f>Sheet1!P40</f>
        <v>FY32E</v>
      </c>
      <c r="Q5" s="241" t="str">
        <f>Sheet1!Q40</f>
        <v>FY33E</v>
      </c>
      <c r="R5" s="241" t="str">
        <f>Sheet1!R40</f>
        <v>FY34E</v>
      </c>
      <c r="S5" s="241" t="str">
        <f>Sheet1!S40</f>
        <v>FY35E</v>
      </c>
    </row>
    <row r="6" spans="1:21" ht="20.100000000000001" customHeight="1">
      <c r="B6" s="3" t="s">
        <v>1385</v>
      </c>
      <c r="C6" s="3"/>
      <c r="D6" s="3"/>
      <c r="E6" s="2"/>
      <c r="F6" s="2"/>
      <c r="G6" s="2"/>
      <c r="H6" s="2"/>
      <c r="I6" s="2"/>
      <c r="J6" s="2"/>
      <c r="K6" s="2"/>
      <c r="L6" s="2"/>
      <c r="M6" s="2"/>
      <c r="N6" s="2"/>
      <c r="O6" s="2"/>
      <c r="P6" s="2"/>
      <c r="Q6" s="2"/>
      <c r="R6" s="2"/>
      <c r="S6" s="2"/>
    </row>
    <row r="7" spans="1:21">
      <c r="B7" t="s">
        <v>184</v>
      </c>
      <c r="D7" t="s">
        <v>1237</v>
      </c>
      <c r="E7" s="242">
        <f>IF(Sheet1!E20="","",Sheet1!E20)</f>
        <v>1095</v>
      </c>
      <c r="F7" s="242" t="str">
        <f>IF(Sheet1!F20="","",Sheet1!F20)</f>
        <v/>
      </c>
      <c r="G7" s="242" t="str">
        <f>IF(Sheet1!G20="","",Sheet1!G20)</f>
        <v/>
      </c>
      <c r="H7" s="242" t="str">
        <f>IF(Sheet1!H20="","",Sheet1!H20)</f>
        <v/>
      </c>
      <c r="I7" s="242" t="str">
        <f>IF(Sheet1!I20="","",Sheet1!I20)</f>
        <v/>
      </c>
      <c r="J7" s="242" t="str">
        <f>IF(Sheet1!J20="","",Sheet1!J20)</f>
        <v/>
      </c>
      <c r="K7" s="242" t="str">
        <f>IF(Sheet1!K20="","",Sheet1!K20)</f>
        <v/>
      </c>
      <c r="L7" s="242" t="str">
        <f>IF(Sheet1!L20="","",Sheet1!L20)</f>
        <v/>
      </c>
      <c r="M7" s="242" t="str">
        <f>IF(Sheet1!M20="","",Sheet1!M20)</f>
        <v/>
      </c>
      <c r="N7" s="242" t="str">
        <f>IF(Sheet1!N20="","",Sheet1!N20)</f>
        <v/>
      </c>
      <c r="O7" s="242" t="str">
        <f>IF(Sheet1!O20="","",Sheet1!O20)</f>
        <v/>
      </c>
      <c r="P7" s="242" t="str">
        <f>IF(Sheet1!P20="","",Sheet1!P20)</f>
        <v/>
      </c>
      <c r="Q7" s="242" t="str">
        <f>IF(Sheet1!Q20="","",Sheet1!Q20)</f>
        <v/>
      </c>
      <c r="R7" s="242" t="str">
        <f>IF(Sheet1!R20="","",Sheet1!R20)</f>
        <v/>
      </c>
      <c r="S7" s="242" t="str">
        <f>IF(Sheet1!S20="","",Sheet1!S20)</f>
        <v/>
      </c>
    </row>
    <row r="8" spans="1:21">
      <c r="B8" t="s">
        <v>187</v>
      </c>
      <c r="D8" t="s">
        <v>1238</v>
      </c>
      <c r="E8" s="242">
        <f>IF(Sheet1!E21="","",Sheet1!E21)</f>
        <v>46129.26</v>
      </c>
      <c r="F8" s="242" t="str">
        <f>IF(Sheet1!F21="","",Sheet1!F21)</f>
        <v/>
      </c>
      <c r="G8" s="242" t="str">
        <f>IF(Sheet1!G21="","",Sheet1!G21)</f>
        <v/>
      </c>
      <c r="H8" s="242" t="str">
        <f>IF(Sheet1!H21="","",Sheet1!H21)</f>
        <v/>
      </c>
      <c r="I8" s="242" t="str">
        <f>IF(Sheet1!I21="","",Sheet1!I21)</f>
        <v/>
      </c>
      <c r="J8" s="242" t="str">
        <f>IF(Sheet1!J21="","",Sheet1!J21)</f>
        <v/>
      </c>
      <c r="K8" s="242" t="str">
        <f>IF(Sheet1!K21="","",Sheet1!K21)</f>
        <v/>
      </c>
      <c r="L8" s="242" t="str">
        <f>IF(Sheet1!L21="","",Sheet1!L21)</f>
        <v/>
      </c>
      <c r="M8" s="242" t="str">
        <f>IF(Sheet1!M21="","",Sheet1!M21)</f>
        <v/>
      </c>
      <c r="N8" s="242" t="str">
        <f>IF(Sheet1!N21="","",Sheet1!N21)</f>
        <v/>
      </c>
      <c r="O8" s="242" t="str">
        <f>IF(Sheet1!O21="","",Sheet1!O21)</f>
        <v/>
      </c>
      <c r="P8" s="242" t="str">
        <f>IF(Sheet1!P21="","",Sheet1!P21)</f>
        <v/>
      </c>
      <c r="Q8" s="242" t="str">
        <f>IF(Sheet1!Q21="","",Sheet1!Q21)</f>
        <v/>
      </c>
      <c r="R8" s="242" t="str">
        <f>IF(Sheet1!R21="","",Sheet1!R21)</f>
        <v/>
      </c>
      <c r="S8" s="242" t="str">
        <f>IF(Sheet1!S21="","",Sheet1!S21)</f>
        <v/>
      </c>
    </row>
    <row r="9" spans="1:21">
      <c r="B9" t="s">
        <v>190</v>
      </c>
      <c r="D9" t="s">
        <v>1239</v>
      </c>
      <c r="E9" s="242">
        <f>IF(Sheet1!E22="","",Sheet1!E22)</f>
        <v>46304</v>
      </c>
      <c r="F9" s="242" t="str">
        <f>IF(Sheet1!F22="","",Sheet1!F22)</f>
        <v/>
      </c>
      <c r="G9" s="242" t="str">
        <f>IF(Sheet1!G22="","",Sheet1!G22)</f>
        <v/>
      </c>
      <c r="H9" s="242" t="str">
        <f>IF(Sheet1!H22="","",Sheet1!H22)</f>
        <v/>
      </c>
      <c r="I9" s="242" t="str">
        <f>IF(Sheet1!I22="","",Sheet1!I22)</f>
        <v/>
      </c>
      <c r="J9" s="242" t="str">
        <f>IF(Sheet1!J22="","",Sheet1!J22)</f>
        <v/>
      </c>
      <c r="K9" s="242" t="str">
        <f>IF(Sheet1!K22="","",Sheet1!K22)</f>
        <v/>
      </c>
      <c r="L9" s="242" t="str">
        <f>IF(Sheet1!L22="","",Sheet1!L22)</f>
        <v/>
      </c>
      <c r="M9" s="242" t="str">
        <f>IF(Sheet1!M22="","",Sheet1!M22)</f>
        <v/>
      </c>
      <c r="N9" s="242" t="str">
        <f>IF(Sheet1!N22="","",Sheet1!N22)</f>
        <v/>
      </c>
      <c r="O9" s="242" t="str">
        <f>IF(Sheet1!O22="","",Sheet1!O22)</f>
        <v/>
      </c>
      <c r="P9" s="242" t="str">
        <f>IF(Sheet1!P22="","",Sheet1!P22)</f>
        <v/>
      </c>
      <c r="Q9" s="242" t="str">
        <f>IF(Sheet1!Q22="","",Sheet1!Q22)</f>
        <v/>
      </c>
      <c r="R9" s="242" t="str">
        <f>IF(Sheet1!R22="","",Sheet1!R22)</f>
        <v/>
      </c>
      <c r="S9" s="242" t="str">
        <f>IF(Sheet1!S22="","",Sheet1!S22)</f>
        <v/>
      </c>
    </row>
    <row r="10" spans="1:21">
      <c r="B10" t="s">
        <v>194</v>
      </c>
      <c r="D10" t="s">
        <v>1268</v>
      </c>
      <c r="E10" s="242">
        <f>IF(Sheet1!E24="","",Sheet1!E24)</f>
        <v>5.5600000000000004E-2</v>
      </c>
      <c r="F10" s="242" t="str">
        <f>IF(Sheet1!F24="","",Sheet1!F24)</f>
        <v>gross / spread</v>
      </c>
      <c r="G10" s="242">
        <f>IF(Sheet1!G24="","",Sheet1!G24)</f>
        <v>7.1800000000000003E-2</v>
      </c>
      <c r="H10" s="242">
        <f>IF(Sheet1!H24="","",Sheet1!H24)</f>
        <v>1.6199999999999999E-2</v>
      </c>
      <c r="I10" s="242" t="str">
        <f>IF(Sheet1!I24="","",Sheet1!I24)</f>
        <v/>
      </c>
      <c r="J10" s="242" t="str">
        <f>IF(Sheet1!J24="","",Sheet1!J24)</f>
        <v/>
      </c>
      <c r="K10" s="242" t="str">
        <f>IF(Sheet1!K24="","",Sheet1!K24)</f>
        <v/>
      </c>
      <c r="L10" s="242" t="str">
        <f>IF(Sheet1!L24="","",Sheet1!L24)</f>
        <v/>
      </c>
      <c r="M10" s="242" t="str">
        <f>IF(Sheet1!M24="","",Sheet1!M24)</f>
        <v/>
      </c>
      <c r="N10" s="242" t="str">
        <f>IF(Sheet1!N24="","",Sheet1!N24)</f>
        <v/>
      </c>
      <c r="O10" s="242" t="str">
        <f>IF(Sheet1!O24="","",Sheet1!O24)</f>
        <v/>
      </c>
      <c r="P10" s="242" t="str">
        <f>IF(Sheet1!P24="","",Sheet1!P24)</f>
        <v/>
      </c>
      <c r="Q10" s="242" t="str">
        <f>IF(Sheet1!Q24="","",Sheet1!Q24)</f>
        <v/>
      </c>
      <c r="R10" s="242" t="str">
        <f>IF(Sheet1!R24="","",Sheet1!R24)</f>
        <v/>
      </c>
      <c r="S10" s="242" t="str">
        <f>IF(Sheet1!S24="","",Sheet1!S24)</f>
        <v/>
      </c>
    </row>
    <row r="11" spans="1:21">
      <c r="B11" t="s">
        <v>197</v>
      </c>
      <c r="D11" t="s">
        <v>1269</v>
      </c>
      <c r="E11" s="242">
        <f>IF(Sheet1!E25="","",Sheet1!E25)</f>
        <v>6.6900000000000001E-2</v>
      </c>
      <c r="F11" s="242" t="str">
        <f>IF(Sheet1!F25="","",Sheet1!F25)</f>
        <v/>
      </c>
      <c r="G11" s="242" t="str">
        <f>IF(Sheet1!G25="","",Sheet1!G25)</f>
        <v/>
      </c>
      <c r="H11" s="242" t="str">
        <f>IF(Sheet1!H25="","",Sheet1!H25)</f>
        <v/>
      </c>
      <c r="I11" s="242" t="str">
        <f>IF(Sheet1!I25="","",Sheet1!I25)</f>
        <v/>
      </c>
      <c r="J11" s="242" t="str">
        <f>IF(Sheet1!J25="","",Sheet1!J25)</f>
        <v/>
      </c>
      <c r="K11" s="242" t="str">
        <f>IF(Sheet1!K25="","",Sheet1!K25)</f>
        <v/>
      </c>
      <c r="L11" s="242" t="str">
        <f>IF(Sheet1!L25="","",Sheet1!L25)</f>
        <v/>
      </c>
      <c r="M11" s="242" t="str">
        <f>IF(Sheet1!M25="","",Sheet1!M25)</f>
        <v/>
      </c>
      <c r="N11" s="242" t="str">
        <f>IF(Sheet1!N25="","",Sheet1!N25)</f>
        <v/>
      </c>
      <c r="O11" s="242" t="str">
        <f>IF(Sheet1!O25="","",Sheet1!O25)</f>
        <v/>
      </c>
      <c r="P11" s="242" t="str">
        <f>IF(Sheet1!P25="","",Sheet1!P25)</f>
        <v/>
      </c>
      <c r="Q11" s="242" t="str">
        <f>IF(Sheet1!Q25="","",Sheet1!Q25)</f>
        <v/>
      </c>
      <c r="R11" s="242" t="str">
        <f>IF(Sheet1!R25="","",Sheet1!R25)</f>
        <v/>
      </c>
      <c r="S11" s="242" t="str">
        <f>IF(Sheet1!S25="","",Sheet1!S25)</f>
        <v/>
      </c>
    </row>
    <row r="12" spans="1:21">
      <c r="B12" t="s">
        <v>199</v>
      </c>
      <c r="D12" t="s">
        <v>1270</v>
      </c>
      <c r="E12" s="242">
        <f>IF(Sheet1!E26="","",Sheet1!E26)</f>
        <v>0.75880000000000003</v>
      </c>
      <c r="F12" s="242" t="str">
        <f>IF(Sheet1!F26="","",Sheet1!F26)</f>
        <v/>
      </c>
      <c r="G12" s="242" t="str">
        <f>IF(Sheet1!G26="","",Sheet1!G26)</f>
        <v/>
      </c>
      <c r="H12" s="242" t="str">
        <f>IF(Sheet1!H26="","",Sheet1!H26)</f>
        <v/>
      </c>
      <c r="I12" s="242" t="str">
        <f>IF(Sheet1!I26="","",Sheet1!I26)</f>
        <v/>
      </c>
      <c r="J12" s="242" t="str">
        <f>IF(Sheet1!J26="","",Sheet1!J26)</f>
        <v/>
      </c>
      <c r="K12" s="242" t="str">
        <f>IF(Sheet1!K26="","",Sheet1!K26)</f>
        <v/>
      </c>
      <c r="L12" s="242" t="str">
        <f>IF(Sheet1!L26="","",Sheet1!L26)</f>
        <v/>
      </c>
      <c r="M12" s="242" t="str">
        <f>IF(Sheet1!M26="","",Sheet1!M26)</f>
        <v/>
      </c>
      <c r="N12" s="242" t="str">
        <f>IF(Sheet1!N26="","",Sheet1!N26)</f>
        <v/>
      </c>
      <c r="O12" s="242" t="str">
        <f>IF(Sheet1!O26="","",Sheet1!O26)</f>
        <v/>
      </c>
      <c r="P12" s="242" t="str">
        <f>IF(Sheet1!P26="","",Sheet1!P26)</f>
        <v/>
      </c>
      <c r="Q12" s="242" t="str">
        <f>IF(Sheet1!Q26="","",Sheet1!Q26)</f>
        <v/>
      </c>
      <c r="R12" s="242" t="str">
        <f>IF(Sheet1!R26="","",Sheet1!R26)</f>
        <v/>
      </c>
      <c r="S12" s="242" t="str">
        <f>IF(Sheet1!S26="","",Sheet1!S26)</f>
        <v/>
      </c>
    </row>
    <row r="13" spans="1:21">
      <c r="B13" t="s">
        <v>202</v>
      </c>
      <c r="D13" t="s">
        <v>1271</v>
      </c>
      <c r="E13" s="242">
        <f>IF(Sheet1!E27="","",Sheet1!E27)</f>
        <v>0</v>
      </c>
      <c r="F13" s="242" t="str">
        <f>IF(Sheet1!F27="","",Sheet1!F27)</f>
        <v/>
      </c>
      <c r="G13" s="242" t="str">
        <f>IF(Sheet1!G27="","",Sheet1!G27)</f>
        <v/>
      </c>
      <c r="H13" s="242" t="str">
        <f>IF(Sheet1!H27="","",Sheet1!H27)</f>
        <v/>
      </c>
      <c r="I13" s="242" t="str">
        <f>IF(Sheet1!I27="","",Sheet1!I27)</f>
        <v/>
      </c>
      <c r="J13" s="242" t="str">
        <f>IF(Sheet1!J27="","",Sheet1!J27)</f>
        <v/>
      </c>
      <c r="K13" s="242" t="str">
        <f>IF(Sheet1!K27="","",Sheet1!K27)</f>
        <v/>
      </c>
      <c r="L13" s="242" t="str">
        <f>IF(Sheet1!L27="","",Sheet1!L27)</f>
        <v/>
      </c>
      <c r="M13" s="242" t="str">
        <f>IF(Sheet1!M27="","",Sheet1!M27)</f>
        <v/>
      </c>
      <c r="N13" s="242" t="str">
        <f>IF(Sheet1!N27="","",Sheet1!N27)</f>
        <v/>
      </c>
      <c r="O13" s="242" t="str">
        <f>IF(Sheet1!O27="","",Sheet1!O27)</f>
        <v/>
      </c>
      <c r="P13" s="242" t="str">
        <f>IF(Sheet1!P27="","",Sheet1!P27)</f>
        <v/>
      </c>
      <c r="Q13" s="242" t="str">
        <f>IF(Sheet1!Q27="","",Sheet1!Q27)</f>
        <v/>
      </c>
      <c r="R13" s="242" t="str">
        <f>IF(Sheet1!R27="","",Sheet1!R27)</f>
        <v/>
      </c>
      <c r="S13" s="242" t="str">
        <f>IF(Sheet1!S27="","",Sheet1!S27)</f>
        <v/>
      </c>
    </row>
    <row r="14" spans="1:21">
      <c r="B14" t="s">
        <v>204</v>
      </c>
      <c r="D14" t="s">
        <v>1240</v>
      </c>
      <c r="E14" s="242">
        <f>IF(Sheet1!E28="","",Sheet1!E28)</f>
        <v>0.11229724000000002</v>
      </c>
      <c r="F14" s="242" t="str">
        <f>IF(Sheet1!F28="","",Sheet1!F28)</f>
        <v/>
      </c>
      <c r="G14" s="242" t="str">
        <f>IF(Sheet1!G28="","",Sheet1!G28)</f>
        <v/>
      </c>
      <c r="H14" s="242" t="str">
        <f>IF(Sheet1!H28="","",Sheet1!H28)</f>
        <v/>
      </c>
      <c r="I14" s="242" t="str">
        <f>IF(Sheet1!I28="","",Sheet1!I28)</f>
        <v/>
      </c>
      <c r="J14" s="242" t="str">
        <f>IF(Sheet1!J28="","",Sheet1!J28)</f>
        <v/>
      </c>
      <c r="K14" s="242" t="str">
        <f>IF(Sheet1!K28="","",Sheet1!K28)</f>
        <v/>
      </c>
      <c r="L14" s="242" t="str">
        <f>IF(Sheet1!L28="","",Sheet1!L28)</f>
        <v/>
      </c>
      <c r="M14" s="242" t="str">
        <f>IF(Sheet1!M28="","",Sheet1!M28)</f>
        <v/>
      </c>
      <c r="N14" s="242" t="str">
        <f>IF(Sheet1!N28="","",Sheet1!N28)</f>
        <v/>
      </c>
      <c r="O14" s="242" t="str">
        <f>IF(Sheet1!O28="","",Sheet1!O28)</f>
        <v/>
      </c>
      <c r="P14" s="242" t="str">
        <f>IF(Sheet1!P28="","",Sheet1!P28)</f>
        <v/>
      </c>
      <c r="Q14" s="242" t="str">
        <f>IF(Sheet1!Q28="","",Sheet1!Q28)</f>
        <v/>
      </c>
      <c r="R14" s="242" t="str">
        <f>IF(Sheet1!R28="","",Sheet1!R28)</f>
        <v/>
      </c>
      <c r="S14" s="242" t="str">
        <f>IF(Sheet1!S28="","",Sheet1!S28)</f>
        <v/>
      </c>
    </row>
    <row r="15" spans="1:21">
      <c r="B15" t="s">
        <v>212</v>
      </c>
      <c r="D15" t="s">
        <v>1241</v>
      </c>
      <c r="E15" s="242">
        <f>IF(Sheet1!E34="","",Sheet1!E34)</f>
        <v>0.11229724000000002</v>
      </c>
      <c r="F15" s="242" t="str">
        <f>IF(Sheet1!F34="","",Sheet1!F34)</f>
        <v/>
      </c>
      <c r="G15" s="242" t="str">
        <f>IF(Sheet1!G34="","",Sheet1!G34)</f>
        <v/>
      </c>
      <c r="H15" s="242" t="str">
        <f>IF(Sheet1!H34="","",Sheet1!H34)</f>
        <v/>
      </c>
      <c r="I15" s="242" t="str">
        <f>IF(Sheet1!I34="","",Sheet1!I34)</f>
        <v/>
      </c>
      <c r="J15" s="242" t="str">
        <f>IF(Sheet1!J34="","",Sheet1!J34)</f>
        <v/>
      </c>
      <c r="K15" s="242" t="str">
        <f>IF(Sheet1!K34="","",Sheet1!K34)</f>
        <v/>
      </c>
      <c r="L15" s="242" t="str">
        <f>IF(Sheet1!L34="","",Sheet1!L34)</f>
        <v/>
      </c>
      <c r="M15" s="242" t="str">
        <f>IF(Sheet1!M34="","",Sheet1!M34)</f>
        <v/>
      </c>
      <c r="N15" s="242" t="str">
        <f>IF(Sheet1!N34="","",Sheet1!N34)</f>
        <v/>
      </c>
      <c r="O15" s="242" t="str">
        <f>IF(Sheet1!O34="","",Sheet1!O34)</f>
        <v/>
      </c>
      <c r="P15" s="242" t="str">
        <f>IF(Sheet1!P34="","",Sheet1!P34)</f>
        <v/>
      </c>
      <c r="Q15" s="242" t="str">
        <f>IF(Sheet1!Q34="","",Sheet1!Q34)</f>
        <v/>
      </c>
      <c r="R15" s="242" t="str">
        <f>IF(Sheet1!R34="","",Sheet1!R34)</f>
        <v/>
      </c>
      <c r="S15" s="242" t="str">
        <f>IF(Sheet1!S34="","",Sheet1!S34)</f>
        <v/>
      </c>
    </row>
    <row r="16" spans="1:21" ht="20.100000000000001" customHeight="1">
      <c r="B16" s="3" t="s">
        <v>1386</v>
      </c>
      <c r="C16" s="3"/>
      <c r="D16" s="3"/>
      <c r="E16" s="2"/>
      <c r="F16" s="2"/>
      <c r="G16" s="2"/>
      <c r="H16" s="2"/>
      <c r="I16" s="2"/>
      <c r="J16" s="2"/>
      <c r="K16" s="2"/>
      <c r="L16" s="2"/>
      <c r="M16" s="2"/>
      <c r="N16" s="2"/>
      <c r="O16" s="2"/>
      <c r="P16" s="2"/>
      <c r="Q16" s="2"/>
      <c r="R16" s="2"/>
      <c r="S16" s="2"/>
    </row>
    <row r="17" spans="2:19">
      <c r="B17" t="s">
        <v>575</v>
      </c>
      <c r="D17" t="s">
        <v>1262</v>
      </c>
      <c r="E17" s="242">
        <f>IF(Sheet1!E350="","",Sheet1!E350)</f>
        <v>73.62645327333135</v>
      </c>
      <c r="F17" s="242">
        <f>IF(Sheet1!F350="","",Sheet1!F350)</f>
        <v>92.349194415865327</v>
      </c>
      <c r="G17" s="242">
        <f>IF(Sheet1!G350="","",Sheet1!G350)</f>
        <v>123.64696507162699</v>
      </c>
      <c r="H17" s="242">
        <f>IF(Sheet1!H350="","",Sheet1!H350)</f>
        <v>151.87514388914974</v>
      </c>
      <c r="I17" s="242">
        <f>IF(Sheet1!I350="","",Sheet1!I350)</f>
        <v>164.05038797500762</v>
      </c>
      <c r="J17" s="242">
        <f>IF(Sheet1!J350="","",Sheet1!J350)</f>
        <v>182.55846341632301</v>
      </c>
      <c r="K17" s="242">
        <f>IF(Sheet1!K350="","",Sheet1!K350)</f>
        <v>209.6089104544246</v>
      </c>
      <c r="L17" s="242">
        <f>IF(Sheet1!L350="","",Sheet1!L350)</f>
        <v>228.04639266419341</v>
      </c>
      <c r="M17" s="242">
        <f>IF(Sheet1!M350="","",Sheet1!M350)</f>
        <v>257.07327707350373</v>
      </c>
      <c r="N17" s="242">
        <f>IF(Sheet1!N350="","",Sheet1!N350)</f>
        <v>286.02665357684754</v>
      </c>
      <c r="O17" s="242">
        <f>IF(Sheet1!O350="","",Sheet1!O350)</f>
        <v>312.97075481411417</v>
      </c>
      <c r="P17" s="242">
        <f>IF(Sheet1!P350="","",Sheet1!P350)</f>
        <v>340.94113686919377</v>
      </c>
      <c r="Q17" s="242">
        <f>IF(Sheet1!Q350="","",Sheet1!Q350)</f>
        <v>369.15628001207779</v>
      </c>
      <c r="R17" s="242">
        <f>IF(Sheet1!R350="","",Sheet1!R350)</f>
        <v>397.27354473606584</v>
      </c>
      <c r="S17" s="242">
        <f>IF(Sheet1!S350="","",Sheet1!S350)</f>
        <v>424.92242055542465</v>
      </c>
    </row>
    <row r="18" spans="2:19">
      <c r="B18" t="s">
        <v>576</v>
      </c>
      <c r="D18" t="s">
        <v>1263</v>
      </c>
      <c r="E18" s="242">
        <f>IF(Sheet1!E351="","",Sheet1!E351)</f>
        <v>608.17786207776373</v>
      </c>
      <c r="F18" s="242">
        <f>IF(Sheet1!F351="","",Sheet1!F351)</f>
        <v>726.35026011689763</v>
      </c>
      <c r="G18" s="242">
        <f>IF(Sheet1!G351="","",Sheet1!G351)</f>
        <v>839.79498045275375</v>
      </c>
      <c r="H18" s="242">
        <f>IF(Sheet1!H351="","",Sheet1!H351)</f>
        <v>976.42086606201781</v>
      </c>
      <c r="I18" s="242">
        <f>IF(Sheet1!I351="","",Sheet1!I351)</f>
        <v>1126.2455543401304</v>
      </c>
      <c r="J18" s="242">
        <f>IF(Sheet1!J351="","",Sheet1!J351)</f>
        <v>1275.993940161452</v>
      </c>
      <c r="K18" s="242">
        <f>IF(Sheet1!K351="","",Sheet1!K351)</f>
        <v>1393.9689945983923</v>
      </c>
      <c r="L18" s="242">
        <f>IF(Sheet1!L351="","",Sheet1!L351)</f>
        <v>1572.9793048376007</v>
      </c>
      <c r="M18" s="242">
        <f>IF(Sheet1!M351="","",Sheet1!M351)</f>
        <v>1768.4800558917718</v>
      </c>
      <c r="N18" s="242">
        <f>IF(Sheet1!N351="","",Sheet1!N351)</f>
        <v>1977.3847263465682</v>
      </c>
      <c r="O18" s="242">
        <f>IF(Sheet1!O351="","",Sheet1!O351)</f>
        <v>2204.547485087628</v>
      </c>
      <c r="P18" s="242">
        <f>IF(Sheet1!P351="","",Sheet1!P351)</f>
        <v>2420.3003200311764</v>
      </c>
      <c r="Q18" s="242">
        <f>IF(Sheet1!Q351="","",Sheet1!Q351)</f>
        <v>2618.986031608657</v>
      </c>
      <c r="R18" s="242">
        <f>IF(Sheet1!R351="","",Sheet1!R351)</f>
        <v>2813.2236223380801</v>
      </c>
      <c r="S18" s="242">
        <f>IF(Sheet1!S351="","",Sheet1!S351)</f>
        <v>2999.7819160518652</v>
      </c>
    </row>
    <row r="19" spans="2:19">
      <c r="B19" t="s">
        <v>577</v>
      </c>
      <c r="D19" t="s">
        <v>1375</v>
      </c>
      <c r="E19" s="242">
        <f>IF(Sheet1!E352="","",Sheet1!E352)</f>
        <v>14.872371971184249</v>
      </c>
      <c r="F19" s="242">
        <f>IF(Sheet1!F352="","",Sheet1!F352)</f>
        <v>11.857168943661973</v>
      </c>
      <c r="G19" s="242">
        <f>IF(Sheet1!G352="","",Sheet1!G352)</f>
        <v>8.8558582846387015</v>
      </c>
      <c r="H19" s="242">
        <f>IF(Sheet1!H352="","",Sheet1!H352)</f>
        <v>7.2098697124475875</v>
      </c>
      <c r="I19" s="242">
        <f>IF(Sheet1!I352="","",Sheet1!I352)</f>
        <v>6.6747784843204307</v>
      </c>
      <c r="J19" s="242">
        <f>IF(Sheet1!J352="","",Sheet1!J352)</f>
        <v>5.9980785306176791</v>
      </c>
      <c r="K19" s="242">
        <f>IF(Sheet1!K352="","",Sheet1!K352)</f>
        <v>5.2240145594291736</v>
      </c>
      <c r="L19" s="242">
        <f>IF(Sheet1!L352="","",Sheet1!L352)</f>
        <v>4.8016545546169951</v>
      </c>
      <c r="M19" s="242">
        <f>IF(Sheet1!M352="","",Sheet1!M352)</f>
        <v>4.2594859040401616</v>
      </c>
      <c r="N19" s="242">
        <f>IF(Sheet1!N352="","",Sheet1!N352)</f>
        <v>3.8283145514821872</v>
      </c>
      <c r="O19" s="242">
        <f>IF(Sheet1!O352="","",Sheet1!O352)</f>
        <v>3.4987294600428855</v>
      </c>
      <c r="P19" s="242">
        <f>IF(Sheet1!P352="","",Sheet1!P352)</f>
        <v>3.2116980956161654</v>
      </c>
      <c r="Q19" s="242">
        <f>IF(Sheet1!Q352="","",Sheet1!Q352)</f>
        <v>2.9662234107575647</v>
      </c>
      <c r="R19" s="242">
        <f>IF(Sheet1!R352="","",Sheet1!R352)</f>
        <v>2.7562872345992191</v>
      </c>
      <c r="S19" s="242">
        <f>IF(Sheet1!S352="","",Sheet1!S352)</f>
        <v>2.576940982706216</v>
      </c>
    </row>
    <row r="20" spans="2:19">
      <c r="B20" t="s">
        <v>578</v>
      </c>
      <c r="D20" t="s">
        <v>1376</v>
      </c>
      <c r="E20" s="242">
        <f>IF(Sheet1!E353="","",Sheet1!E353)</f>
        <v>1.8004601421351794</v>
      </c>
      <c r="F20" s="242">
        <f>IF(Sheet1!F353="","",Sheet1!F353)</f>
        <v>1.5075371485704052</v>
      </c>
      <c r="G20" s="242">
        <f>IF(Sheet1!G353="","",Sheet1!G353)</f>
        <v>1.3038896700831184</v>
      </c>
      <c r="H20" s="242">
        <f>IF(Sheet1!H353="","",Sheet1!H353)</f>
        <v>1.1214426463623428</v>
      </c>
      <c r="I20" s="242">
        <f>IF(Sheet1!I353="","",Sheet1!I353)</f>
        <v>0.97225688996531734</v>
      </c>
      <c r="J20" s="242">
        <f>IF(Sheet1!J353="","",Sheet1!J353)</f>
        <v>0.85815454567241067</v>
      </c>
      <c r="K20" s="242">
        <f>IF(Sheet1!K353="","",Sheet1!K353)</f>
        <v>0.7855267973987281</v>
      </c>
      <c r="L20" s="242">
        <f>IF(Sheet1!L353="","",Sheet1!L353)</f>
        <v>0.69613121840344316</v>
      </c>
      <c r="M20" s="242">
        <f>IF(Sheet1!M353="","",Sheet1!M353)</f>
        <v>0.61917576980976274</v>
      </c>
      <c r="N20" s="242">
        <f>IF(Sheet1!N353="","",Sheet1!N353)</f>
        <v>0.55376173660607297</v>
      </c>
      <c r="O20" s="242">
        <f>IF(Sheet1!O353="","",Sheet1!O353)</f>
        <v>0.49670057343150181</v>
      </c>
      <c r="P20" s="242">
        <f>IF(Sheet1!P353="","",Sheet1!P353)</f>
        <v>0.45242319349273774</v>
      </c>
      <c r="Q20" s="242">
        <f>IF(Sheet1!Q353="","",Sheet1!Q353)</f>
        <v>0.41810074081510823</v>
      </c>
      <c r="R20" s="242">
        <f>IF(Sheet1!R353="","",Sheet1!R353)</f>
        <v>0.38923318832718373</v>
      </c>
      <c r="S20" s="242">
        <f>IF(Sheet1!S353="","",Sheet1!S353)</f>
        <v>0.36502653547601022</v>
      </c>
    </row>
    <row r="21" spans="2:19">
      <c r="B21" t="s">
        <v>633</v>
      </c>
      <c r="D21" t="s">
        <v>1251</v>
      </c>
      <c r="E21" s="242">
        <f>IF(Sheet1!E409="","",Sheet1!E409)</f>
        <v>1.4742427406059562</v>
      </c>
      <c r="F21" s="242" t="str">
        <f>IF(Sheet1!F409="","",Sheet1!F409)</f>
        <v/>
      </c>
      <c r="G21" s="242" t="str">
        <f>IF(Sheet1!G409="","",Sheet1!G409)</f>
        <v/>
      </c>
      <c r="H21" s="242" t="str">
        <f>IF(Sheet1!H409="","",Sheet1!H409)</f>
        <v/>
      </c>
      <c r="I21" s="242" t="str">
        <f>IF(Sheet1!I409="","",Sheet1!I409)</f>
        <v/>
      </c>
      <c r="J21" s="242" t="str">
        <f>IF(Sheet1!J409="","",Sheet1!J409)</f>
        <v/>
      </c>
      <c r="K21" s="242" t="str">
        <f>IF(Sheet1!K409="","",Sheet1!K409)</f>
        <v/>
      </c>
      <c r="L21" s="242" t="str">
        <f>IF(Sheet1!L409="","",Sheet1!L409)</f>
        <v/>
      </c>
      <c r="M21" s="242" t="str">
        <f>IF(Sheet1!M409="","",Sheet1!M409)</f>
        <v/>
      </c>
      <c r="N21" s="242" t="str">
        <f>IF(Sheet1!N409="","",Sheet1!N409)</f>
        <v/>
      </c>
      <c r="O21" s="242" t="str">
        <f>IF(Sheet1!O409="","",Sheet1!O409)</f>
        <v/>
      </c>
      <c r="P21" s="242" t="str">
        <f>IF(Sheet1!P409="","",Sheet1!P409)</f>
        <v/>
      </c>
      <c r="Q21" s="242" t="str">
        <f>IF(Sheet1!Q409="","",Sheet1!Q409)</f>
        <v/>
      </c>
      <c r="R21" s="242" t="str">
        <f>IF(Sheet1!R409="","",Sheet1!R409)</f>
        <v/>
      </c>
      <c r="S21" s="242" t="str">
        <f>IF(Sheet1!S409="","",Sheet1!S409)</f>
        <v/>
      </c>
    </row>
    <row r="22" spans="2:19">
      <c r="B22" t="s">
        <v>634</v>
      </c>
      <c r="D22" t="s">
        <v>1252</v>
      </c>
      <c r="E22" s="242">
        <f>IF(Sheet1!E410="","",Sheet1!E410)</f>
        <v>8.9744505577649356</v>
      </c>
      <c r="F22" s="242" t="str">
        <f>IF(Sheet1!F410="","",Sheet1!F410)</f>
        <v/>
      </c>
      <c r="G22" s="242" t="str">
        <f>IF(Sheet1!G410="","",Sheet1!G410)</f>
        <v/>
      </c>
      <c r="H22" s="242" t="str">
        <f>IF(Sheet1!H410="","",Sheet1!H410)</f>
        <v/>
      </c>
      <c r="I22" s="242" t="str">
        <f>IF(Sheet1!I410="","",Sheet1!I410)</f>
        <v/>
      </c>
      <c r="J22" s="242" t="str">
        <f>IF(Sheet1!J410="","",Sheet1!J410)</f>
        <v/>
      </c>
      <c r="K22" s="242" t="str">
        <f>IF(Sheet1!K410="","",Sheet1!K410)</f>
        <v/>
      </c>
      <c r="L22" s="242" t="str">
        <f>IF(Sheet1!L410="","",Sheet1!L410)</f>
        <v/>
      </c>
      <c r="M22" s="242" t="str">
        <f>IF(Sheet1!M410="","",Sheet1!M410)</f>
        <v/>
      </c>
      <c r="N22" s="242" t="str">
        <f>IF(Sheet1!N410="","",Sheet1!N410)</f>
        <v/>
      </c>
      <c r="O22" s="242" t="str">
        <f>IF(Sheet1!O410="","",Sheet1!O410)</f>
        <v/>
      </c>
      <c r="P22" s="242" t="str">
        <f>IF(Sheet1!P410="","",Sheet1!P410)</f>
        <v/>
      </c>
      <c r="Q22" s="242" t="str">
        <f>IF(Sheet1!Q410="","",Sheet1!Q410)</f>
        <v/>
      </c>
      <c r="R22" s="242" t="str">
        <f>IF(Sheet1!R410="","",Sheet1!R410)</f>
        <v/>
      </c>
      <c r="S22" s="242" t="str">
        <f>IF(Sheet1!S410="","",Sheet1!S410)</f>
        <v/>
      </c>
    </row>
    <row r="23" spans="2:19">
      <c r="B23" t="s">
        <v>638</v>
      </c>
      <c r="D23" t="s">
        <v>1387</v>
      </c>
      <c r="E23" s="242">
        <f>IF(Sheet1!E413="","",Sheet1!E413)</f>
        <v>0.97225688996531734</v>
      </c>
      <c r="F23" s="242" t="str">
        <f>IF(Sheet1!F413="","",Sheet1!F413)</f>
        <v/>
      </c>
      <c r="G23" s="242" t="str">
        <f>IF(Sheet1!G413="","",Sheet1!G413)</f>
        <v/>
      </c>
      <c r="H23" s="242" t="str">
        <f>IF(Sheet1!H413="","",Sheet1!H413)</f>
        <v/>
      </c>
      <c r="I23" s="242" t="str">
        <f>IF(Sheet1!I413="","",Sheet1!I413)</f>
        <v/>
      </c>
      <c r="J23" s="242" t="str">
        <f>IF(Sheet1!J413="","",Sheet1!J413)</f>
        <v/>
      </c>
      <c r="K23" s="242" t="str">
        <f>IF(Sheet1!K413="","",Sheet1!K413)</f>
        <v/>
      </c>
      <c r="L23" s="242" t="str">
        <f>IF(Sheet1!L413="","",Sheet1!L413)</f>
        <v/>
      </c>
      <c r="M23" s="242" t="str">
        <f>IF(Sheet1!M413="","",Sheet1!M413)</f>
        <v/>
      </c>
      <c r="N23" s="242" t="str">
        <f>IF(Sheet1!N413="","",Sheet1!N413)</f>
        <v/>
      </c>
      <c r="O23" s="242" t="str">
        <f>IF(Sheet1!O413="","",Sheet1!O413)</f>
        <v/>
      </c>
      <c r="P23" s="242" t="str">
        <f>IF(Sheet1!P413="","",Sheet1!P413)</f>
        <v/>
      </c>
      <c r="Q23" s="242" t="str">
        <f>IF(Sheet1!Q413="","",Sheet1!Q413)</f>
        <v/>
      </c>
      <c r="R23" s="242" t="str">
        <f>IF(Sheet1!R413="","",Sheet1!R413)</f>
        <v/>
      </c>
      <c r="S23" s="242" t="str">
        <f>IF(Sheet1!S413="","",Sheet1!S413)</f>
        <v/>
      </c>
    </row>
    <row r="24" spans="2:19">
      <c r="B24" t="s">
        <v>639</v>
      </c>
      <c r="D24" t="s">
        <v>1388</v>
      </c>
      <c r="E24" s="242">
        <f>IF(Sheet1!E414="","",Sheet1!E414)</f>
        <v>0.1203499089723121</v>
      </c>
      <c r="F24" s="242" t="str">
        <f>IF(Sheet1!F414="","",Sheet1!F414)</f>
        <v/>
      </c>
      <c r="G24" s="242" t="str">
        <f>IF(Sheet1!G414="","",Sheet1!G414)</f>
        <v/>
      </c>
      <c r="H24" s="242" t="str">
        <f>IF(Sheet1!H414="","",Sheet1!H414)</f>
        <v/>
      </c>
      <c r="I24" s="242" t="str">
        <f>IF(Sheet1!I414="","",Sheet1!I414)</f>
        <v/>
      </c>
      <c r="J24" s="242" t="str">
        <f>IF(Sheet1!J414="","",Sheet1!J414)</f>
        <v/>
      </c>
      <c r="K24" s="242" t="str">
        <f>IF(Sheet1!K414="","",Sheet1!K414)</f>
        <v/>
      </c>
      <c r="L24" s="242" t="str">
        <f>IF(Sheet1!L414="","",Sheet1!L414)</f>
        <v/>
      </c>
      <c r="M24" s="242" t="str">
        <f>IF(Sheet1!M414="","",Sheet1!M414)</f>
        <v/>
      </c>
      <c r="N24" s="242" t="str">
        <f>IF(Sheet1!N414="","",Sheet1!N414)</f>
        <v/>
      </c>
      <c r="O24" s="242" t="str">
        <f>IF(Sheet1!O414="","",Sheet1!O414)</f>
        <v/>
      </c>
      <c r="P24" s="242" t="str">
        <f>IF(Sheet1!P414="","",Sheet1!P414)</f>
        <v/>
      </c>
      <c r="Q24" s="242" t="str">
        <f>IF(Sheet1!Q414="","",Sheet1!Q414)</f>
        <v/>
      </c>
      <c r="R24" s="242" t="str">
        <f>IF(Sheet1!R414="","",Sheet1!R414)</f>
        <v/>
      </c>
      <c r="S24" s="242" t="str">
        <f>IF(Sheet1!S414="","",Sheet1!S414)</f>
        <v/>
      </c>
    </row>
    <row r="25" spans="2:19">
      <c r="B25" t="s">
        <v>640</v>
      </c>
      <c r="D25" t="s">
        <v>1389</v>
      </c>
      <c r="E25" s="242">
        <f>IF(Sheet1!E415="","",Sheet1!E415)</f>
        <v>1.258064516129032</v>
      </c>
      <c r="F25" s="242" t="str">
        <f>IF(Sheet1!F415="","",Sheet1!F415)</f>
        <v/>
      </c>
      <c r="G25" s="242" t="str">
        <f>IF(Sheet1!G415="","",Sheet1!G415)</f>
        <v/>
      </c>
      <c r="H25" s="242" t="str">
        <f>IF(Sheet1!H415="","",Sheet1!H415)</f>
        <v/>
      </c>
      <c r="I25" s="242" t="str">
        <f>IF(Sheet1!I415="","",Sheet1!I415)</f>
        <v/>
      </c>
      <c r="J25" s="242" t="str">
        <f>IF(Sheet1!J415="","",Sheet1!J415)</f>
        <v/>
      </c>
      <c r="K25" s="242" t="str">
        <f>IF(Sheet1!K415="","",Sheet1!K415)</f>
        <v/>
      </c>
      <c r="L25" s="242" t="str">
        <f>IF(Sheet1!L415="","",Sheet1!L415)</f>
        <v/>
      </c>
      <c r="M25" s="242" t="str">
        <f>IF(Sheet1!M415="","",Sheet1!M415)</f>
        <v/>
      </c>
      <c r="N25" s="242" t="str">
        <f>IF(Sheet1!N415="","",Sheet1!N415)</f>
        <v/>
      </c>
      <c r="O25" s="242" t="str">
        <f>IF(Sheet1!O415="","",Sheet1!O415)</f>
        <v/>
      </c>
      <c r="P25" s="242" t="str">
        <f>IF(Sheet1!P415="","",Sheet1!P415)</f>
        <v/>
      </c>
      <c r="Q25" s="242" t="str">
        <f>IF(Sheet1!Q415="","",Sheet1!Q415)</f>
        <v/>
      </c>
      <c r="R25" s="242" t="str">
        <f>IF(Sheet1!R415="","",Sheet1!R415)</f>
        <v/>
      </c>
      <c r="S25" s="242" t="str">
        <f>IF(Sheet1!S415="","",Sheet1!S415)</f>
        <v/>
      </c>
    </row>
    <row r="26" spans="2:19">
      <c r="E26" s="242"/>
      <c r="F26" s="242"/>
      <c r="G26" s="242"/>
      <c r="H26" s="242"/>
      <c r="I26" s="242"/>
      <c r="J26" s="242"/>
      <c r="K26" s="242"/>
      <c r="L26" s="242"/>
      <c r="M26" s="242"/>
      <c r="N26" s="242"/>
      <c r="O26" s="242"/>
      <c r="P26" s="242"/>
      <c r="Q26" s="242"/>
      <c r="R26" s="242"/>
      <c r="S26" s="242"/>
    </row>
  </sheetData>
  <mergeCells count="4">
    <mergeCell ref="A1:U2"/>
    <mergeCell ref="A3:U3"/>
    <mergeCell ref="B6:S6"/>
    <mergeCell ref="B16:S1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125"/>
  <sheetViews>
    <sheetView workbookViewId="0">
      <pane ySplit="5" topLeftCell="A6" activePane="bottomLeft" state="frozen"/>
      <selection pane="bottomLeft"/>
    </sheetView>
  </sheetViews>
  <sheetFormatPr defaultRowHeight="12.75"/>
  <cols>
    <col min="1" max="1" width="6" customWidth="1"/>
    <col min="2" max="2" width="53" customWidth="1"/>
    <col min="3" max="3" width="13" customWidth="1"/>
    <col min="4" max="4" width="14" customWidth="1"/>
    <col min="5" max="21" width="13" customWidth="1"/>
  </cols>
  <sheetData>
    <row r="1" spans="1:21" ht="23.1" customHeight="1">
      <c r="A1" s="5" t="s">
        <v>1390</v>
      </c>
      <c r="B1" s="5"/>
      <c r="C1" s="5"/>
      <c r="D1" s="5"/>
      <c r="E1" s="5"/>
      <c r="F1" s="5"/>
      <c r="G1" s="5"/>
      <c r="H1" s="5"/>
      <c r="I1" s="5"/>
      <c r="J1" s="5"/>
      <c r="K1" s="5"/>
      <c r="L1" s="5"/>
      <c r="M1" s="5"/>
      <c r="N1" s="5"/>
      <c r="O1" s="5"/>
      <c r="P1" s="5"/>
      <c r="Q1" s="5"/>
      <c r="R1" s="5"/>
      <c r="S1" s="5"/>
      <c r="T1" s="5"/>
      <c r="U1" s="5"/>
    </row>
    <row r="2" spans="1:21" ht="23.1" customHeight="1">
      <c r="A2" s="5"/>
      <c r="B2" s="5"/>
      <c r="C2" s="5"/>
      <c r="D2" s="5"/>
      <c r="E2" s="5"/>
      <c r="F2" s="5"/>
      <c r="G2" s="5"/>
      <c r="H2" s="5"/>
      <c r="I2" s="5"/>
      <c r="J2" s="5"/>
      <c r="K2" s="5"/>
      <c r="L2" s="5"/>
      <c r="M2" s="5"/>
      <c r="N2" s="5"/>
      <c r="O2" s="5"/>
      <c r="P2" s="5"/>
      <c r="Q2" s="5"/>
      <c r="R2" s="5"/>
      <c r="S2" s="5"/>
      <c r="T2" s="5"/>
      <c r="U2" s="5"/>
    </row>
    <row r="3" spans="1:21" ht="24" customHeight="1">
      <c r="A3" s="4" t="s">
        <v>1391</v>
      </c>
      <c r="B3" s="4"/>
      <c r="C3" s="4"/>
      <c r="D3" s="4"/>
      <c r="E3" s="4"/>
      <c r="F3" s="4"/>
      <c r="G3" s="4"/>
      <c r="H3" s="4"/>
      <c r="I3" s="4"/>
      <c r="J3" s="4"/>
      <c r="K3" s="4"/>
      <c r="L3" s="4"/>
      <c r="M3" s="4"/>
      <c r="N3" s="4"/>
      <c r="O3" s="4"/>
      <c r="P3" s="4"/>
      <c r="Q3" s="4"/>
      <c r="R3" s="4"/>
      <c r="S3" s="4"/>
      <c r="T3" s="4"/>
      <c r="U3" s="4"/>
    </row>
    <row r="5" spans="1:21" ht="26.1" customHeight="1">
      <c r="B5" s="241" t="s">
        <v>1233</v>
      </c>
      <c r="C5" s="241" t="s">
        <v>1234</v>
      </c>
      <c r="D5" s="241" t="s">
        <v>1235</v>
      </c>
      <c r="E5" s="241" t="str">
        <f>Sheet1!E40</f>
        <v>FY21A</v>
      </c>
      <c r="F5" s="241" t="str">
        <f>Sheet1!F40</f>
        <v>FY22A</v>
      </c>
      <c r="G5" s="241" t="str">
        <f>Sheet1!G40</f>
        <v>FY23A</v>
      </c>
      <c r="H5" s="241" t="str">
        <f>Sheet1!H40</f>
        <v>FY24A</v>
      </c>
      <c r="I5" s="241" t="str">
        <f>Sheet1!I40</f>
        <v>FY25A</v>
      </c>
      <c r="J5" s="241" t="str">
        <f>Sheet1!J40</f>
        <v>FY26E</v>
      </c>
      <c r="K5" s="241" t="str">
        <f>Sheet1!K40</f>
        <v>FY27E</v>
      </c>
      <c r="L5" s="241" t="str">
        <f>Sheet1!L40</f>
        <v>FY28E</v>
      </c>
      <c r="M5" s="241" t="str">
        <f>Sheet1!M40</f>
        <v>FY29E</v>
      </c>
      <c r="N5" s="241" t="str">
        <f>Sheet1!N40</f>
        <v>FY30E</v>
      </c>
      <c r="O5" s="241" t="str">
        <f>Sheet1!O40</f>
        <v>FY31E</v>
      </c>
      <c r="P5" s="241" t="str">
        <f>Sheet1!P40</f>
        <v>FY32E</v>
      </c>
      <c r="Q5" s="241" t="str">
        <f>Sheet1!Q40</f>
        <v>FY33E</v>
      </c>
      <c r="R5" s="241" t="str">
        <f>Sheet1!R40</f>
        <v>FY34E</v>
      </c>
      <c r="S5" s="241" t="str">
        <f>Sheet1!S40</f>
        <v>FY35E</v>
      </c>
    </row>
    <row r="6" spans="1:21" ht="20.100000000000001" customHeight="1">
      <c r="B6" s="3" t="s">
        <v>1392</v>
      </c>
      <c r="C6" s="3"/>
      <c r="D6" s="3"/>
      <c r="E6" s="2"/>
      <c r="F6" s="2"/>
      <c r="G6" s="2"/>
      <c r="H6" s="2"/>
      <c r="I6" s="2"/>
      <c r="J6" s="2"/>
      <c r="K6" s="2"/>
      <c r="L6" s="2"/>
      <c r="M6" s="2"/>
      <c r="N6" s="2"/>
      <c r="O6" s="2"/>
      <c r="P6" s="2"/>
      <c r="Q6" s="2"/>
      <c r="R6" s="2"/>
      <c r="S6" s="2"/>
    </row>
    <row r="7" spans="1:21">
      <c r="B7" t="s">
        <v>184</v>
      </c>
      <c r="D7" t="s">
        <v>1237</v>
      </c>
      <c r="E7" s="242">
        <f>IF(Sheet1!E20="","",Sheet1!E20)</f>
        <v>1095</v>
      </c>
      <c r="F7" s="242" t="str">
        <f>IF(Sheet1!F20="","",Sheet1!F20)</f>
        <v/>
      </c>
      <c r="G7" s="242" t="str">
        <f>IF(Sheet1!G20="","",Sheet1!G20)</f>
        <v/>
      </c>
      <c r="H7" s="242" t="str">
        <f>IF(Sheet1!H20="","",Sheet1!H20)</f>
        <v/>
      </c>
      <c r="I7" s="242" t="str">
        <f>IF(Sheet1!I20="","",Sheet1!I20)</f>
        <v/>
      </c>
      <c r="J7" s="242" t="str">
        <f>IF(Sheet1!J20="","",Sheet1!J20)</f>
        <v/>
      </c>
      <c r="K7" s="242" t="str">
        <f>IF(Sheet1!K20="","",Sheet1!K20)</f>
        <v/>
      </c>
      <c r="L7" s="242" t="str">
        <f>IF(Sheet1!L20="","",Sheet1!L20)</f>
        <v/>
      </c>
      <c r="M7" s="242" t="str">
        <f>IF(Sheet1!M20="","",Sheet1!M20)</f>
        <v/>
      </c>
      <c r="N7" s="242" t="str">
        <f>IF(Sheet1!N20="","",Sheet1!N20)</f>
        <v/>
      </c>
      <c r="O7" s="242" t="str">
        <f>IF(Sheet1!O20="","",Sheet1!O20)</f>
        <v/>
      </c>
      <c r="P7" s="242" t="str">
        <f>IF(Sheet1!P20="","",Sheet1!P20)</f>
        <v/>
      </c>
      <c r="Q7" s="242" t="str">
        <f>IF(Sheet1!Q20="","",Sheet1!Q20)</f>
        <v/>
      </c>
      <c r="R7" s="242" t="str">
        <f>IF(Sheet1!R20="","",Sheet1!R20)</f>
        <v/>
      </c>
      <c r="S7" s="242" t="str">
        <f>IF(Sheet1!S20="","",Sheet1!S20)</f>
        <v/>
      </c>
    </row>
    <row r="8" spans="1:21">
      <c r="B8" t="s">
        <v>187</v>
      </c>
      <c r="D8" t="s">
        <v>1238</v>
      </c>
      <c r="E8" s="242">
        <f>IF(Sheet1!E21="","",Sheet1!E21)</f>
        <v>46129.26</v>
      </c>
      <c r="F8" s="242" t="str">
        <f>IF(Sheet1!F21="","",Sheet1!F21)</f>
        <v/>
      </c>
      <c r="G8" s="242" t="str">
        <f>IF(Sheet1!G21="","",Sheet1!G21)</f>
        <v/>
      </c>
      <c r="H8" s="242" t="str">
        <f>IF(Sheet1!H21="","",Sheet1!H21)</f>
        <v/>
      </c>
      <c r="I8" s="242" t="str">
        <f>IF(Sheet1!I21="","",Sheet1!I21)</f>
        <v/>
      </c>
      <c r="J8" s="242" t="str">
        <f>IF(Sheet1!J21="","",Sheet1!J21)</f>
        <v/>
      </c>
      <c r="K8" s="242" t="str">
        <f>IF(Sheet1!K21="","",Sheet1!K21)</f>
        <v/>
      </c>
      <c r="L8" s="242" t="str">
        <f>IF(Sheet1!L21="","",Sheet1!L21)</f>
        <v/>
      </c>
      <c r="M8" s="242" t="str">
        <f>IF(Sheet1!M21="","",Sheet1!M21)</f>
        <v/>
      </c>
      <c r="N8" s="242" t="str">
        <f>IF(Sheet1!N21="","",Sheet1!N21)</f>
        <v/>
      </c>
      <c r="O8" s="242" t="str">
        <f>IF(Sheet1!O21="","",Sheet1!O21)</f>
        <v/>
      </c>
      <c r="P8" s="242" t="str">
        <f>IF(Sheet1!P21="","",Sheet1!P21)</f>
        <v/>
      </c>
      <c r="Q8" s="242" t="str">
        <f>IF(Sheet1!Q21="","",Sheet1!Q21)</f>
        <v/>
      </c>
      <c r="R8" s="242" t="str">
        <f>IF(Sheet1!R21="","",Sheet1!R21)</f>
        <v/>
      </c>
      <c r="S8" s="242" t="str">
        <f>IF(Sheet1!S21="","",Sheet1!S21)</f>
        <v/>
      </c>
    </row>
    <row r="9" spans="1:21">
      <c r="B9" t="s">
        <v>190</v>
      </c>
      <c r="D9" t="s">
        <v>1239</v>
      </c>
      <c r="E9" s="242">
        <f>IF(Sheet1!E22="","",Sheet1!E22)</f>
        <v>46304</v>
      </c>
      <c r="F9" s="242" t="str">
        <f>IF(Sheet1!F22="","",Sheet1!F22)</f>
        <v/>
      </c>
      <c r="G9" s="242" t="str">
        <f>IF(Sheet1!G22="","",Sheet1!G22)</f>
        <v/>
      </c>
      <c r="H9" s="242" t="str">
        <f>IF(Sheet1!H22="","",Sheet1!H22)</f>
        <v/>
      </c>
      <c r="I9" s="242" t="str">
        <f>IF(Sheet1!I22="","",Sheet1!I22)</f>
        <v/>
      </c>
      <c r="J9" s="242" t="str">
        <f>IF(Sheet1!J22="","",Sheet1!J22)</f>
        <v/>
      </c>
      <c r="K9" s="242" t="str">
        <f>IF(Sheet1!K22="","",Sheet1!K22)</f>
        <v/>
      </c>
      <c r="L9" s="242" t="str">
        <f>IF(Sheet1!L22="","",Sheet1!L22)</f>
        <v/>
      </c>
      <c r="M9" s="242" t="str">
        <f>IF(Sheet1!M22="","",Sheet1!M22)</f>
        <v/>
      </c>
      <c r="N9" s="242" t="str">
        <f>IF(Sheet1!N22="","",Sheet1!N22)</f>
        <v/>
      </c>
      <c r="O9" s="242" t="str">
        <f>IF(Sheet1!O22="","",Sheet1!O22)</f>
        <v/>
      </c>
      <c r="P9" s="242" t="str">
        <f>IF(Sheet1!P22="","",Sheet1!P22)</f>
        <v/>
      </c>
      <c r="Q9" s="242" t="str">
        <f>IF(Sheet1!Q22="","",Sheet1!Q22)</f>
        <v/>
      </c>
      <c r="R9" s="242" t="str">
        <f>IF(Sheet1!R22="","",Sheet1!R22)</f>
        <v/>
      </c>
      <c r="S9" s="242" t="str">
        <f>IF(Sheet1!S22="","",Sheet1!S22)</f>
        <v/>
      </c>
    </row>
    <row r="10" spans="1:21">
      <c r="B10" t="s">
        <v>192</v>
      </c>
      <c r="D10" t="s">
        <v>1267</v>
      </c>
      <c r="E10" s="242">
        <f>IF(Sheet1!E23="","",Sheet1!E23)</f>
        <v>46178</v>
      </c>
      <c r="F10" s="242" t="str">
        <f>IF(Sheet1!F23="","",Sheet1!F23)</f>
        <v/>
      </c>
      <c r="G10" s="242" t="str">
        <f>IF(Sheet1!G23="","",Sheet1!G23)</f>
        <v/>
      </c>
      <c r="H10" s="242" t="str">
        <f>IF(Sheet1!H23="","",Sheet1!H23)</f>
        <v/>
      </c>
      <c r="I10" s="242" t="str">
        <f>IF(Sheet1!I23="","",Sheet1!I23)</f>
        <v/>
      </c>
      <c r="J10" s="242" t="str">
        <f>IF(Sheet1!J23="","",Sheet1!J23)</f>
        <v/>
      </c>
      <c r="K10" s="242" t="str">
        <f>IF(Sheet1!K23="","",Sheet1!K23)</f>
        <v/>
      </c>
      <c r="L10" s="242" t="str">
        <f>IF(Sheet1!L23="","",Sheet1!L23)</f>
        <v/>
      </c>
      <c r="M10" s="242" t="str">
        <f>IF(Sheet1!M23="","",Sheet1!M23)</f>
        <v/>
      </c>
      <c r="N10" s="242" t="str">
        <f>IF(Sheet1!N23="","",Sheet1!N23)</f>
        <v/>
      </c>
      <c r="O10" s="242" t="str">
        <f>IF(Sheet1!O23="","",Sheet1!O23)</f>
        <v/>
      </c>
      <c r="P10" s="242" t="str">
        <f>IF(Sheet1!P23="","",Sheet1!P23)</f>
        <v/>
      </c>
      <c r="Q10" s="242" t="str">
        <f>IF(Sheet1!Q23="","",Sheet1!Q23)</f>
        <v/>
      </c>
      <c r="R10" s="242" t="str">
        <f>IF(Sheet1!R23="","",Sheet1!R23)</f>
        <v/>
      </c>
      <c r="S10" s="242" t="str">
        <f>IF(Sheet1!S23="","",Sheet1!S23)</f>
        <v/>
      </c>
    </row>
    <row r="11" spans="1:21">
      <c r="B11" t="s">
        <v>194</v>
      </c>
      <c r="D11" t="s">
        <v>1268</v>
      </c>
      <c r="E11" s="242">
        <f>IF(Sheet1!E24="","",Sheet1!E24)</f>
        <v>5.5600000000000004E-2</v>
      </c>
      <c r="F11" s="242" t="str">
        <f>IF(Sheet1!F24="","",Sheet1!F24)</f>
        <v>gross / spread</v>
      </c>
      <c r="G11" s="242">
        <f>IF(Sheet1!G24="","",Sheet1!G24)</f>
        <v>7.1800000000000003E-2</v>
      </c>
      <c r="H11" s="242">
        <f>IF(Sheet1!H24="","",Sheet1!H24)</f>
        <v>1.6199999999999999E-2</v>
      </c>
      <c r="I11" s="242" t="str">
        <f>IF(Sheet1!I24="","",Sheet1!I24)</f>
        <v/>
      </c>
      <c r="J11" s="242" t="str">
        <f>IF(Sheet1!J24="","",Sheet1!J24)</f>
        <v/>
      </c>
      <c r="K11" s="242" t="str">
        <f>IF(Sheet1!K24="","",Sheet1!K24)</f>
        <v/>
      </c>
      <c r="L11" s="242" t="str">
        <f>IF(Sheet1!L24="","",Sheet1!L24)</f>
        <v/>
      </c>
      <c r="M11" s="242" t="str">
        <f>IF(Sheet1!M24="","",Sheet1!M24)</f>
        <v/>
      </c>
      <c r="N11" s="242" t="str">
        <f>IF(Sheet1!N24="","",Sheet1!N24)</f>
        <v/>
      </c>
      <c r="O11" s="242" t="str">
        <f>IF(Sheet1!O24="","",Sheet1!O24)</f>
        <v/>
      </c>
      <c r="P11" s="242" t="str">
        <f>IF(Sheet1!P24="","",Sheet1!P24)</f>
        <v/>
      </c>
      <c r="Q11" s="242" t="str">
        <f>IF(Sheet1!Q24="","",Sheet1!Q24)</f>
        <v/>
      </c>
      <c r="R11" s="242" t="str">
        <f>IF(Sheet1!R24="","",Sheet1!R24)</f>
        <v/>
      </c>
      <c r="S11" s="242" t="str">
        <f>IF(Sheet1!S24="","",Sheet1!S24)</f>
        <v/>
      </c>
    </row>
    <row r="12" spans="1:21">
      <c r="B12" t="s">
        <v>197</v>
      </c>
      <c r="D12" t="s">
        <v>1269</v>
      </c>
      <c r="E12" s="242">
        <f>IF(Sheet1!E25="","",Sheet1!E25)</f>
        <v>6.6900000000000001E-2</v>
      </c>
      <c r="F12" s="242" t="str">
        <f>IF(Sheet1!F25="","",Sheet1!F25)</f>
        <v/>
      </c>
      <c r="G12" s="242" t="str">
        <f>IF(Sheet1!G25="","",Sheet1!G25)</f>
        <v/>
      </c>
      <c r="H12" s="242" t="str">
        <f>IF(Sheet1!H25="","",Sheet1!H25)</f>
        <v/>
      </c>
      <c r="I12" s="242" t="str">
        <f>IF(Sheet1!I25="","",Sheet1!I25)</f>
        <v/>
      </c>
      <c r="J12" s="242" t="str">
        <f>IF(Sheet1!J25="","",Sheet1!J25)</f>
        <v/>
      </c>
      <c r="K12" s="242" t="str">
        <f>IF(Sheet1!K25="","",Sheet1!K25)</f>
        <v/>
      </c>
      <c r="L12" s="242" t="str">
        <f>IF(Sheet1!L25="","",Sheet1!L25)</f>
        <v/>
      </c>
      <c r="M12" s="242" t="str">
        <f>IF(Sheet1!M25="","",Sheet1!M25)</f>
        <v/>
      </c>
      <c r="N12" s="242" t="str">
        <f>IF(Sheet1!N25="","",Sheet1!N25)</f>
        <v/>
      </c>
      <c r="O12" s="242" t="str">
        <f>IF(Sheet1!O25="","",Sheet1!O25)</f>
        <v/>
      </c>
      <c r="P12" s="242" t="str">
        <f>IF(Sheet1!P25="","",Sheet1!P25)</f>
        <v/>
      </c>
      <c r="Q12" s="242" t="str">
        <f>IF(Sheet1!Q25="","",Sheet1!Q25)</f>
        <v/>
      </c>
      <c r="R12" s="242" t="str">
        <f>IF(Sheet1!R25="","",Sheet1!R25)</f>
        <v/>
      </c>
      <c r="S12" s="242" t="str">
        <f>IF(Sheet1!S25="","",Sheet1!S25)</f>
        <v/>
      </c>
    </row>
    <row r="13" spans="1:21">
      <c r="B13" t="s">
        <v>199</v>
      </c>
      <c r="D13" t="s">
        <v>1270</v>
      </c>
      <c r="E13" s="242">
        <f>IF(Sheet1!E26="","",Sheet1!E26)</f>
        <v>0.75880000000000003</v>
      </c>
      <c r="F13" s="242" t="str">
        <f>IF(Sheet1!F26="","",Sheet1!F26)</f>
        <v/>
      </c>
      <c r="G13" s="242" t="str">
        <f>IF(Sheet1!G26="","",Sheet1!G26)</f>
        <v/>
      </c>
      <c r="H13" s="242" t="str">
        <f>IF(Sheet1!H26="","",Sheet1!H26)</f>
        <v/>
      </c>
      <c r="I13" s="242" t="str">
        <f>IF(Sheet1!I26="","",Sheet1!I26)</f>
        <v/>
      </c>
      <c r="J13" s="242" t="str">
        <f>IF(Sheet1!J26="","",Sheet1!J26)</f>
        <v/>
      </c>
      <c r="K13" s="242" t="str">
        <f>IF(Sheet1!K26="","",Sheet1!K26)</f>
        <v/>
      </c>
      <c r="L13" s="242" t="str">
        <f>IF(Sheet1!L26="","",Sheet1!L26)</f>
        <v/>
      </c>
      <c r="M13" s="242" t="str">
        <f>IF(Sheet1!M26="","",Sheet1!M26)</f>
        <v/>
      </c>
      <c r="N13" s="242" t="str">
        <f>IF(Sheet1!N26="","",Sheet1!N26)</f>
        <v/>
      </c>
      <c r="O13" s="242" t="str">
        <f>IF(Sheet1!O26="","",Sheet1!O26)</f>
        <v/>
      </c>
      <c r="P13" s="242" t="str">
        <f>IF(Sheet1!P26="","",Sheet1!P26)</f>
        <v/>
      </c>
      <c r="Q13" s="242" t="str">
        <f>IF(Sheet1!Q26="","",Sheet1!Q26)</f>
        <v/>
      </c>
      <c r="R13" s="242" t="str">
        <f>IF(Sheet1!R26="","",Sheet1!R26)</f>
        <v/>
      </c>
      <c r="S13" s="242" t="str">
        <f>IF(Sheet1!S26="","",Sheet1!S26)</f>
        <v/>
      </c>
    </row>
    <row r="14" spans="1:21">
      <c r="B14" t="s">
        <v>202</v>
      </c>
      <c r="D14" t="s">
        <v>1271</v>
      </c>
      <c r="E14" s="242">
        <f>IF(Sheet1!E27="","",Sheet1!E27)</f>
        <v>0</v>
      </c>
      <c r="F14" s="242" t="str">
        <f>IF(Sheet1!F27="","",Sheet1!F27)</f>
        <v/>
      </c>
      <c r="G14" s="242" t="str">
        <f>IF(Sheet1!G27="","",Sheet1!G27)</f>
        <v/>
      </c>
      <c r="H14" s="242" t="str">
        <f>IF(Sheet1!H27="","",Sheet1!H27)</f>
        <v/>
      </c>
      <c r="I14" s="242" t="str">
        <f>IF(Sheet1!I27="","",Sheet1!I27)</f>
        <v/>
      </c>
      <c r="J14" s="242" t="str">
        <f>IF(Sheet1!J27="","",Sheet1!J27)</f>
        <v/>
      </c>
      <c r="K14" s="242" t="str">
        <f>IF(Sheet1!K27="","",Sheet1!K27)</f>
        <v/>
      </c>
      <c r="L14" s="242" t="str">
        <f>IF(Sheet1!L27="","",Sheet1!L27)</f>
        <v/>
      </c>
      <c r="M14" s="242" t="str">
        <f>IF(Sheet1!M27="","",Sheet1!M27)</f>
        <v/>
      </c>
      <c r="N14" s="242" t="str">
        <f>IF(Sheet1!N27="","",Sheet1!N27)</f>
        <v/>
      </c>
      <c r="O14" s="242" t="str">
        <f>IF(Sheet1!O27="","",Sheet1!O27)</f>
        <v/>
      </c>
      <c r="P14" s="242" t="str">
        <f>IF(Sheet1!P27="","",Sheet1!P27)</f>
        <v/>
      </c>
      <c r="Q14" s="242" t="str">
        <f>IF(Sheet1!Q27="","",Sheet1!Q27)</f>
        <v/>
      </c>
      <c r="R14" s="242" t="str">
        <f>IF(Sheet1!R27="","",Sheet1!R27)</f>
        <v/>
      </c>
      <c r="S14" s="242" t="str">
        <f>IF(Sheet1!S27="","",Sheet1!S27)</f>
        <v/>
      </c>
    </row>
    <row r="15" spans="1:21">
      <c r="B15" t="s">
        <v>204</v>
      </c>
      <c r="D15" t="s">
        <v>1240</v>
      </c>
      <c r="E15" s="242">
        <f>IF(Sheet1!E28="","",Sheet1!E28)</f>
        <v>0.11229724000000002</v>
      </c>
      <c r="F15" s="242" t="str">
        <f>IF(Sheet1!F28="","",Sheet1!F28)</f>
        <v/>
      </c>
      <c r="G15" s="242" t="str">
        <f>IF(Sheet1!G28="","",Sheet1!G28)</f>
        <v/>
      </c>
      <c r="H15" s="242" t="str">
        <f>IF(Sheet1!H28="","",Sheet1!H28)</f>
        <v/>
      </c>
      <c r="I15" s="242" t="str">
        <f>IF(Sheet1!I28="","",Sheet1!I28)</f>
        <v/>
      </c>
      <c r="J15" s="242" t="str">
        <f>IF(Sheet1!J28="","",Sheet1!J28)</f>
        <v/>
      </c>
      <c r="K15" s="242" t="str">
        <f>IF(Sheet1!K28="","",Sheet1!K28)</f>
        <v/>
      </c>
      <c r="L15" s="242" t="str">
        <f>IF(Sheet1!L28="","",Sheet1!L28)</f>
        <v/>
      </c>
      <c r="M15" s="242" t="str">
        <f>IF(Sheet1!M28="","",Sheet1!M28)</f>
        <v/>
      </c>
      <c r="N15" s="242" t="str">
        <f>IF(Sheet1!N28="","",Sheet1!N28)</f>
        <v/>
      </c>
      <c r="O15" s="242" t="str">
        <f>IF(Sheet1!O28="","",Sheet1!O28)</f>
        <v/>
      </c>
      <c r="P15" s="242" t="str">
        <f>IF(Sheet1!P28="","",Sheet1!P28)</f>
        <v/>
      </c>
      <c r="Q15" s="242" t="str">
        <f>IF(Sheet1!Q28="","",Sheet1!Q28)</f>
        <v/>
      </c>
      <c r="R15" s="242" t="str">
        <f>IF(Sheet1!R28="","",Sheet1!R28)</f>
        <v/>
      </c>
      <c r="S15" s="242" t="str">
        <f>IF(Sheet1!S28="","",Sheet1!S28)</f>
        <v/>
      </c>
    </row>
    <row r="16" spans="1:21">
      <c r="B16" t="s">
        <v>205</v>
      </c>
      <c r="D16" t="s">
        <v>1272</v>
      </c>
      <c r="E16" s="242">
        <f>IF(Sheet1!E29="","",Sheet1!E29)</f>
        <v>0.33333333333333298</v>
      </c>
      <c r="F16" s="242" t="str">
        <f>IF(Sheet1!F29="","",Sheet1!F29)</f>
        <v/>
      </c>
      <c r="G16" s="242" t="str">
        <f>IF(Sheet1!G29="","",Sheet1!G29)</f>
        <v/>
      </c>
      <c r="H16" s="242" t="str">
        <f>IF(Sheet1!H29="","",Sheet1!H29)</f>
        <v/>
      </c>
      <c r="I16" s="242" t="str">
        <f>IF(Sheet1!I29="","",Sheet1!I29)</f>
        <v/>
      </c>
      <c r="J16" s="242" t="str">
        <f>IF(Sheet1!J29="","",Sheet1!J29)</f>
        <v/>
      </c>
      <c r="K16" s="242" t="str">
        <f>IF(Sheet1!K29="","",Sheet1!K29)</f>
        <v/>
      </c>
      <c r="L16" s="242" t="str">
        <f>IF(Sheet1!L29="","",Sheet1!L29)</f>
        <v/>
      </c>
      <c r="M16" s="242" t="str">
        <f>IF(Sheet1!M29="","",Sheet1!M29)</f>
        <v/>
      </c>
      <c r="N16" s="242" t="str">
        <f>IF(Sheet1!N29="","",Sheet1!N29)</f>
        <v/>
      </c>
      <c r="O16" s="242" t="str">
        <f>IF(Sheet1!O29="","",Sheet1!O29)</f>
        <v/>
      </c>
      <c r="P16" s="242" t="str">
        <f>IF(Sheet1!P29="","",Sheet1!P29)</f>
        <v/>
      </c>
      <c r="Q16" s="242" t="str">
        <f>IF(Sheet1!Q29="","",Sheet1!Q29)</f>
        <v/>
      </c>
      <c r="R16" s="242" t="str">
        <f>IF(Sheet1!R29="","",Sheet1!R29)</f>
        <v/>
      </c>
      <c r="S16" s="242" t="str">
        <f>IF(Sheet1!S29="","",Sheet1!S29)</f>
        <v/>
      </c>
    </row>
    <row r="17" spans="2:19">
      <c r="B17" t="s">
        <v>1273</v>
      </c>
      <c r="D17" t="s">
        <v>1274</v>
      </c>
      <c r="E17" s="242">
        <f>IF(Sheet1!E30="","",Sheet1!E30)</f>
        <v>0.04</v>
      </c>
      <c r="F17" s="242">
        <f>IF(Sheet1!F30="","",Sheet1!F30)</f>
        <v>4.4999999999999998E-2</v>
      </c>
      <c r="G17" s="242">
        <f>IF(Sheet1!G30="","",Sheet1!G30)</f>
        <v>0.05</v>
      </c>
      <c r="H17" s="242" t="str">
        <f>IF(Sheet1!H30="","",Sheet1!H30)</f>
        <v/>
      </c>
      <c r="I17" s="242" t="str">
        <f>IF(Sheet1!I30="","",Sheet1!I30)</f>
        <v/>
      </c>
      <c r="J17" s="242" t="str">
        <f>IF(Sheet1!J30="","",Sheet1!J30)</f>
        <v/>
      </c>
      <c r="K17" s="242" t="str">
        <f>IF(Sheet1!K30="","",Sheet1!K30)</f>
        <v/>
      </c>
      <c r="L17" s="242" t="str">
        <f>IF(Sheet1!L30="","",Sheet1!L30)</f>
        <v/>
      </c>
      <c r="M17" s="242" t="str">
        <f>IF(Sheet1!M30="","",Sheet1!M30)</f>
        <v/>
      </c>
      <c r="N17" s="242" t="str">
        <f>IF(Sheet1!N30="","",Sheet1!N30)</f>
        <v/>
      </c>
      <c r="O17" s="242" t="str">
        <f>IF(Sheet1!O30="","",Sheet1!O30)</f>
        <v/>
      </c>
      <c r="P17" s="242" t="str">
        <f>IF(Sheet1!P30="","",Sheet1!P30)</f>
        <v/>
      </c>
      <c r="Q17" s="242" t="str">
        <f>IF(Sheet1!Q30="","",Sheet1!Q30)</f>
        <v/>
      </c>
      <c r="R17" s="242" t="str">
        <f>IF(Sheet1!R30="","",Sheet1!R30)</f>
        <v/>
      </c>
      <c r="S17" s="242" t="str">
        <f>IF(Sheet1!S30="","",Sheet1!S30)</f>
        <v/>
      </c>
    </row>
    <row r="18" spans="2:19">
      <c r="B18" t="s">
        <v>208</v>
      </c>
      <c r="D18" t="s">
        <v>1275</v>
      </c>
      <c r="E18" s="242">
        <f>IF(Sheet1!E31="","",Sheet1!E31)</f>
        <v>4.4999999999999998E-2</v>
      </c>
      <c r="F18" s="242" t="str">
        <f>IF(Sheet1!F31="","",Sheet1!F31)</f>
        <v/>
      </c>
      <c r="G18" s="242" t="str">
        <f>IF(Sheet1!G31="","",Sheet1!G31)</f>
        <v/>
      </c>
      <c r="H18" s="242" t="str">
        <f>IF(Sheet1!H31="","",Sheet1!H31)</f>
        <v/>
      </c>
      <c r="I18" s="242" t="str">
        <f>IF(Sheet1!I31="","",Sheet1!I31)</f>
        <v/>
      </c>
      <c r="J18" s="242" t="str">
        <f>IF(Sheet1!J31="","",Sheet1!J31)</f>
        <v/>
      </c>
      <c r="K18" s="242" t="str">
        <f>IF(Sheet1!K31="","",Sheet1!K31)</f>
        <v/>
      </c>
      <c r="L18" s="242" t="str">
        <f>IF(Sheet1!L31="","",Sheet1!L31)</f>
        <v/>
      </c>
      <c r="M18" s="242" t="str">
        <f>IF(Sheet1!M31="","",Sheet1!M31)</f>
        <v/>
      </c>
      <c r="N18" s="242" t="str">
        <f>IF(Sheet1!N31="","",Sheet1!N31)</f>
        <v/>
      </c>
      <c r="O18" s="242" t="str">
        <f>IF(Sheet1!O31="","",Sheet1!O31)</f>
        <v/>
      </c>
      <c r="P18" s="242" t="str">
        <f>IF(Sheet1!P31="","",Sheet1!P31)</f>
        <v/>
      </c>
      <c r="Q18" s="242" t="str">
        <f>IF(Sheet1!Q31="","",Sheet1!Q31)</f>
        <v/>
      </c>
      <c r="R18" s="242" t="str">
        <f>IF(Sheet1!R31="","",Sheet1!R31)</f>
        <v/>
      </c>
      <c r="S18" s="242" t="str">
        <f>IF(Sheet1!S31="","",Sheet1!S31)</f>
        <v/>
      </c>
    </row>
    <row r="19" spans="2:19">
      <c r="B19" t="s">
        <v>1276</v>
      </c>
      <c r="D19" t="s">
        <v>1277</v>
      </c>
      <c r="E19" s="242">
        <f>IF(Sheet1!E32="","",Sheet1!E32)</f>
        <v>0</v>
      </c>
      <c r="F19" s="242">
        <f>IF(Sheet1!F32="","",Sheet1!F32)</f>
        <v>0</v>
      </c>
      <c r="G19" s="242">
        <f>IF(Sheet1!G32="","",Sheet1!G32)</f>
        <v>0</v>
      </c>
      <c r="H19" s="242" t="str">
        <f>IF(Sheet1!H32="","",Sheet1!H32)</f>
        <v/>
      </c>
      <c r="I19" s="242" t="str">
        <f>IF(Sheet1!I32="","",Sheet1!I32)</f>
        <v/>
      </c>
      <c r="J19" s="242" t="str">
        <f>IF(Sheet1!J32="","",Sheet1!J32)</f>
        <v/>
      </c>
      <c r="K19" s="242" t="str">
        <f>IF(Sheet1!K32="","",Sheet1!K32)</f>
        <v/>
      </c>
      <c r="L19" s="242" t="str">
        <f>IF(Sheet1!L32="","",Sheet1!L32)</f>
        <v/>
      </c>
      <c r="M19" s="242" t="str">
        <f>IF(Sheet1!M32="","",Sheet1!M32)</f>
        <v/>
      </c>
      <c r="N19" s="242" t="str">
        <f>IF(Sheet1!N32="","",Sheet1!N32)</f>
        <v/>
      </c>
      <c r="O19" s="242" t="str">
        <f>IF(Sheet1!O32="","",Sheet1!O32)</f>
        <v/>
      </c>
      <c r="P19" s="242" t="str">
        <f>IF(Sheet1!P32="","",Sheet1!P32)</f>
        <v/>
      </c>
      <c r="Q19" s="242" t="str">
        <f>IF(Sheet1!Q32="","",Sheet1!Q32)</f>
        <v/>
      </c>
      <c r="R19" s="242" t="str">
        <f>IF(Sheet1!R32="","",Sheet1!R32)</f>
        <v/>
      </c>
      <c r="S19" s="242" t="str">
        <f>IF(Sheet1!S32="","",Sheet1!S32)</f>
        <v/>
      </c>
    </row>
    <row r="20" spans="2:19">
      <c r="B20" t="s">
        <v>211</v>
      </c>
      <c r="D20" t="s">
        <v>1278</v>
      </c>
      <c r="E20" s="242">
        <f>IF(Sheet1!E33="","",Sheet1!E33)</f>
        <v>0</v>
      </c>
      <c r="F20" s="242" t="str">
        <f>IF(Sheet1!F33="","",Sheet1!F33)</f>
        <v/>
      </c>
      <c r="G20" s="242" t="str">
        <f>IF(Sheet1!G33="","",Sheet1!G33)</f>
        <v/>
      </c>
      <c r="H20" s="242" t="str">
        <f>IF(Sheet1!H33="","",Sheet1!H33)</f>
        <v/>
      </c>
      <c r="I20" s="242" t="str">
        <f>IF(Sheet1!I33="","",Sheet1!I33)</f>
        <v/>
      </c>
      <c r="J20" s="242" t="str">
        <f>IF(Sheet1!J33="","",Sheet1!J33)</f>
        <v/>
      </c>
      <c r="K20" s="242" t="str">
        <f>IF(Sheet1!K33="","",Sheet1!K33)</f>
        <v/>
      </c>
      <c r="L20" s="242" t="str">
        <f>IF(Sheet1!L33="","",Sheet1!L33)</f>
        <v/>
      </c>
      <c r="M20" s="242" t="str">
        <f>IF(Sheet1!M33="","",Sheet1!M33)</f>
        <v/>
      </c>
      <c r="N20" s="242" t="str">
        <f>IF(Sheet1!N33="","",Sheet1!N33)</f>
        <v/>
      </c>
      <c r="O20" s="242" t="str">
        <f>IF(Sheet1!O33="","",Sheet1!O33)</f>
        <v/>
      </c>
      <c r="P20" s="242" t="str">
        <f>IF(Sheet1!P33="","",Sheet1!P33)</f>
        <v/>
      </c>
      <c r="Q20" s="242" t="str">
        <f>IF(Sheet1!Q33="","",Sheet1!Q33)</f>
        <v/>
      </c>
      <c r="R20" s="242" t="str">
        <f>IF(Sheet1!R33="","",Sheet1!R33)</f>
        <v/>
      </c>
      <c r="S20" s="242" t="str">
        <f>IF(Sheet1!S33="","",Sheet1!S33)</f>
        <v/>
      </c>
    </row>
    <row r="21" spans="2:19">
      <c r="B21" t="s">
        <v>212</v>
      </c>
      <c r="D21" t="s">
        <v>1241</v>
      </c>
      <c r="E21" s="242">
        <f>IF(Sheet1!E34="","",Sheet1!E34)</f>
        <v>0.11229724000000002</v>
      </c>
      <c r="F21" s="242" t="str">
        <f>IF(Sheet1!F34="","",Sheet1!F34)</f>
        <v/>
      </c>
      <c r="G21" s="242" t="str">
        <f>IF(Sheet1!G34="","",Sheet1!G34)</f>
        <v/>
      </c>
      <c r="H21" s="242" t="str">
        <f>IF(Sheet1!H34="","",Sheet1!H34)</f>
        <v/>
      </c>
      <c r="I21" s="242" t="str">
        <f>IF(Sheet1!I34="","",Sheet1!I34)</f>
        <v/>
      </c>
      <c r="J21" s="242" t="str">
        <f>IF(Sheet1!J34="","",Sheet1!J34)</f>
        <v/>
      </c>
      <c r="K21" s="242" t="str">
        <f>IF(Sheet1!K34="","",Sheet1!K34)</f>
        <v/>
      </c>
      <c r="L21" s="242" t="str">
        <f>IF(Sheet1!L34="","",Sheet1!L34)</f>
        <v/>
      </c>
      <c r="M21" s="242" t="str">
        <f>IF(Sheet1!M34="","",Sheet1!M34)</f>
        <v/>
      </c>
      <c r="N21" s="242" t="str">
        <f>IF(Sheet1!N34="","",Sheet1!N34)</f>
        <v/>
      </c>
      <c r="O21" s="242" t="str">
        <f>IF(Sheet1!O34="","",Sheet1!O34)</f>
        <v/>
      </c>
      <c r="P21" s="242" t="str">
        <f>IF(Sheet1!P34="","",Sheet1!P34)</f>
        <v/>
      </c>
      <c r="Q21" s="242" t="str">
        <f>IF(Sheet1!Q34="","",Sheet1!Q34)</f>
        <v/>
      </c>
      <c r="R21" s="242" t="str">
        <f>IF(Sheet1!R34="","",Sheet1!R34)</f>
        <v/>
      </c>
      <c r="S21" s="242" t="str">
        <f>IF(Sheet1!S34="","",Sheet1!S34)</f>
        <v/>
      </c>
    </row>
    <row r="22" spans="2:19">
      <c r="B22" t="s">
        <v>213</v>
      </c>
      <c r="D22" t="s">
        <v>1242</v>
      </c>
      <c r="E22" s="242">
        <f>IF(Sheet1!E35="","",Sheet1!E35)</f>
        <v>0.2</v>
      </c>
      <c r="F22" s="242" t="str">
        <f>IF(Sheet1!F35="","",Sheet1!F35)</f>
        <v/>
      </c>
      <c r="G22" s="242" t="str">
        <f>IF(Sheet1!G35="","",Sheet1!G35)</f>
        <v/>
      </c>
      <c r="H22" s="242" t="str">
        <f>IF(Sheet1!H35="","",Sheet1!H35)</f>
        <v/>
      </c>
      <c r="I22" s="242" t="str">
        <f>IF(Sheet1!I35="","",Sheet1!I35)</f>
        <v/>
      </c>
      <c r="J22" s="242" t="str">
        <f>IF(Sheet1!J35="","",Sheet1!J35)</f>
        <v/>
      </c>
      <c r="K22" s="242" t="str">
        <f>IF(Sheet1!K35="","",Sheet1!K35)</f>
        <v/>
      </c>
      <c r="L22" s="242" t="str">
        <f>IF(Sheet1!L35="","",Sheet1!L35)</f>
        <v/>
      </c>
      <c r="M22" s="242" t="str">
        <f>IF(Sheet1!M35="","",Sheet1!M35)</f>
        <v/>
      </c>
      <c r="N22" s="242" t="str">
        <f>IF(Sheet1!N35="","",Sheet1!N35)</f>
        <v/>
      </c>
      <c r="O22" s="242" t="str">
        <f>IF(Sheet1!O35="","",Sheet1!O35)</f>
        <v/>
      </c>
      <c r="P22" s="242" t="str">
        <f>IF(Sheet1!P35="","",Sheet1!P35)</f>
        <v/>
      </c>
      <c r="Q22" s="242" t="str">
        <f>IF(Sheet1!Q35="","",Sheet1!Q35)</f>
        <v/>
      </c>
      <c r="R22" s="242" t="str">
        <f>IF(Sheet1!R35="","",Sheet1!R35)</f>
        <v/>
      </c>
      <c r="S22" s="242" t="str">
        <f>IF(Sheet1!S35="","",Sheet1!S35)</f>
        <v/>
      </c>
    </row>
    <row r="23" spans="2:19">
      <c r="B23" t="s">
        <v>215</v>
      </c>
      <c r="D23" t="s">
        <v>1279</v>
      </c>
      <c r="E23" s="242">
        <f>IF(Sheet1!E36="","",Sheet1!E36)</f>
        <v>0.13489999999999999</v>
      </c>
      <c r="F23" s="242" t="str">
        <f>IF(Sheet1!F36="","",Sheet1!F36)</f>
        <v/>
      </c>
      <c r="G23" s="242" t="str">
        <f>IF(Sheet1!G36="","",Sheet1!G36)</f>
        <v/>
      </c>
      <c r="H23" s="242" t="str">
        <f>IF(Sheet1!H36="","",Sheet1!H36)</f>
        <v/>
      </c>
      <c r="I23" s="242" t="str">
        <f>IF(Sheet1!I36="","",Sheet1!I36)</f>
        <v/>
      </c>
      <c r="J23" s="242" t="str">
        <f>IF(Sheet1!J36="","",Sheet1!J36)</f>
        <v/>
      </c>
      <c r="K23" s="242" t="str">
        <f>IF(Sheet1!K36="","",Sheet1!K36)</f>
        <v/>
      </c>
      <c r="L23" s="242" t="str">
        <f>IF(Sheet1!L36="","",Sheet1!L36)</f>
        <v/>
      </c>
      <c r="M23" s="242" t="str">
        <f>IF(Sheet1!M36="","",Sheet1!M36)</f>
        <v/>
      </c>
      <c r="N23" s="242" t="str">
        <f>IF(Sheet1!N36="","",Sheet1!N36)</f>
        <v/>
      </c>
      <c r="O23" s="242" t="str">
        <f>IF(Sheet1!O36="","",Sheet1!O36)</f>
        <v/>
      </c>
      <c r="P23" s="242" t="str">
        <f>IF(Sheet1!P36="","",Sheet1!P36)</f>
        <v/>
      </c>
      <c r="Q23" s="242" t="str">
        <f>IF(Sheet1!Q36="","",Sheet1!Q36)</f>
        <v/>
      </c>
      <c r="R23" s="242" t="str">
        <f>IF(Sheet1!R36="","",Sheet1!R36)</f>
        <v/>
      </c>
      <c r="S23" s="242" t="str">
        <f>IF(Sheet1!S36="","",Sheet1!S36)</f>
        <v/>
      </c>
    </row>
    <row r="24" spans="2:19">
      <c r="B24" t="s">
        <v>217</v>
      </c>
      <c r="D24" t="s">
        <v>1280</v>
      </c>
      <c r="E24" s="242">
        <f>IF(Sheet1!E37="","",Sheet1!E37)</f>
        <v>0.92</v>
      </c>
      <c r="F24" s="242" t="str">
        <f>IF(Sheet1!F37="","",Sheet1!F37)</f>
        <v/>
      </c>
      <c r="G24" s="242" t="str">
        <f>IF(Sheet1!G37="","",Sheet1!G37)</f>
        <v/>
      </c>
      <c r="H24" s="242" t="str">
        <f>IF(Sheet1!H37="","",Sheet1!H37)</f>
        <v/>
      </c>
      <c r="I24" s="242" t="str">
        <f>IF(Sheet1!I37="","",Sheet1!I37)</f>
        <v/>
      </c>
      <c r="J24" s="242" t="str">
        <f>IF(Sheet1!J37="","",Sheet1!J37)</f>
        <v/>
      </c>
      <c r="K24" s="242" t="str">
        <f>IF(Sheet1!K37="","",Sheet1!K37)</f>
        <v/>
      </c>
      <c r="L24" s="242" t="str">
        <f>IF(Sheet1!L37="","",Sheet1!L37)</f>
        <v/>
      </c>
      <c r="M24" s="242" t="str">
        <f>IF(Sheet1!M37="","",Sheet1!M37)</f>
        <v/>
      </c>
      <c r="N24" s="242" t="str">
        <f>IF(Sheet1!N37="","",Sheet1!N37)</f>
        <v/>
      </c>
      <c r="O24" s="242" t="str">
        <f>IF(Sheet1!O37="","",Sheet1!O37)</f>
        <v/>
      </c>
      <c r="P24" s="242" t="str">
        <f>IF(Sheet1!P37="","",Sheet1!P37)</f>
        <v/>
      </c>
      <c r="Q24" s="242" t="str">
        <f>IF(Sheet1!Q37="","",Sheet1!Q37)</f>
        <v/>
      </c>
      <c r="R24" s="242" t="str">
        <f>IF(Sheet1!R37="","",Sheet1!R37)</f>
        <v/>
      </c>
      <c r="S24" s="242" t="str">
        <f>IF(Sheet1!S37="","",Sheet1!S37)</f>
        <v/>
      </c>
    </row>
    <row r="25" spans="2:19">
      <c r="B25" t="s">
        <v>218</v>
      </c>
      <c r="D25" t="s">
        <v>1281</v>
      </c>
      <c r="E25" s="242">
        <f>IF(Sheet1!E38="","",Sheet1!E38)</f>
        <v>7.4999999999999997E-2</v>
      </c>
      <c r="F25" s="242" t="str">
        <f>IF(Sheet1!F38="","",Sheet1!F38)</f>
        <v/>
      </c>
      <c r="G25" s="242" t="str">
        <f>IF(Sheet1!G38="","",Sheet1!G38)</f>
        <v/>
      </c>
      <c r="H25" s="242" t="str">
        <f>IF(Sheet1!H38="","",Sheet1!H38)</f>
        <v/>
      </c>
      <c r="I25" s="242" t="str">
        <f>IF(Sheet1!I38="","",Sheet1!I38)</f>
        <v/>
      </c>
      <c r="J25" s="242" t="str">
        <f>IF(Sheet1!J38="","",Sheet1!J38)</f>
        <v/>
      </c>
      <c r="K25" s="242" t="str">
        <f>IF(Sheet1!K38="","",Sheet1!K38)</f>
        <v/>
      </c>
      <c r="L25" s="242" t="str">
        <f>IF(Sheet1!L38="","",Sheet1!L38)</f>
        <v/>
      </c>
      <c r="M25" s="242" t="str">
        <f>IF(Sheet1!M38="","",Sheet1!M38)</f>
        <v/>
      </c>
      <c r="N25" s="242" t="str">
        <f>IF(Sheet1!N38="","",Sheet1!N38)</f>
        <v/>
      </c>
      <c r="O25" s="242" t="str">
        <f>IF(Sheet1!O38="","",Sheet1!O38)</f>
        <v/>
      </c>
      <c r="P25" s="242" t="str">
        <f>IF(Sheet1!P38="","",Sheet1!P38)</f>
        <v/>
      </c>
      <c r="Q25" s="242" t="str">
        <f>IF(Sheet1!Q38="","",Sheet1!Q38)</f>
        <v/>
      </c>
      <c r="R25" s="242" t="str">
        <f>IF(Sheet1!R38="","",Sheet1!R38)</f>
        <v/>
      </c>
      <c r="S25" s="242" t="str">
        <f>IF(Sheet1!S38="","",Sheet1!S38)</f>
        <v/>
      </c>
    </row>
    <row r="26" spans="2:19">
      <c r="B26" t="s">
        <v>1282</v>
      </c>
      <c r="D26" t="s">
        <v>1283</v>
      </c>
      <c r="E26" s="242">
        <f>IF(Sheet1!E39="","",Sheet1!E39)</f>
        <v>0</v>
      </c>
      <c r="F26" s="242">
        <f>IF(Sheet1!F39="","",Sheet1!F39)</f>
        <v>0.02</v>
      </c>
      <c r="G26" s="242">
        <f>IF(Sheet1!G39="","",Sheet1!G39)</f>
        <v>0.04</v>
      </c>
      <c r="H26" s="242" t="str">
        <f>IF(Sheet1!H39="","",Sheet1!H39)</f>
        <v/>
      </c>
      <c r="I26" s="242" t="str">
        <f>IF(Sheet1!I39="","",Sheet1!I39)</f>
        <v/>
      </c>
      <c r="J26" s="242" t="str">
        <f>IF(Sheet1!J39="","",Sheet1!J39)</f>
        <v/>
      </c>
      <c r="K26" s="242" t="str">
        <f>IF(Sheet1!K39="","",Sheet1!K39)</f>
        <v/>
      </c>
      <c r="L26" s="242" t="str">
        <f>IF(Sheet1!L39="","",Sheet1!L39)</f>
        <v/>
      </c>
      <c r="M26" s="242" t="str">
        <f>IF(Sheet1!M39="","",Sheet1!M39)</f>
        <v/>
      </c>
      <c r="N26" s="242" t="str">
        <f>IF(Sheet1!N39="","",Sheet1!N39)</f>
        <v/>
      </c>
      <c r="O26" s="242" t="str">
        <f>IF(Sheet1!O39="","",Sheet1!O39)</f>
        <v/>
      </c>
      <c r="P26" s="242" t="str">
        <f>IF(Sheet1!P39="","",Sheet1!P39)</f>
        <v/>
      </c>
      <c r="Q26" s="242" t="str">
        <f>IF(Sheet1!Q39="","",Sheet1!Q39)</f>
        <v/>
      </c>
      <c r="R26" s="242" t="str">
        <f>IF(Sheet1!R39="","",Sheet1!R39)</f>
        <v/>
      </c>
      <c r="S26" s="242" t="str">
        <f>IF(Sheet1!S39="","",Sheet1!S39)</f>
        <v/>
      </c>
    </row>
    <row r="27" spans="2:19" ht="20.100000000000001" customHeight="1">
      <c r="B27" s="3" t="s">
        <v>1393</v>
      </c>
      <c r="C27" s="3"/>
      <c r="D27" s="3"/>
      <c r="E27" s="2"/>
      <c r="F27" s="2"/>
      <c r="G27" s="2"/>
      <c r="H27" s="2"/>
      <c r="I27" s="2"/>
      <c r="J27" s="2"/>
      <c r="K27" s="2"/>
      <c r="L27" s="2"/>
      <c r="M27" s="2"/>
      <c r="N27" s="2"/>
      <c r="O27" s="2"/>
      <c r="P27" s="2"/>
      <c r="Q27" s="2"/>
      <c r="R27" s="2"/>
      <c r="S27" s="2"/>
    </row>
    <row r="28" spans="2:19">
      <c r="B28" t="s">
        <v>222</v>
      </c>
      <c r="D28" t="s">
        <v>1394</v>
      </c>
      <c r="E28" s="242" t="str">
        <f>IF(Sheet1!E40="","",Sheet1!E40)</f>
        <v>FY21A</v>
      </c>
      <c r="F28" s="242" t="str">
        <f>IF(Sheet1!F40="","",Sheet1!F40)</f>
        <v>FY22A</v>
      </c>
      <c r="G28" s="242" t="str">
        <f>IF(Sheet1!G40="","",Sheet1!G40)</f>
        <v>FY23A</v>
      </c>
      <c r="H28" s="242" t="str">
        <f>IF(Sheet1!H40="","",Sheet1!H40)</f>
        <v>FY24A</v>
      </c>
      <c r="I28" s="242" t="str">
        <f>IF(Sheet1!I40="","",Sheet1!I40)</f>
        <v>FY25A</v>
      </c>
      <c r="J28" s="242" t="str">
        <f>IF(Sheet1!J40="","",Sheet1!J40)</f>
        <v>FY26E</v>
      </c>
      <c r="K28" s="242" t="str">
        <f>IF(Sheet1!K40="","",Sheet1!K40)</f>
        <v>FY27E</v>
      </c>
      <c r="L28" s="242" t="str">
        <f>IF(Sheet1!L40="","",Sheet1!L40)</f>
        <v>FY28E</v>
      </c>
      <c r="M28" s="242" t="str">
        <f>IF(Sheet1!M40="","",Sheet1!M40)</f>
        <v>FY29E</v>
      </c>
      <c r="N28" s="242" t="str">
        <f>IF(Sheet1!N40="","",Sheet1!N40)</f>
        <v>FY30E</v>
      </c>
      <c r="O28" s="242" t="str">
        <f>IF(Sheet1!O40="","",Sheet1!O40)</f>
        <v>FY31E</v>
      </c>
      <c r="P28" s="242" t="str">
        <f>IF(Sheet1!P40="","",Sheet1!P40)</f>
        <v>FY32E</v>
      </c>
      <c r="Q28" s="242" t="str">
        <f>IF(Sheet1!Q40="","",Sheet1!Q40)</f>
        <v>FY33E</v>
      </c>
      <c r="R28" s="242" t="str">
        <f>IF(Sheet1!R40="","",Sheet1!R40)</f>
        <v>FY34E</v>
      </c>
      <c r="S28" s="242" t="str">
        <f>IF(Sheet1!S40="","",Sheet1!S40)</f>
        <v>FY35E</v>
      </c>
    </row>
    <row r="29" spans="2:19">
      <c r="B29" t="s">
        <v>1395</v>
      </c>
      <c r="D29" t="s">
        <v>1396</v>
      </c>
      <c r="E29" s="242" t="str">
        <f>IF(Sheet1!E41="","",Sheet1!E41)</f>
        <v/>
      </c>
      <c r="F29" s="242" t="str">
        <f>IF(Sheet1!F41="","",Sheet1!F41)</f>
        <v/>
      </c>
      <c r="G29" s="242" t="str">
        <f>IF(Sheet1!G41="","",Sheet1!G41)</f>
        <v/>
      </c>
      <c r="H29" s="242" t="str">
        <f>IF(Sheet1!H41="","",Sheet1!H41)</f>
        <v/>
      </c>
      <c r="I29" s="242" t="str">
        <f>IF(Sheet1!I41="","",Sheet1!I41)</f>
        <v/>
      </c>
      <c r="J29" s="242">
        <f>IF(Sheet1!J41="","",Sheet1!J41)</f>
        <v>6.25E-2</v>
      </c>
      <c r="K29" s="242">
        <f>IF(Sheet1!K41="","",Sheet1!K41)</f>
        <v>5.7500000000000002E-2</v>
      </c>
      <c r="L29" s="242">
        <f>IF(Sheet1!L41="","",Sheet1!L41)</f>
        <v>5.5E-2</v>
      </c>
      <c r="M29" s="242">
        <f>IF(Sheet1!M41="","",Sheet1!M41)</f>
        <v>5.2499999999999998E-2</v>
      </c>
      <c r="N29" s="242">
        <f>IF(Sheet1!N41="","",Sheet1!N41)</f>
        <v>0.05</v>
      </c>
      <c r="O29" s="242">
        <f>IF(Sheet1!O41="","",Sheet1!O41)</f>
        <v>0.05</v>
      </c>
      <c r="P29" s="242">
        <f>IF(Sheet1!P41="","",Sheet1!P41)</f>
        <v>0.05</v>
      </c>
      <c r="Q29" s="242">
        <f>IF(Sheet1!Q41="","",Sheet1!Q41)</f>
        <v>0.05</v>
      </c>
      <c r="R29" s="242">
        <f>IF(Sheet1!R41="","",Sheet1!R41)</f>
        <v>0.05</v>
      </c>
      <c r="S29" s="242">
        <f>IF(Sheet1!S41="","",Sheet1!S41)</f>
        <v>0.05</v>
      </c>
    </row>
    <row r="30" spans="2:19">
      <c r="B30" t="s">
        <v>1397</v>
      </c>
      <c r="D30" t="s">
        <v>1398</v>
      </c>
      <c r="E30" s="242" t="str">
        <f>IF(Sheet1!E42="","",Sheet1!E42)</f>
        <v/>
      </c>
      <c r="F30" s="242" t="str">
        <f>IF(Sheet1!F42="","",Sheet1!F42)</f>
        <v/>
      </c>
      <c r="G30" s="242" t="str">
        <f>IF(Sheet1!G42="","",Sheet1!G42)</f>
        <v/>
      </c>
      <c r="H30" s="242" t="str">
        <f>IF(Sheet1!H42="","",Sheet1!H42)</f>
        <v/>
      </c>
      <c r="I30" s="242" t="str">
        <f>IF(Sheet1!I42="","",Sheet1!I42)</f>
        <v/>
      </c>
      <c r="J30" s="242">
        <f>IF(Sheet1!J42="","",Sheet1!J42)</f>
        <v>5.7500000000000002E-2</v>
      </c>
      <c r="K30" s="242">
        <f>IF(Sheet1!K42="","",Sheet1!K42)</f>
        <v>5.2499999999999998E-2</v>
      </c>
      <c r="L30" s="242">
        <f>IF(Sheet1!L42="","",Sheet1!L42)</f>
        <v>4.7500000000000001E-2</v>
      </c>
      <c r="M30" s="242">
        <f>IF(Sheet1!M42="","",Sheet1!M42)</f>
        <v>4.4999999999999998E-2</v>
      </c>
      <c r="N30" s="242">
        <f>IF(Sheet1!N42="","",Sheet1!N42)</f>
        <v>4.4999999999999998E-2</v>
      </c>
      <c r="O30" s="242">
        <f>IF(Sheet1!O42="","",Sheet1!O42)</f>
        <v>4.4999999999999998E-2</v>
      </c>
      <c r="P30" s="242">
        <f>IF(Sheet1!P42="","",Sheet1!P42)</f>
        <v>4.4999999999999998E-2</v>
      </c>
      <c r="Q30" s="242">
        <f>IF(Sheet1!Q42="","",Sheet1!Q42)</f>
        <v>4.4999999999999998E-2</v>
      </c>
      <c r="R30" s="242">
        <f>IF(Sheet1!R42="","",Sheet1!R42)</f>
        <v>4.4999999999999998E-2</v>
      </c>
      <c r="S30" s="242">
        <f>IF(Sheet1!S42="","",Sheet1!S42)</f>
        <v>4.4999999999999998E-2</v>
      </c>
    </row>
    <row r="31" spans="2:19">
      <c r="B31" t="s">
        <v>1399</v>
      </c>
      <c r="D31" t="s">
        <v>1400</v>
      </c>
      <c r="E31" s="242" t="str">
        <f>IF(Sheet1!E43="","",Sheet1!E43)</f>
        <v/>
      </c>
      <c r="F31" s="242" t="str">
        <f>IF(Sheet1!F43="","",Sheet1!F43)</f>
        <v/>
      </c>
      <c r="G31" s="242" t="str">
        <f>IF(Sheet1!G43="","",Sheet1!G43)</f>
        <v/>
      </c>
      <c r="H31" s="242" t="str">
        <f>IF(Sheet1!H43="","",Sheet1!H43)</f>
        <v/>
      </c>
      <c r="I31" s="242" t="str">
        <f>IF(Sheet1!I43="","",Sheet1!I43)</f>
        <v/>
      </c>
      <c r="J31" s="242">
        <f>IF(Sheet1!J43="","",Sheet1!J43)</f>
        <v>5.2499999999999998E-2</v>
      </c>
      <c r="K31" s="242">
        <f>IF(Sheet1!K43="","",Sheet1!K43)</f>
        <v>4.7500000000000001E-2</v>
      </c>
      <c r="L31" s="242">
        <f>IF(Sheet1!L43="","",Sheet1!L43)</f>
        <v>4.4999999999999998E-2</v>
      </c>
      <c r="M31" s="242">
        <f>IF(Sheet1!M43="","",Sheet1!M43)</f>
        <v>4.2500000000000003E-2</v>
      </c>
      <c r="N31" s="242">
        <f>IF(Sheet1!N43="","",Sheet1!N43)</f>
        <v>4.2500000000000003E-2</v>
      </c>
      <c r="O31" s="242">
        <f>IF(Sheet1!O43="","",Sheet1!O43)</f>
        <v>4.2500000000000003E-2</v>
      </c>
      <c r="P31" s="242">
        <f>IF(Sheet1!P43="","",Sheet1!P43)</f>
        <v>4.2500000000000003E-2</v>
      </c>
      <c r="Q31" s="242">
        <f>IF(Sheet1!Q43="","",Sheet1!Q43)</f>
        <v>4.2500000000000003E-2</v>
      </c>
      <c r="R31" s="242">
        <f>IF(Sheet1!R43="","",Sheet1!R43)</f>
        <v>4.2500000000000003E-2</v>
      </c>
      <c r="S31" s="242">
        <f>IF(Sheet1!S43="","",Sheet1!S43)</f>
        <v>4.2500000000000003E-2</v>
      </c>
    </row>
    <row r="32" spans="2:19">
      <c r="B32" t="s">
        <v>236</v>
      </c>
      <c r="D32" t="s">
        <v>1401</v>
      </c>
      <c r="E32" s="242">
        <f>IF(Sheet1!E44="","",Sheet1!E44)</f>
        <v>3.5000000000000003E-2</v>
      </c>
      <c r="F32" s="242">
        <f>IF(Sheet1!F44="","",Sheet1!F44)</f>
        <v>5.5E-2</v>
      </c>
      <c r="G32" s="242">
        <f>IF(Sheet1!G44="","",Sheet1!G44)</f>
        <v>0.06</v>
      </c>
      <c r="H32" s="242">
        <f>IF(Sheet1!H44="","",Sheet1!H44)</f>
        <v>0.06</v>
      </c>
      <c r="I32" s="242">
        <f>IF(Sheet1!I44="","",Sheet1!I44)</f>
        <v>4.7500000000000001E-2</v>
      </c>
      <c r="J32" s="242">
        <f>IF(Sheet1!J44="","",Sheet1!J44)</f>
        <v>5.7500000000000002E-2</v>
      </c>
      <c r="K32" s="242">
        <f>IF(Sheet1!K44="","",Sheet1!K44)</f>
        <v>5.2499999999999998E-2</v>
      </c>
      <c r="L32" s="242">
        <f>IF(Sheet1!L44="","",Sheet1!L44)</f>
        <v>4.7500000000000001E-2</v>
      </c>
      <c r="M32" s="242">
        <f>IF(Sheet1!M44="","",Sheet1!M44)</f>
        <v>4.4999999999999998E-2</v>
      </c>
      <c r="N32" s="242">
        <f>IF(Sheet1!N44="","",Sheet1!N44)</f>
        <v>4.4999999999999998E-2</v>
      </c>
      <c r="O32" s="242">
        <f>IF(Sheet1!O44="","",Sheet1!O44)</f>
        <v>4.4999999999999998E-2</v>
      </c>
      <c r="P32" s="242">
        <f>IF(Sheet1!P44="","",Sheet1!P44)</f>
        <v>4.4999999999999998E-2</v>
      </c>
      <c r="Q32" s="242">
        <f>IF(Sheet1!Q44="","",Sheet1!Q44)</f>
        <v>4.4999999999999998E-2</v>
      </c>
      <c r="R32" s="242">
        <f>IF(Sheet1!R44="","",Sheet1!R44)</f>
        <v>4.4999999999999998E-2</v>
      </c>
      <c r="S32" s="242">
        <f>IF(Sheet1!S44="","",Sheet1!S44)</f>
        <v>4.4999999999999998E-2</v>
      </c>
    </row>
    <row r="33" spans="2:19">
      <c r="B33" t="s">
        <v>238</v>
      </c>
      <c r="D33" t="s">
        <v>1402</v>
      </c>
      <c r="E33" s="242">
        <f>IF(Sheet1!E45="","",Sheet1!E45)</f>
        <v>0.6</v>
      </c>
      <c r="F33" s="242" t="str">
        <f>IF(Sheet1!F45="","",Sheet1!F45)</f>
        <v/>
      </c>
      <c r="G33" s="242" t="str">
        <f>IF(Sheet1!G45="","",Sheet1!G45)</f>
        <v/>
      </c>
      <c r="H33" s="242" t="str">
        <f>IF(Sheet1!H45="","",Sheet1!H45)</f>
        <v/>
      </c>
      <c r="I33" s="242" t="str">
        <f>IF(Sheet1!I45="","",Sheet1!I45)</f>
        <v/>
      </c>
      <c r="J33" s="242" t="str">
        <f>IF(Sheet1!J45="","",Sheet1!J45)</f>
        <v/>
      </c>
      <c r="K33" s="242" t="str">
        <f>IF(Sheet1!K45="","",Sheet1!K45)</f>
        <v/>
      </c>
      <c r="L33" s="242" t="str">
        <f>IF(Sheet1!L45="","",Sheet1!L45)</f>
        <v/>
      </c>
      <c r="M33" s="242" t="str">
        <f>IF(Sheet1!M45="","",Sheet1!M45)</f>
        <v/>
      </c>
      <c r="N33" s="242" t="str">
        <f>IF(Sheet1!N45="","",Sheet1!N45)</f>
        <v/>
      </c>
      <c r="O33" s="242" t="str">
        <f>IF(Sheet1!O45="","",Sheet1!O45)</f>
        <v/>
      </c>
      <c r="P33" s="242" t="str">
        <f>IF(Sheet1!P45="","",Sheet1!P45)</f>
        <v/>
      </c>
      <c r="Q33" s="242" t="str">
        <f>IF(Sheet1!Q45="","",Sheet1!Q45)</f>
        <v/>
      </c>
      <c r="R33" s="242" t="str">
        <f>IF(Sheet1!R45="","",Sheet1!R45)</f>
        <v/>
      </c>
      <c r="S33" s="242" t="str">
        <f>IF(Sheet1!S45="","",Sheet1!S45)</f>
        <v/>
      </c>
    </row>
    <row r="34" spans="2:19">
      <c r="B34" t="s">
        <v>239</v>
      </c>
      <c r="D34" t="s">
        <v>1403</v>
      </c>
      <c r="E34" s="242">
        <f>IF(Sheet1!E46="","",Sheet1!E46)</f>
        <v>0.1</v>
      </c>
      <c r="F34" s="242" t="str">
        <f>IF(Sheet1!F46="","",Sheet1!F46)</f>
        <v/>
      </c>
      <c r="G34" s="242" t="str">
        <f>IF(Sheet1!G46="","",Sheet1!G46)</f>
        <v/>
      </c>
      <c r="H34" s="242" t="str">
        <f>IF(Sheet1!H46="","",Sheet1!H46)</f>
        <v/>
      </c>
      <c r="I34" s="242" t="str">
        <f>IF(Sheet1!I46="","",Sheet1!I46)</f>
        <v/>
      </c>
      <c r="J34" s="242" t="str">
        <f>IF(Sheet1!J46="","",Sheet1!J46)</f>
        <v/>
      </c>
      <c r="K34" s="242" t="str">
        <f>IF(Sheet1!K46="","",Sheet1!K46)</f>
        <v/>
      </c>
      <c r="L34" s="242" t="str">
        <f>IF(Sheet1!L46="","",Sheet1!L46)</f>
        <v/>
      </c>
      <c r="M34" s="242" t="str">
        <f>IF(Sheet1!M46="","",Sheet1!M46)</f>
        <v/>
      </c>
      <c r="N34" s="242" t="str">
        <f>IF(Sheet1!N46="","",Sheet1!N46)</f>
        <v/>
      </c>
      <c r="O34" s="242" t="str">
        <f>IF(Sheet1!O46="","",Sheet1!O46)</f>
        <v/>
      </c>
      <c r="P34" s="242" t="str">
        <f>IF(Sheet1!P46="","",Sheet1!P46)</f>
        <v/>
      </c>
      <c r="Q34" s="242" t="str">
        <f>IF(Sheet1!Q46="","",Sheet1!Q46)</f>
        <v/>
      </c>
      <c r="R34" s="242" t="str">
        <f>IF(Sheet1!R46="","",Sheet1!R46)</f>
        <v/>
      </c>
      <c r="S34" s="242" t="str">
        <f>IF(Sheet1!S46="","",Sheet1!S46)</f>
        <v/>
      </c>
    </row>
    <row r="35" spans="2:19">
      <c r="B35" t="s">
        <v>240</v>
      </c>
      <c r="D35" t="s">
        <v>1404</v>
      </c>
      <c r="E35" s="242">
        <f>IF(Sheet1!E47="","",Sheet1!E47)</f>
        <v>0.15</v>
      </c>
      <c r="F35" s="242" t="str">
        <f>IF(Sheet1!F47="","",Sheet1!F47)</f>
        <v/>
      </c>
      <c r="G35" s="242" t="str">
        <f>IF(Sheet1!G47="","",Sheet1!G47)</f>
        <v/>
      </c>
      <c r="H35" s="242" t="str">
        <f>IF(Sheet1!H47="","",Sheet1!H47)</f>
        <v/>
      </c>
      <c r="I35" s="242" t="str">
        <f>IF(Sheet1!I47="","",Sheet1!I47)</f>
        <v/>
      </c>
      <c r="J35" s="242" t="str">
        <f>IF(Sheet1!J47="","",Sheet1!J47)</f>
        <v/>
      </c>
      <c r="K35" s="242" t="str">
        <f>IF(Sheet1!K47="","",Sheet1!K47)</f>
        <v/>
      </c>
      <c r="L35" s="242" t="str">
        <f>IF(Sheet1!L47="","",Sheet1!L47)</f>
        <v/>
      </c>
      <c r="M35" s="242" t="str">
        <f>IF(Sheet1!M47="","",Sheet1!M47)</f>
        <v/>
      </c>
      <c r="N35" s="242" t="str">
        <f>IF(Sheet1!N47="","",Sheet1!N47)</f>
        <v/>
      </c>
      <c r="O35" s="242" t="str">
        <f>IF(Sheet1!O47="","",Sheet1!O47)</f>
        <v/>
      </c>
      <c r="P35" s="242" t="str">
        <f>IF(Sheet1!P47="","",Sheet1!P47)</f>
        <v/>
      </c>
      <c r="Q35" s="242" t="str">
        <f>IF(Sheet1!Q47="","",Sheet1!Q47)</f>
        <v/>
      </c>
      <c r="R35" s="242" t="str">
        <f>IF(Sheet1!R47="","",Sheet1!R47)</f>
        <v/>
      </c>
      <c r="S35" s="242" t="str">
        <f>IF(Sheet1!S47="","",Sheet1!S47)</f>
        <v/>
      </c>
    </row>
    <row r="36" spans="2:19" ht="20.100000000000001" customHeight="1">
      <c r="B36" s="3" t="s">
        <v>1405</v>
      </c>
      <c r="C36" s="3"/>
      <c r="D36" s="3"/>
      <c r="E36" s="2"/>
      <c r="F36" s="2"/>
      <c r="G36" s="2"/>
      <c r="H36" s="2"/>
      <c r="I36" s="2"/>
      <c r="J36" s="2"/>
      <c r="K36" s="2"/>
      <c r="L36" s="2"/>
      <c r="M36" s="2"/>
      <c r="N36" s="2"/>
      <c r="O36" s="2"/>
      <c r="P36" s="2"/>
      <c r="Q36" s="2"/>
      <c r="R36" s="2"/>
      <c r="S36" s="2"/>
    </row>
    <row r="37" spans="2:19">
      <c r="B37" t="s">
        <v>241</v>
      </c>
      <c r="D37" t="s">
        <v>1406</v>
      </c>
      <c r="E37" s="242" t="str">
        <f>IF(Sheet1!E49="","",Sheet1!E49)</f>
        <v>FY21A</v>
      </c>
      <c r="F37" s="242" t="str">
        <f>IF(Sheet1!F49="","",Sheet1!F49)</f>
        <v>FY22A</v>
      </c>
      <c r="G37" s="242" t="str">
        <f>IF(Sheet1!G49="","",Sheet1!G49)</f>
        <v>FY23A</v>
      </c>
      <c r="H37" s="242" t="str">
        <f>IF(Sheet1!H49="","",Sheet1!H49)</f>
        <v>FY24A</v>
      </c>
      <c r="I37" s="242" t="str">
        <f>IF(Sheet1!I49="","",Sheet1!I49)</f>
        <v>FY25A</v>
      </c>
      <c r="J37" s="242" t="str">
        <f>IF(Sheet1!J49="","",Sheet1!J49)</f>
        <v>FY26E</v>
      </c>
      <c r="K37" s="242" t="str">
        <f>IF(Sheet1!K49="","",Sheet1!K49)</f>
        <v>FY27E</v>
      </c>
      <c r="L37" s="242" t="str">
        <f>IF(Sheet1!L49="","",Sheet1!L49)</f>
        <v>FY28E</v>
      </c>
      <c r="M37" s="242" t="str">
        <f>IF(Sheet1!M49="","",Sheet1!M49)</f>
        <v>FY29E</v>
      </c>
      <c r="N37" s="242" t="str">
        <f>IF(Sheet1!N49="","",Sheet1!N49)</f>
        <v>FY30E</v>
      </c>
      <c r="O37" s="242" t="str">
        <f>IF(Sheet1!O49="","",Sheet1!O49)</f>
        <v>FY31E</v>
      </c>
      <c r="P37" s="242" t="str">
        <f>IF(Sheet1!P49="","",Sheet1!P49)</f>
        <v>FY32E</v>
      </c>
      <c r="Q37" s="242" t="str">
        <f>IF(Sheet1!Q49="","",Sheet1!Q49)</f>
        <v>FY33E</v>
      </c>
      <c r="R37" s="242" t="str">
        <f>IF(Sheet1!R49="","",Sheet1!R49)</f>
        <v>FY34E</v>
      </c>
      <c r="S37" s="242" t="str">
        <f>IF(Sheet1!S49="","",Sheet1!S49)</f>
        <v>FY35E</v>
      </c>
    </row>
    <row r="38" spans="2:19">
      <c r="B38" t="s">
        <v>1407</v>
      </c>
      <c r="D38" t="s">
        <v>1408</v>
      </c>
      <c r="E38" s="242" t="str">
        <f>IF(Sheet1!E50="","",Sheet1!E50)</f>
        <v/>
      </c>
      <c r="F38" s="242" t="str">
        <f>IF(Sheet1!F50="","",Sheet1!F50)</f>
        <v/>
      </c>
      <c r="G38" s="242" t="str">
        <f>IF(Sheet1!G50="","",Sheet1!G50)</f>
        <v/>
      </c>
      <c r="H38" s="242" t="str">
        <f>IF(Sheet1!H50="","",Sheet1!H50)</f>
        <v/>
      </c>
      <c r="I38" s="242" t="str">
        <f>IF(Sheet1!I50="","",Sheet1!I50)</f>
        <v/>
      </c>
      <c r="J38" s="242">
        <f>IF(Sheet1!J50="","",Sheet1!J50)</f>
        <v>0.115</v>
      </c>
      <c r="K38" s="242">
        <f>IF(Sheet1!K50="","",Sheet1!K50)</f>
        <v>9.5000000000000001E-2</v>
      </c>
      <c r="L38" s="242">
        <f>IF(Sheet1!L50="","",Sheet1!L50)</f>
        <v>8.5000000000000006E-2</v>
      </c>
      <c r="M38" s="242">
        <f>IF(Sheet1!M50="","",Sheet1!M50)</f>
        <v>7.4999999999999997E-2</v>
      </c>
      <c r="N38" s="242">
        <f>IF(Sheet1!N50="","",Sheet1!N50)</f>
        <v>6.5000000000000002E-2</v>
      </c>
      <c r="O38" s="242">
        <f>IF(Sheet1!O50="","",Sheet1!O50)</f>
        <v>6.2E-2</v>
      </c>
      <c r="P38" s="242">
        <f>IF(Sheet1!P50="","",Sheet1!P50)</f>
        <v>5.8999999999999997E-2</v>
      </c>
      <c r="Q38" s="242">
        <f>IF(Sheet1!Q50="","",Sheet1!Q50)</f>
        <v>5.6000000000000001E-2</v>
      </c>
      <c r="R38" s="242">
        <f>IF(Sheet1!R50="","",Sheet1!R50)</f>
        <v>5.2999999999999999E-2</v>
      </c>
      <c r="S38" s="242">
        <f>IF(Sheet1!S50="","",Sheet1!S50)</f>
        <v>0.05</v>
      </c>
    </row>
    <row r="39" spans="2:19">
      <c r="B39" t="s">
        <v>1409</v>
      </c>
      <c r="D39" t="s">
        <v>1410</v>
      </c>
      <c r="E39" s="242" t="str">
        <f>IF(Sheet1!E51="","",Sheet1!E51)</f>
        <v/>
      </c>
      <c r="F39" s="242" t="str">
        <f>IF(Sheet1!F51="","",Sheet1!F51)</f>
        <v/>
      </c>
      <c r="G39" s="242" t="str">
        <f>IF(Sheet1!G51="","",Sheet1!G51)</f>
        <v/>
      </c>
      <c r="H39" s="242" t="str">
        <f>IF(Sheet1!H51="","",Sheet1!H51)</f>
        <v/>
      </c>
      <c r="I39" s="242" t="str">
        <f>IF(Sheet1!I51="","",Sheet1!I51)</f>
        <v/>
      </c>
      <c r="J39" s="242">
        <f>IF(Sheet1!J51="","",Sheet1!J51)</f>
        <v>0.15</v>
      </c>
      <c r="K39" s="242">
        <f>IF(Sheet1!K51="","",Sheet1!K51)</f>
        <v>0.13</v>
      </c>
      <c r="L39" s="242">
        <f>IF(Sheet1!L51="","",Sheet1!L51)</f>
        <v>0.12</v>
      </c>
      <c r="M39" s="242">
        <f>IF(Sheet1!M51="","",Sheet1!M51)</f>
        <v>0.11</v>
      </c>
      <c r="N39" s="242">
        <f>IF(Sheet1!N51="","",Sheet1!N51)</f>
        <v>0.1</v>
      </c>
      <c r="O39" s="242">
        <f>IF(Sheet1!O51="","",Sheet1!O51)</f>
        <v>9.2999999999999999E-2</v>
      </c>
      <c r="P39" s="242">
        <f>IF(Sheet1!P51="","",Sheet1!P51)</f>
        <v>8.5999999999999993E-2</v>
      </c>
      <c r="Q39" s="242">
        <f>IF(Sheet1!Q51="","",Sheet1!Q51)</f>
        <v>7.9000000000000001E-2</v>
      </c>
      <c r="R39" s="242">
        <f>IF(Sheet1!R51="","",Sheet1!R51)</f>
        <v>7.1999999999999995E-2</v>
      </c>
      <c r="S39" s="242">
        <f>IF(Sheet1!S51="","",Sheet1!S51)</f>
        <v>6.5000000000000002E-2</v>
      </c>
    </row>
    <row r="40" spans="2:19">
      <c r="B40" t="s">
        <v>1411</v>
      </c>
      <c r="D40" t="s">
        <v>1412</v>
      </c>
      <c r="E40" s="242" t="str">
        <f>IF(Sheet1!E52="","",Sheet1!E52)</f>
        <v/>
      </c>
      <c r="F40" s="242" t="str">
        <f>IF(Sheet1!F52="","",Sheet1!F52)</f>
        <v/>
      </c>
      <c r="G40" s="242" t="str">
        <f>IF(Sheet1!G52="","",Sheet1!G52)</f>
        <v/>
      </c>
      <c r="H40" s="242" t="str">
        <f>IF(Sheet1!H52="","",Sheet1!H52)</f>
        <v/>
      </c>
      <c r="I40" s="242" t="str">
        <f>IF(Sheet1!I52="","",Sheet1!I52)</f>
        <v/>
      </c>
      <c r="J40" s="242">
        <f>IF(Sheet1!J52="","",Sheet1!J52)</f>
        <v>0.17499999999999999</v>
      </c>
      <c r="K40" s="242">
        <f>IF(Sheet1!K52="","",Sheet1!K52)</f>
        <v>0.155</v>
      </c>
      <c r="L40" s="242">
        <f>IF(Sheet1!L52="","",Sheet1!L52)</f>
        <v>0.14499999999999999</v>
      </c>
      <c r="M40" s="242">
        <f>IF(Sheet1!M52="","",Sheet1!M52)</f>
        <v>0.13500000000000001</v>
      </c>
      <c r="N40" s="242">
        <f>IF(Sheet1!N52="","",Sheet1!N52)</f>
        <v>0.125</v>
      </c>
      <c r="O40" s="242">
        <f>IF(Sheet1!O52="","",Sheet1!O52)</f>
        <v>0.11600000000000001</v>
      </c>
      <c r="P40" s="242">
        <f>IF(Sheet1!P52="","",Sheet1!P52)</f>
        <v>0.107</v>
      </c>
      <c r="Q40" s="242">
        <f>IF(Sheet1!Q52="","",Sheet1!Q52)</f>
        <v>9.8000000000000004E-2</v>
      </c>
      <c r="R40" s="242">
        <f>IF(Sheet1!R52="","",Sheet1!R52)</f>
        <v>8.8999999999999996E-2</v>
      </c>
      <c r="S40" s="242">
        <f>IF(Sheet1!S52="","",Sheet1!S52)</f>
        <v>0.08</v>
      </c>
    </row>
    <row r="41" spans="2:19">
      <c r="B41" t="s">
        <v>245</v>
      </c>
      <c r="D41" t="s">
        <v>1413</v>
      </c>
      <c r="E41" s="242" t="str">
        <f>IF(Sheet1!E53="","",Sheet1!E53)</f>
        <v/>
      </c>
      <c r="F41" s="242">
        <f>IF(Sheet1!F53="","",Sheet1!F53)</f>
        <v>0.14257069408740364</v>
      </c>
      <c r="G41" s="242">
        <f>IF(Sheet1!G53="","",Sheet1!G53)</f>
        <v>0.1728164514242001</v>
      </c>
      <c r="H41" s="242">
        <f>IF(Sheet1!H53="","",Sheet1!H53)</f>
        <v>0.14332303796497015</v>
      </c>
      <c r="I41" s="242">
        <f>IF(Sheet1!I53="","",Sheet1!I53)</f>
        <v>0.18868082821571197</v>
      </c>
      <c r="J41" s="242">
        <f>IF(Sheet1!J53="","",Sheet1!J53)</f>
        <v>0.15</v>
      </c>
      <c r="K41" s="242">
        <f>IF(Sheet1!K53="","",Sheet1!K53)</f>
        <v>0.13</v>
      </c>
      <c r="L41" s="242">
        <f>IF(Sheet1!L53="","",Sheet1!L53)</f>
        <v>0.12</v>
      </c>
      <c r="M41" s="242">
        <f>IF(Sheet1!M53="","",Sheet1!M53)</f>
        <v>0.11</v>
      </c>
      <c r="N41" s="242">
        <f>IF(Sheet1!N53="","",Sheet1!N53)</f>
        <v>0.1</v>
      </c>
      <c r="O41" s="242">
        <f>IF(Sheet1!O53="","",Sheet1!O53)</f>
        <v>9.2999999999999999E-2</v>
      </c>
      <c r="P41" s="242">
        <f>IF(Sheet1!P53="","",Sheet1!P53)</f>
        <v>8.5999999999999993E-2</v>
      </c>
      <c r="Q41" s="242">
        <f>IF(Sheet1!Q53="","",Sheet1!Q53)</f>
        <v>7.9000000000000001E-2</v>
      </c>
      <c r="R41" s="242">
        <f>IF(Sheet1!R53="","",Sheet1!R53)</f>
        <v>7.1999999999999995E-2</v>
      </c>
      <c r="S41" s="242">
        <f>IF(Sheet1!S53="","",Sheet1!S53)</f>
        <v>6.5000000000000002E-2</v>
      </c>
    </row>
    <row r="42" spans="2:19">
      <c r="B42" t="s">
        <v>1414</v>
      </c>
      <c r="D42" t="s">
        <v>1415</v>
      </c>
      <c r="E42" s="242" t="str">
        <f>IF(Sheet1!E54="","",Sheet1!E54)</f>
        <v/>
      </c>
      <c r="F42" s="242" t="str">
        <f>IF(Sheet1!F54="","",Sheet1!F54)</f>
        <v/>
      </c>
      <c r="G42" s="242" t="str">
        <f>IF(Sheet1!G54="","",Sheet1!G54)</f>
        <v/>
      </c>
      <c r="H42" s="242" t="str">
        <f>IF(Sheet1!H54="","",Sheet1!H54)</f>
        <v/>
      </c>
      <c r="I42" s="242" t="str">
        <f>IF(Sheet1!I54="","",Sheet1!I54)</f>
        <v/>
      </c>
      <c r="J42" s="242">
        <f>IF(Sheet1!J54="","",Sheet1!J54)</f>
        <v>2.5000000000000001E-2</v>
      </c>
      <c r="K42" s="242">
        <f>IF(Sheet1!K54="","",Sheet1!K54)</f>
        <v>4.4999999999999998E-2</v>
      </c>
      <c r="L42" s="242">
        <f>IF(Sheet1!L54="","",Sheet1!L54)</f>
        <v>4.4999999999999998E-2</v>
      </c>
      <c r="M42" s="242">
        <f>IF(Sheet1!M54="","",Sheet1!M54)</f>
        <v>4.4999999999999998E-2</v>
      </c>
      <c r="N42" s="242">
        <f>IF(Sheet1!N54="","",Sheet1!N54)</f>
        <v>4.4999999999999998E-2</v>
      </c>
      <c r="O42" s="242">
        <f>IF(Sheet1!O54="","",Sheet1!O54)</f>
        <v>4.5999999999999999E-2</v>
      </c>
      <c r="P42" s="242">
        <f>IF(Sheet1!P54="","",Sheet1!P54)</f>
        <v>4.7E-2</v>
      </c>
      <c r="Q42" s="242">
        <f>IF(Sheet1!Q54="","",Sheet1!Q54)</f>
        <v>4.8000000000000001E-2</v>
      </c>
      <c r="R42" s="242">
        <f>IF(Sheet1!R54="","",Sheet1!R54)</f>
        <v>4.9000000000000002E-2</v>
      </c>
      <c r="S42" s="242">
        <f>IF(Sheet1!S54="","",Sheet1!S54)</f>
        <v>0.05</v>
      </c>
    </row>
    <row r="43" spans="2:19">
      <c r="B43" t="s">
        <v>1416</v>
      </c>
      <c r="D43" t="s">
        <v>1417</v>
      </c>
      <c r="E43" s="242" t="str">
        <f>IF(Sheet1!E55="","",Sheet1!E55)</f>
        <v/>
      </c>
      <c r="F43" s="242" t="str">
        <f>IF(Sheet1!F55="","",Sheet1!F55)</f>
        <v/>
      </c>
      <c r="G43" s="242" t="str">
        <f>IF(Sheet1!G55="","",Sheet1!G55)</f>
        <v/>
      </c>
      <c r="H43" s="242" t="str">
        <f>IF(Sheet1!H55="","",Sheet1!H55)</f>
        <v/>
      </c>
      <c r="I43" s="242" t="str">
        <f>IF(Sheet1!I55="","",Sheet1!I55)</f>
        <v/>
      </c>
      <c r="J43" s="242">
        <f>IF(Sheet1!J55="","",Sheet1!J55)</f>
        <v>0.06</v>
      </c>
      <c r="K43" s="242">
        <f>IF(Sheet1!K55="","",Sheet1!K55)</f>
        <v>0.08</v>
      </c>
      <c r="L43" s="242">
        <f>IF(Sheet1!L55="","",Sheet1!L55)</f>
        <v>0.08</v>
      </c>
      <c r="M43" s="242">
        <f>IF(Sheet1!M55="","",Sheet1!M55)</f>
        <v>0.08</v>
      </c>
      <c r="N43" s="242">
        <f>IF(Sheet1!N55="","",Sheet1!N55)</f>
        <v>0.08</v>
      </c>
      <c r="O43" s="242">
        <f>IF(Sheet1!O55="","",Sheet1!O55)</f>
        <v>7.6999999999999999E-2</v>
      </c>
      <c r="P43" s="242">
        <f>IF(Sheet1!P55="","",Sheet1!P55)</f>
        <v>7.3999999999999996E-2</v>
      </c>
      <c r="Q43" s="242">
        <f>IF(Sheet1!Q55="","",Sheet1!Q55)</f>
        <v>7.0999999999999994E-2</v>
      </c>
      <c r="R43" s="242">
        <f>IF(Sheet1!R55="","",Sheet1!R55)</f>
        <v>6.8000000000000005E-2</v>
      </c>
      <c r="S43" s="242">
        <f>IF(Sheet1!S55="","",Sheet1!S55)</f>
        <v>6.5000000000000002E-2</v>
      </c>
    </row>
    <row r="44" spans="2:19">
      <c r="B44" t="s">
        <v>1418</v>
      </c>
      <c r="D44" t="s">
        <v>1419</v>
      </c>
      <c r="E44" s="242" t="str">
        <f>IF(Sheet1!E56="","",Sheet1!E56)</f>
        <v/>
      </c>
      <c r="F44" s="242" t="str">
        <f>IF(Sheet1!F56="","",Sheet1!F56)</f>
        <v/>
      </c>
      <c r="G44" s="242" t="str">
        <f>IF(Sheet1!G56="","",Sheet1!G56)</f>
        <v/>
      </c>
      <c r="H44" s="242" t="str">
        <f>IF(Sheet1!H56="","",Sheet1!H56)</f>
        <v/>
      </c>
      <c r="I44" s="242" t="str">
        <f>IF(Sheet1!I56="","",Sheet1!I56)</f>
        <v/>
      </c>
      <c r="J44" s="242">
        <f>IF(Sheet1!J56="","",Sheet1!J56)</f>
        <v>8.5000000000000006E-2</v>
      </c>
      <c r="K44" s="242">
        <f>IF(Sheet1!K56="","",Sheet1!K56)</f>
        <v>0.105</v>
      </c>
      <c r="L44" s="242">
        <f>IF(Sheet1!L56="","",Sheet1!L56)</f>
        <v>0.105</v>
      </c>
      <c r="M44" s="242">
        <f>IF(Sheet1!M56="","",Sheet1!M56)</f>
        <v>0.105</v>
      </c>
      <c r="N44" s="242">
        <f>IF(Sheet1!N56="","",Sheet1!N56)</f>
        <v>0.105</v>
      </c>
      <c r="O44" s="242">
        <f>IF(Sheet1!O56="","",Sheet1!O56)</f>
        <v>0.1</v>
      </c>
      <c r="P44" s="242">
        <f>IF(Sheet1!P56="","",Sheet1!P56)</f>
        <v>9.5000000000000001E-2</v>
      </c>
      <c r="Q44" s="242">
        <f>IF(Sheet1!Q56="","",Sheet1!Q56)</f>
        <v>0.09</v>
      </c>
      <c r="R44" s="242">
        <f>IF(Sheet1!R56="","",Sheet1!R56)</f>
        <v>8.5000000000000006E-2</v>
      </c>
      <c r="S44" s="242">
        <f>IF(Sheet1!S56="","",Sheet1!S56)</f>
        <v>0.08</v>
      </c>
    </row>
    <row r="45" spans="2:19">
      <c r="B45" t="s">
        <v>250</v>
      </c>
      <c r="D45" t="s">
        <v>1420</v>
      </c>
      <c r="E45" s="242" t="str">
        <f>IF(Sheet1!E57="","",Sheet1!E57)</f>
        <v/>
      </c>
      <c r="F45" s="242">
        <f>IF(Sheet1!F57="","",Sheet1!F57)</f>
        <v>0.22663461538461549</v>
      </c>
      <c r="G45" s="242">
        <f>IF(Sheet1!G57="","",Sheet1!G57)</f>
        <v>0.20623971153092424</v>
      </c>
      <c r="H45" s="242">
        <f>IF(Sheet1!H57="","",Sheet1!H57)</f>
        <v>0.14511307512347282</v>
      </c>
      <c r="I45" s="242">
        <f>IF(Sheet1!I57="","",Sheet1!I57)</f>
        <v>0.13256909369502301</v>
      </c>
      <c r="J45" s="242">
        <f>IF(Sheet1!J57="","",Sheet1!J57)</f>
        <v>0.06</v>
      </c>
      <c r="K45" s="242">
        <f>IF(Sheet1!K57="","",Sheet1!K57)</f>
        <v>0.08</v>
      </c>
      <c r="L45" s="242">
        <f>IF(Sheet1!L57="","",Sheet1!L57)</f>
        <v>0.08</v>
      </c>
      <c r="M45" s="242">
        <f>IF(Sheet1!M57="","",Sheet1!M57)</f>
        <v>0.08</v>
      </c>
      <c r="N45" s="242">
        <f>IF(Sheet1!N57="","",Sheet1!N57)</f>
        <v>0.08</v>
      </c>
      <c r="O45" s="242">
        <f>IF(Sheet1!O57="","",Sheet1!O57)</f>
        <v>7.6999999999999999E-2</v>
      </c>
      <c r="P45" s="242">
        <f>IF(Sheet1!P57="","",Sheet1!P57)</f>
        <v>7.3999999999999996E-2</v>
      </c>
      <c r="Q45" s="242">
        <f>IF(Sheet1!Q57="","",Sheet1!Q57)</f>
        <v>7.0999999999999994E-2</v>
      </c>
      <c r="R45" s="242">
        <f>IF(Sheet1!R57="","",Sheet1!R57)</f>
        <v>6.8000000000000005E-2</v>
      </c>
      <c r="S45" s="242">
        <f>IF(Sheet1!S57="","",Sheet1!S57)</f>
        <v>6.5000000000000002E-2</v>
      </c>
    </row>
    <row r="46" spans="2:19">
      <c r="B46" t="s">
        <v>1421</v>
      </c>
      <c r="D46" t="s">
        <v>1422</v>
      </c>
      <c r="E46" s="242" t="str">
        <f>IF(Sheet1!E58="","",Sheet1!E58)</f>
        <v/>
      </c>
      <c r="F46" s="242" t="str">
        <f>IF(Sheet1!F58="","",Sheet1!F58)</f>
        <v/>
      </c>
      <c r="G46" s="242" t="str">
        <f>IF(Sheet1!G58="","",Sheet1!G58)</f>
        <v/>
      </c>
      <c r="H46" s="242" t="str">
        <f>IF(Sheet1!H58="","",Sheet1!H58)</f>
        <v/>
      </c>
      <c r="I46" s="242" t="str">
        <f>IF(Sheet1!I58="","",Sheet1!I58)</f>
        <v/>
      </c>
      <c r="J46" s="242">
        <f>IF(Sheet1!J58="","",Sheet1!J58)</f>
        <v>0.115</v>
      </c>
      <c r="K46" s="242">
        <f>IF(Sheet1!K58="","",Sheet1!K58)</f>
        <v>9.5000000000000001E-2</v>
      </c>
      <c r="L46" s="242">
        <f>IF(Sheet1!L58="","",Sheet1!L58)</f>
        <v>8.5000000000000006E-2</v>
      </c>
      <c r="M46" s="242">
        <f>IF(Sheet1!M58="","",Sheet1!M58)</f>
        <v>7.4999999999999997E-2</v>
      </c>
      <c r="N46" s="242">
        <f>IF(Sheet1!N58="","",Sheet1!N58)</f>
        <v>6.5000000000000002E-2</v>
      </c>
      <c r="O46" s="242">
        <f>IF(Sheet1!O58="","",Sheet1!O58)</f>
        <v>6.2E-2</v>
      </c>
      <c r="P46" s="242">
        <f>IF(Sheet1!P58="","",Sheet1!P58)</f>
        <v>5.8999999999999997E-2</v>
      </c>
      <c r="Q46" s="242">
        <f>IF(Sheet1!Q58="","",Sheet1!Q58)</f>
        <v>5.6000000000000001E-2</v>
      </c>
      <c r="R46" s="242">
        <f>IF(Sheet1!R58="","",Sheet1!R58)</f>
        <v>5.2999999999999999E-2</v>
      </c>
      <c r="S46" s="242">
        <f>IF(Sheet1!S58="","",Sheet1!S58)</f>
        <v>0.05</v>
      </c>
    </row>
    <row r="47" spans="2:19">
      <c r="B47" t="s">
        <v>1423</v>
      </c>
      <c r="D47" t="s">
        <v>1424</v>
      </c>
      <c r="E47" s="242" t="str">
        <f>IF(Sheet1!E59="","",Sheet1!E59)</f>
        <v/>
      </c>
      <c r="F47" s="242" t="str">
        <f>IF(Sheet1!F59="","",Sheet1!F59)</f>
        <v/>
      </c>
      <c r="G47" s="242" t="str">
        <f>IF(Sheet1!G59="","",Sheet1!G59)</f>
        <v/>
      </c>
      <c r="H47" s="242" t="str">
        <f>IF(Sheet1!H59="","",Sheet1!H59)</f>
        <v/>
      </c>
      <c r="I47" s="242" t="str">
        <f>IF(Sheet1!I59="","",Sheet1!I59)</f>
        <v/>
      </c>
      <c r="J47" s="242">
        <f>IF(Sheet1!J59="","",Sheet1!J59)</f>
        <v>0.15</v>
      </c>
      <c r="K47" s="242">
        <f>IF(Sheet1!K59="","",Sheet1!K59)</f>
        <v>0.13</v>
      </c>
      <c r="L47" s="242">
        <f>IF(Sheet1!L59="","",Sheet1!L59)</f>
        <v>0.12</v>
      </c>
      <c r="M47" s="242">
        <f>IF(Sheet1!M59="","",Sheet1!M59)</f>
        <v>0.11</v>
      </c>
      <c r="N47" s="242">
        <f>IF(Sheet1!N59="","",Sheet1!N59)</f>
        <v>0.1</v>
      </c>
      <c r="O47" s="242">
        <f>IF(Sheet1!O59="","",Sheet1!O59)</f>
        <v>9.2999999999999999E-2</v>
      </c>
      <c r="P47" s="242">
        <f>IF(Sheet1!P59="","",Sheet1!P59)</f>
        <v>8.5999999999999993E-2</v>
      </c>
      <c r="Q47" s="242">
        <f>IF(Sheet1!Q59="","",Sheet1!Q59)</f>
        <v>7.9000000000000001E-2</v>
      </c>
      <c r="R47" s="242">
        <f>IF(Sheet1!R59="","",Sheet1!R59)</f>
        <v>7.1999999999999995E-2</v>
      </c>
      <c r="S47" s="242">
        <f>IF(Sheet1!S59="","",Sheet1!S59)</f>
        <v>6.5000000000000002E-2</v>
      </c>
    </row>
    <row r="48" spans="2:19">
      <c r="B48" t="s">
        <v>1425</v>
      </c>
      <c r="D48" t="s">
        <v>1426</v>
      </c>
      <c r="E48" s="242" t="str">
        <f>IF(Sheet1!E60="","",Sheet1!E60)</f>
        <v/>
      </c>
      <c r="F48" s="242" t="str">
        <f>IF(Sheet1!F60="","",Sheet1!F60)</f>
        <v/>
      </c>
      <c r="G48" s="242" t="str">
        <f>IF(Sheet1!G60="","",Sheet1!G60)</f>
        <v/>
      </c>
      <c r="H48" s="242" t="str">
        <f>IF(Sheet1!H60="","",Sheet1!H60)</f>
        <v/>
      </c>
      <c r="I48" s="242" t="str">
        <f>IF(Sheet1!I60="","",Sheet1!I60)</f>
        <v/>
      </c>
      <c r="J48" s="242">
        <f>IF(Sheet1!J60="","",Sheet1!J60)</f>
        <v>0.17499999999999999</v>
      </c>
      <c r="K48" s="242">
        <f>IF(Sheet1!K60="","",Sheet1!K60)</f>
        <v>0.155</v>
      </c>
      <c r="L48" s="242">
        <f>IF(Sheet1!L60="","",Sheet1!L60)</f>
        <v>0.14499999999999999</v>
      </c>
      <c r="M48" s="242">
        <f>IF(Sheet1!M60="","",Sheet1!M60)</f>
        <v>0.13500000000000001</v>
      </c>
      <c r="N48" s="242">
        <f>IF(Sheet1!N60="","",Sheet1!N60)</f>
        <v>0.125</v>
      </c>
      <c r="O48" s="242">
        <f>IF(Sheet1!O60="","",Sheet1!O60)</f>
        <v>0.11600000000000001</v>
      </c>
      <c r="P48" s="242">
        <f>IF(Sheet1!P60="","",Sheet1!P60)</f>
        <v>0.107</v>
      </c>
      <c r="Q48" s="242">
        <f>IF(Sheet1!Q60="","",Sheet1!Q60)</f>
        <v>9.8000000000000004E-2</v>
      </c>
      <c r="R48" s="242">
        <f>IF(Sheet1!R60="","",Sheet1!R60)</f>
        <v>8.8999999999999996E-2</v>
      </c>
      <c r="S48" s="242">
        <f>IF(Sheet1!S60="","",Sheet1!S60)</f>
        <v>0.08</v>
      </c>
    </row>
    <row r="49" spans="2:19">
      <c r="B49" t="s">
        <v>254</v>
      </c>
      <c r="D49" t="s">
        <v>1427</v>
      </c>
      <c r="E49" s="242" t="str">
        <f>IF(Sheet1!E61="","",Sheet1!E61)</f>
        <v/>
      </c>
      <c r="F49" s="242">
        <f>IF(Sheet1!F61="","",Sheet1!F61)</f>
        <v>3.202185792349721E-2</v>
      </c>
      <c r="G49" s="242">
        <f>IF(Sheet1!G61="","",Sheet1!G61)</f>
        <v>2.4144869215291687E-2</v>
      </c>
      <c r="H49" s="242">
        <f>IF(Sheet1!H61="","",Sheet1!H61)</f>
        <v>0.11844690311239781</v>
      </c>
      <c r="I49" s="242">
        <f>IF(Sheet1!I61="","",Sheet1!I61)</f>
        <v>0.13673554292053813</v>
      </c>
      <c r="J49" s="242">
        <f>IF(Sheet1!J61="","",Sheet1!J61)</f>
        <v>0.15</v>
      </c>
      <c r="K49" s="242">
        <f>IF(Sheet1!K61="","",Sheet1!K61)</f>
        <v>0.13</v>
      </c>
      <c r="L49" s="242">
        <f>IF(Sheet1!L61="","",Sheet1!L61)</f>
        <v>0.12</v>
      </c>
      <c r="M49" s="242">
        <f>IF(Sheet1!M61="","",Sheet1!M61)</f>
        <v>0.11</v>
      </c>
      <c r="N49" s="242">
        <f>IF(Sheet1!N61="","",Sheet1!N61)</f>
        <v>0.1</v>
      </c>
      <c r="O49" s="242">
        <f>IF(Sheet1!O61="","",Sheet1!O61)</f>
        <v>9.2999999999999999E-2</v>
      </c>
      <c r="P49" s="242">
        <f>IF(Sheet1!P61="","",Sheet1!P61)</f>
        <v>8.5999999999999993E-2</v>
      </c>
      <c r="Q49" s="242">
        <f>IF(Sheet1!Q61="","",Sheet1!Q61)</f>
        <v>7.9000000000000001E-2</v>
      </c>
      <c r="R49" s="242">
        <f>IF(Sheet1!R61="","",Sheet1!R61)</f>
        <v>7.1999999999999995E-2</v>
      </c>
      <c r="S49" s="242">
        <f>IF(Sheet1!S61="","",Sheet1!S61)</f>
        <v>6.5000000000000002E-2</v>
      </c>
    </row>
    <row r="50" spans="2:19">
      <c r="B50" t="s">
        <v>1428</v>
      </c>
      <c r="D50" t="s">
        <v>1429</v>
      </c>
      <c r="E50" s="242" t="str">
        <f>IF(Sheet1!E62="","",Sheet1!E62)</f>
        <v/>
      </c>
      <c r="F50" s="242" t="str">
        <f>IF(Sheet1!F62="","",Sheet1!F62)</f>
        <v/>
      </c>
      <c r="G50" s="242" t="str">
        <f>IF(Sheet1!G62="","",Sheet1!G62)</f>
        <v/>
      </c>
      <c r="H50" s="242" t="str">
        <f>IF(Sheet1!H62="","",Sheet1!H62)</f>
        <v/>
      </c>
      <c r="I50" s="242" t="str">
        <f>IF(Sheet1!I62="","",Sheet1!I62)</f>
        <v/>
      </c>
      <c r="J50" s="242">
        <f>IF(Sheet1!J62="","",Sheet1!J62)</f>
        <v>4.4999999999999998E-2</v>
      </c>
      <c r="K50" s="242">
        <f>IF(Sheet1!K62="","",Sheet1!K62)</f>
        <v>5.5E-2</v>
      </c>
      <c r="L50" s="242">
        <f>IF(Sheet1!L62="","",Sheet1!L62)</f>
        <v>5.5E-2</v>
      </c>
      <c r="M50" s="242">
        <f>IF(Sheet1!M62="","",Sheet1!M62)</f>
        <v>5.5E-2</v>
      </c>
      <c r="N50" s="242">
        <f>IF(Sheet1!N62="","",Sheet1!N62)</f>
        <v>5.5E-2</v>
      </c>
      <c r="O50" s="242">
        <f>IF(Sheet1!O62="","",Sheet1!O62)</f>
        <v>5.3999999999999999E-2</v>
      </c>
      <c r="P50" s="242">
        <f>IF(Sheet1!P62="","",Sheet1!P62)</f>
        <v>5.2999999999999999E-2</v>
      </c>
      <c r="Q50" s="242">
        <f>IF(Sheet1!Q62="","",Sheet1!Q62)</f>
        <v>5.1999999999999998E-2</v>
      </c>
      <c r="R50" s="242">
        <f>IF(Sheet1!R62="","",Sheet1!R62)</f>
        <v>5.0999999999999997E-2</v>
      </c>
      <c r="S50" s="242">
        <f>IF(Sheet1!S62="","",Sheet1!S62)</f>
        <v>0.05</v>
      </c>
    </row>
    <row r="51" spans="2:19">
      <c r="B51" t="s">
        <v>1430</v>
      </c>
      <c r="D51" t="s">
        <v>1431</v>
      </c>
      <c r="E51" s="242" t="str">
        <f>IF(Sheet1!E63="","",Sheet1!E63)</f>
        <v/>
      </c>
      <c r="F51" s="242" t="str">
        <f>IF(Sheet1!F63="","",Sheet1!F63)</f>
        <v/>
      </c>
      <c r="G51" s="242" t="str">
        <f>IF(Sheet1!G63="","",Sheet1!G63)</f>
        <v/>
      </c>
      <c r="H51" s="242" t="str">
        <f>IF(Sheet1!H63="","",Sheet1!H63)</f>
        <v/>
      </c>
      <c r="I51" s="242" t="str">
        <f>IF(Sheet1!I63="","",Sheet1!I63)</f>
        <v/>
      </c>
      <c r="J51" s="242">
        <f>IF(Sheet1!J63="","",Sheet1!J63)</f>
        <v>0.08</v>
      </c>
      <c r="K51" s="242">
        <f>IF(Sheet1!K63="","",Sheet1!K63)</f>
        <v>0.09</v>
      </c>
      <c r="L51" s="242">
        <f>IF(Sheet1!L63="","",Sheet1!L63)</f>
        <v>0.09</v>
      </c>
      <c r="M51" s="242">
        <f>IF(Sheet1!M63="","",Sheet1!M63)</f>
        <v>0.09</v>
      </c>
      <c r="N51" s="242">
        <f>IF(Sheet1!N63="","",Sheet1!N63)</f>
        <v>0.09</v>
      </c>
      <c r="O51" s="242">
        <f>IF(Sheet1!O63="","",Sheet1!O63)</f>
        <v>8.5000000000000006E-2</v>
      </c>
      <c r="P51" s="242">
        <f>IF(Sheet1!P63="","",Sheet1!P63)</f>
        <v>0.08</v>
      </c>
      <c r="Q51" s="242">
        <f>IF(Sheet1!Q63="","",Sheet1!Q63)</f>
        <v>7.4999999999999997E-2</v>
      </c>
      <c r="R51" s="242">
        <f>IF(Sheet1!R63="","",Sheet1!R63)</f>
        <v>7.0000000000000007E-2</v>
      </c>
      <c r="S51" s="242">
        <f>IF(Sheet1!S63="","",Sheet1!S63)</f>
        <v>6.5000000000000002E-2</v>
      </c>
    </row>
    <row r="52" spans="2:19">
      <c r="B52" t="s">
        <v>1432</v>
      </c>
      <c r="D52" t="s">
        <v>1433</v>
      </c>
      <c r="E52" s="242" t="str">
        <f>IF(Sheet1!E64="","",Sheet1!E64)</f>
        <v/>
      </c>
      <c r="F52" s="242" t="str">
        <f>IF(Sheet1!F64="","",Sheet1!F64)</f>
        <v/>
      </c>
      <c r="G52" s="242" t="str">
        <f>IF(Sheet1!G64="","",Sheet1!G64)</f>
        <v/>
      </c>
      <c r="H52" s="242" t="str">
        <f>IF(Sheet1!H64="","",Sheet1!H64)</f>
        <v/>
      </c>
      <c r="I52" s="242" t="str">
        <f>IF(Sheet1!I64="","",Sheet1!I64)</f>
        <v/>
      </c>
      <c r="J52" s="242">
        <f>IF(Sheet1!J64="","",Sheet1!J64)</f>
        <v>0.105</v>
      </c>
      <c r="K52" s="242">
        <f>IF(Sheet1!K64="","",Sheet1!K64)</f>
        <v>0.115</v>
      </c>
      <c r="L52" s="242">
        <f>IF(Sheet1!L64="","",Sheet1!L64)</f>
        <v>0.115</v>
      </c>
      <c r="M52" s="242">
        <f>IF(Sheet1!M64="","",Sheet1!M64)</f>
        <v>0.115</v>
      </c>
      <c r="N52" s="242">
        <f>IF(Sheet1!N64="","",Sheet1!N64)</f>
        <v>0.115</v>
      </c>
      <c r="O52" s="242">
        <f>IF(Sheet1!O64="","",Sheet1!O64)</f>
        <v>0.108</v>
      </c>
      <c r="P52" s="242">
        <f>IF(Sheet1!P64="","",Sheet1!P64)</f>
        <v>0.10100000000000001</v>
      </c>
      <c r="Q52" s="242">
        <f>IF(Sheet1!Q64="","",Sheet1!Q64)</f>
        <v>9.4E-2</v>
      </c>
      <c r="R52" s="242">
        <f>IF(Sheet1!R64="","",Sheet1!R64)</f>
        <v>8.6999999999999994E-2</v>
      </c>
      <c r="S52" s="242">
        <f>IF(Sheet1!S64="","",Sheet1!S64)</f>
        <v>0.08</v>
      </c>
    </row>
    <row r="53" spans="2:19">
      <c r="B53" t="s">
        <v>258</v>
      </c>
      <c r="D53" t="s">
        <v>1434</v>
      </c>
      <c r="E53" s="242" t="str">
        <f>IF(Sheet1!E65="","",Sheet1!E65)</f>
        <v/>
      </c>
      <c r="F53" s="242">
        <f>IF(Sheet1!F65="","",Sheet1!F65)</f>
        <v>0.32907801418439719</v>
      </c>
      <c r="G53" s="242">
        <f>IF(Sheet1!G65="","",Sheet1!G65)</f>
        <v>0.22262540021344712</v>
      </c>
      <c r="H53" s="242">
        <f>IF(Sheet1!H65="","",Sheet1!H65)</f>
        <v>0.21098114525139655</v>
      </c>
      <c r="I53" s="242">
        <f>IF(Sheet1!I65="","",Sheet1!I65)</f>
        <v>-2.8472572623080561E-3</v>
      </c>
      <c r="J53" s="242">
        <f>IF(Sheet1!J65="","",Sheet1!J65)</f>
        <v>0.08</v>
      </c>
      <c r="K53" s="242">
        <f>IF(Sheet1!K65="","",Sheet1!K65)</f>
        <v>0.09</v>
      </c>
      <c r="L53" s="242">
        <f>IF(Sheet1!L65="","",Sheet1!L65)</f>
        <v>0.09</v>
      </c>
      <c r="M53" s="242">
        <f>IF(Sheet1!M65="","",Sheet1!M65)</f>
        <v>0.09</v>
      </c>
      <c r="N53" s="242">
        <f>IF(Sheet1!N65="","",Sheet1!N65)</f>
        <v>0.09</v>
      </c>
      <c r="O53" s="242">
        <f>IF(Sheet1!O65="","",Sheet1!O65)</f>
        <v>8.5000000000000006E-2</v>
      </c>
      <c r="P53" s="242">
        <f>IF(Sheet1!P65="","",Sheet1!P65)</f>
        <v>0.08</v>
      </c>
      <c r="Q53" s="242">
        <f>IF(Sheet1!Q65="","",Sheet1!Q65)</f>
        <v>7.4999999999999997E-2</v>
      </c>
      <c r="R53" s="242">
        <f>IF(Sheet1!R65="","",Sheet1!R65)</f>
        <v>7.0000000000000007E-2</v>
      </c>
      <c r="S53" s="242">
        <f>IF(Sheet1!S65="","",Sheet1!S65)</f>
        <v>6.5000000000000002E-2</v>
      </c>
    </row>
    <row r="54" spans="2:19">
      <c r="B54" t="s">
        <v>1435</v>
      </c>
      <c r="D54" t="s">
        <v>1436</v>
      </c>
      <c r="E54" s="242" t="str">
        <f>IF(Sheet1!E66="","",Sheet1!E66)</f>
        <v/>
      </c>
      <c r="F54" s="242" t="str">
        <f>IF(Sheet1!F66="","",Sheet1!F66)</f>
        <v/>
      </c>
      <c r="G54" s="242" t="str">
        <f>IF(Sheet1!G66="","",Sheet1!G66)</f>
        <v/>
      </c>
      <c r="H54" s="242" t="str">
        <f>IF(Sheet1!H66="","",Sheet1!H66)</f>
        <v/>
      </c>
      <c r="I54" s="242" t="str">
        <f>IF(Sheet1!I66="","",Sheet1!I66)</f>
        <v/>
      </c>
      <c r="J54" s="242">
        <f>IF(Sheet1!J66="","",Sheet1!J66)</f>
        <v>0.125</v>
      </c>
      <c r="K54" s="242">
        <f>IF(Sheet1!K66="","",Sheet1!K66)</f>
        <v>0.105</v>
      </c>
      <c r="L54" s="242">
        <f>IF(Sheet1!L66="","",Sheet1!L66)</f>
        <v>8.5000000000000006E-2</v>
      </c>
      <c r="M54" s="242">
        <f>IF(Sheet1!M66="","",Sheet1!M66)</f>
        <v>7.4999999999999997E-2</v>
      </c>
      <c r="N54" s="242">
        <f>IF(Sheet1!N66="","",Sheet1!N66)</f>
        <v>6.5000000000000002E-2</v>
      </c>
      <c r="O54" s="242">
        <f>IF(Sheet1!O66="","",Sheet1!O66)</f>
        <v>6.2E-2</v>
      </c>
      <c r="P54" s="242">
        <f>IF(Sheet1!P66="","",Sheet1!P66)</f>
        <v>5.8999999999999997E-2</v>
      </c>
      <c r="Q54" s="242">
        <f>IF(Sheet1!Q66="","",Sheet1!Q66)</f>
        <v>5.6000000000000001E-2</v>
      </c>
      <c r="R54" s="242">
        <f>IF(Sheet1!R66="","",Sheet1!R66)</f>
        <v>5.2999999999999999E-2</v>
      </c>
      <c r="S54" s="242">
        <f>IF(Sheet1!S66="","",Sheet1!S66)</f>
        <v>0.05</v>
      </c>
    </row>
    <row r="55" spans="2:19">
      <c r="B55" t="s">
        <v>1437</v>
      </c>
      <c r="D55" t="s">
        <v>1438</v>
      </c>
      <c r="E55" s="242" t="str">
        <f>IF(Sheet1!E67="","",Sheet1!E67)</f>
        <v/>
      </c>
      <c r="F55" s="242" t="str">
        <f>IF(Sheet1!F67="","",Sheet1!F67)</f>
        <v/>
      </c>
      <c r="G55" s="242" t="str">
        <f>IF(Sheet1!G67="","",Sheet1!G67)</f>
        <v/>
      </c>
      <c r="H55" s="242" t="str">
        <f>IF(Sheet1!H67="","",Sheet1!H67)</f>
        <v/>
      </c>
      <c r="I55" s="242" t="str">
        <f>IF(Sheet1!I67="","",Sheet1!I67)</f>
        <v/>
      </c>
      <c r="J55" s="242">
        <f>IF(Sheet1!J67="","",Sheet1!J67)</f>
        <v>0.16</v>
      </c>
      <c r="K55" s="242">
        <f>IF(Sheet1!K67="","",Sheet1!K67)</f>
        <v>0.14000000000000001</v>
      </c>
      <c r="L55" s="242">
        <f>IF(Sheet1!L67="","",Sheet1!L67)</f>
        <v>0.12</v>
      </c>
      <c r="M55" s="242">
        <f>IF(Sheet1!M67="","",Sheet1!M67)</f>
        <v>0.11</v>
      </c>
      <c r="N55" s="242">
        <f>IF(Sheet1!N67="","",Sheet1!N67)</f>
        <v>0.1</v>
      </c>
      <c r="O55" s="242">
        <f>IF(Sheet1!O67="","",Sheet1!O67)</f>
        <v>9.2999999999999999E-2</v>
      </c>
      <c r="P55" s="242">
        <f>IF(Sheet1!P67="","",Sheet1!P67)</f>
        <v>8.5999999999999993E-2</v>
      </c>
      <c r="Q55" s="242">
        <f>IF(Sheet1!Q67="","",Sheet1!Q67)</f>
        <v>7.9000000000000001E-2</v>
      </c>
      <c r="R55" s="242">
        <f>IF(Sheet1!R67="","",Sheet1!R67)</f>
        <v>7.1999999999999995E-2</v>
      </c>
      <c r="S55" s="242">
        <f>IF(Sheet1!S67="","",Sheet1!S67)</f>
        <v>6.5000000000000002E-2</v>
      </c>
    </row>
    <row r="56" spans="2:19">
      <c r="B56" t="s">
        <v>1439</v>
      </c>
      <c r="D56" t="s">
        <v>1440</v>
      </c>
      <c r="E56" s="242" t="str">
        <f>IF(Sheet1!E68="","",Sheet1!E68)</f>
        <v/>
      </c>
      <c r="F56" s="242" t="str">
        <f>IF(Sheet1!F68="","",Sheet1!F68)</f>
        <v/>
      </c>
      <c r="G56" s="242" t="str">
        <f>IF(Sheet1!G68="","",Sheet1!G68)</f>
        <v/>
      </c>
      <c r="H56" s="242" t="str">
        <f>IF(Sheet1!H68="","",Sheet1!H68)</f>
        <v/>
      </c>
      <c r="I56" s="242" t="str">
        <f>IF(Sheet1!I68="","",Sheet1!I68)</f>
        <v/>
      </c>
      <c r="J56" s="242">
        <f>IF(Sheet1!J68="","",Sheet1!J68)</f>
        <v>0.185</v>
      </c>
      <c r="K56" s="242">
        <f>IF(Sheet1!K68="","",Sheet1!K68)</f>
        <v>0.16500000000000001</v>
      </c>
      <c r="L56" s="242">
        <f>IF(Sheet1!L68="","",Sheet1!L68)</f>
        <v>0.14499999999999999</v>
      </c>
      <c r="M56" s="242">
        <f>IF(Sheet1!M68="","",Sheet1!M68)</f>
        <v>0.13500000000000001</v>
      </c>
      <c r="N56" s="242">
        <f>IF(Sheet1!N68="","",Sheet1!N68)</f>
        <v>0.125</v>
      </c>
      <c r="O56" s="242">
        <f>IF(Sheet1!O68="","",Sheet1!O68)</f>
        <v>0.11600000000000001</v>
      </c>
      <c r="P56" s="242">
        <f>IF(Sheet1!P68="","",Sheet1!P68)</f>
        <v>0.107</v>
      </c>
      <c r="Q56" s="242">
        <f>IF(Sheet1!Q68="","",Sheet1!Q68)</f>
        <v>9.8000000000000004E-2</v>
      </c>
      <c r="R56" s="242">
        <f>IF(Sheet1!R68="","",Sheet1!R68)</f>
        <v>8.8999999999999996E-2</v>
      </c>
      <c r="S56" s="242">
        <f>IF(Sheet1!S68="","",Sheet1!S68)</f>
        <v>0.08</v>
      </c>
    </row>
    <row r="57" spans="2:19">
      <c r="B57" t="s">
        <v>262</v>
      </c>
      <c r="D57" t="s">
        <v>1441</v>
      </c>
      <c r="E57" s="242" t="str">
        <f>IF(Sheet1!E69="","",Sheet1!E69)</f>
        <v/>
      </c>
      <c r="F57" s="242">
        <f>IF(Sheet1!F69="","",Sheet1!F69)</f>
        <v>0.25989217666953146</v>
      </c>
      <c r="G57" s="242">
        <f>IF(Sheet1!G69="","",Sheet1!G69)</f>
        <v>0.15656256921373202</v>
      </c>
      <c r="H57" s="242">
        <f>IF(Sheet1!H69="","",Sheet1!H69)</f>
        <v>0.16343539108520311</v>
      </c>
      <c r="I57" s="242">
        <f>IF(Sheet1!I69="","",Sheet1!I69)</f>
        <v>0.15737771837532843</v>
      </c>
      <c r="J57" s="242">
        <f>IF(Sheet1!J69="","",Sheet1!J69)</f>
        <v>0.16</v>
      </c>
      <c r="K57" s="242">
        <f>IF(Sheet1!K69="","",Sheet1!K69)</f>
        <v>0.14000000000000001</v>
      </c>
      <c r="L57" s="242">
        <f>IF(Sheet1!L69="","",Sheet1!L69)</f>
        <v>0.12</v>
      </c>
      <c r="M57" s="242">
        <f>IF(Sheet1!M69="","",Sheet1!M69)</f>
        <v>0.11</v>
      </c>
      <c r="N57" s="242">
        <f>IF(Sheet1!N69="","",Sheet1!N69)</f>
        <v>0.1</v>
      </c>
      <c r="O57" s="242">
        <f>IF(Sheet1!O69="","",Sheet1!O69)</f>
        <v>9.2999999999999999E-2</v>
      </c>
      <c r="P57" s="242">
        <f>IF(Sheet1!P69="","",Sheet1!P69)</f>
        <v>8.5999999999999993E-2</v>
      </c>
      <c r="Q57" s="242">
        <f>IF(Sheet1!Q69="","",Sheet1!Q69)</f>
        <v>7.9000000000000001E-2</v>
      </c>
      <c r="R57" s="242">
        <f>IF(Sheet1!R69="","",Sheet1!R69)</f>
        <v>7.1999999999999995E-2</v>
      </c>
      <c r="S57" s="242">
        <f>IF(Sheet1!S69="","",Sheet1!S69)</f>
        <v>6.5000000000000002E-2</v>
      </c>
    </row>
    <row r="58" spans="2:19">
      <c r="B58" t="s">
        <v>1442</v>
      </c>
      <c r="D58" t="s">
        <v>1443</v>
      </c>
      <c r="E58" s="242" t="str">
        <f>IF(Sheet1!E70="","",Sheet1!E70)</f>
        <v/>
      </c>
      <c r="F58" s="242" t="str">
        <f>IF(Sheet1!F70="","",Sheet1!F70)</f>
        <v/>
      </c>
      <c r="G58" s="242" t="str">
        <f>IF(Sheet1!G70="","",Sheet1!G70)</f>
        <v/>
      </c>
      <c r="H58" s="242" t="str">
        <f>IF(Sheet1!H70="","",Sheet1!H70)</f>
        <v/>
      </c>
      <c r="I58" s="242" t="str">
        <f>IF(Sheet1!I70="","",Sheet1!I70)</f>
        <v/>
      </c>
      <c r="J58" s="242">
        <f>IF(Sheet1!J70="","",Sheet1!J70)</f>
        <v>0.59499999999999997</v>
      </c>
      <c r="K58" s="242">
        <f>IF(Sheet1!K70="","",Sheet1!K70)</f>
        <v>0.58499999999999996</v>
      </c>
      <c r="L58" s="242">
        <f>IF(Sheet1!L70="","",Sheet1!L70)</f>
        <v>0.57999999999999996</v>
      </c>
      <c r="M58" s="242">
        <f>IF(Sheet1!M70="","",Sheet1!M70)</f>
        <v>0.57999999999999996</v>
      </c>
      <c r="N58" s="242">
        <f>IF(Sheet1!N70="","",Sheet1!N70)</f>
        <v>0.57999999999999996</v>
      </c>
      <c r="O58" s="242">
        <f>IF(Sheet1!O70="","",Sheet1!O70)</f>
        <v>0.57999999999999996</v>
      </c>
      <c r="P58" s="242">
        <f>IF(Sheet1!P70="","",Sheet1!P70)</f>
        <v>0.57999999999999996</v>
      </c>
      <c r="Q58" s="242">
        <f>IF(Sheet1!Q70="","",Sheet1!Q70)</f>
        <v>0.57999999999999996</v>
      </c>
      <c r="R58" s="242">
        <f>IF(Sheet1!R70="","",Sheet1!R70)</f>
        <v>0.57999999999999996</v>
      </c>
      <c r="S58" s="242">
        <f>IF(Sheet1!S70="","",Sheet1!S70)</f>
        <v>0.57999999999999996</v>
      </c>
    </row>
    <row r="59" spans="2:19">
      <c r="B59" t="s">
        <v>1444</v>
      </c>
      <c r="D59" t="s">
        <v>1445</v>
      </c>
      <c r="E59" s="242" t="str">
        <f>IF(Sheet1!E71="","",Sheet1!E71)</f>
        <v/>
      </c>
      <c r="F59" s="242" t="str">
        <f>IF(Sheet1!F71="","",Sheet1!F71)</f>
        <v/>
      </c>
      <c r="G59" s="242" t="str">
        <f>IF(Sheet1!G71="","",Sheet1!G71)</f>
        <v/>
      </c>
      <c r="H59" s="242" t="str">
        <f>IF(Sheet1!H71="","",Sheet1!H71)</f>
        <v/>
      </c>
      <c r="I59" s="242" t="str">
        <f>IF(Sheet1!I71="","",Sheet1!I71)</f>
        <v/>
      </c>
      <c r="J59" s="242">
        <f>IF(Sheet1!J71="","",Sheet1!J71)</f>
        <v>0.61</v>
      </c>
      <c r="K59" s="242">
        <f>IF(Sheet1!K71="","",Sheet1!K71)</f>
        <v>0.61</v>
      </c>
      <c r="L59" s="242">
        <f>IF(Sheet1!L71="","",Sheet1!L71)</f>
        <v>0.61</v>
      </c>
      <c r="M59" s="242">
        <f>IF(Sheet1!M71="","",Sheet1!M71)</f>
        <v>0.61</v>
      </c>
      <c r="N59" s="242">
        <f>IF(Sheet1!N71="","",Sheet1!N71)</f>
        <v>0.61</v>
      </c>
      <c r="O59" s="242">
        <f>IF(Sheet1!O71="","",Sheet1!O71)</f>
        <v>0.61</v>
      </c>
      <c r="P59" s="242">
        <f>IF(Sheet1!P71="","",Sheet1!P71)</f>
        <v>0.61</v>
      </c>
      <c r="Q59" s="242">
        <f>IF(Sheet1!Q71="","",Sheet1!Q71)</f>
        <v>0.61</v>
      </c>
      <c r="R59" s="242">
        <f>IF(Sheet1!R71="","",Sheet1!R71)</f>
        <v>0.61</v>
      </c>
      <c r="S59" s="242">
        <f>IF(Sheet1!S71="","",Sheet1!S71)</f>
        <v>0.61</v>
      </c>
    </row>
    <row r="60" spans="2:19">
      <c r="B60" t="s">
        <v>1446</v>
      </c>
      <c r="D60" t="s">
        <v>1447</v>
      </c>
      <c r="E60" s="242" t="str">
        <f>IF(Sheet1!E72="","",Sheet1!E72)</f>
        <v/>
      </c>
      <c r="F60" s="242" t="str">
        <f>IF(Sheet1!F72="","",Sheet1!F72)</f>
        <v/>
      </c>
      <c r="G60" s="242" t="str">
        <f>IF(Sheet1!G72="","",Sheet1!G72)</f>
        <v/>
      </c>
      <c r="H60" s="242" t="str">
        <f>IF(Sheet1!H72="","",Sheet1!H72)</f>
        <v/>
      </c>
      <c r="I60" s="242" t="str">
        <f>IF(Sheet1!I72="","",Sheet1!I72)</f>
        <v/>
      </c>
      <c r="J60" s="242">
        <f>IF(Sheet1!J72="","",Sheet1!J72)</f>
        <v>0.62</v>
      </c>
      <c r="K60" s="242">
        <f>IF(Sheet1!K72="","",Sheet1!K72)</f>
        <v>0.625</v>
      </c>
      <c r="L60" s="242">
        <f>IF(Sheet1!L72="","",Sheet1!L72)</f>
        <v>0.63</v>
      </c>
      <c r="M60" s="242">
        <f>IF(Sheet1!M72="","",Sheet1!M72)</f>
        <v>0.63</v>
      </c>
      <c r="N60" s="242">
        <f>IF(Sheet1!N72="","",Sheet1!N72)</f>
        <v>0.63</v>
      </c>
      <c r="O60" s="242">
        <f>IF(Sheet1!O72="","",Sheet1!O72)</f>
        <v>0.63</v>
      </c>
      <c r="P60" s="242">
        <f>IF(Sheet1!P72="","",Sheet1!P72)</f>
        <v>0.63</v>
      </c>
      <c r="Q60" s="242">
        <f>IF(Sheet1!Q72="","",Sheet1!Q72)</f>
        <v>0.63</v>
      </c>
      <c r="R60" s="242">
        <f>IF(Sheet1!R72="","",Sheet1!R72)</f>
        <v>0.63</v>
      </c>
      <c r="S60" s="242">
        <f>IF(Sheet1!S72="","",Sheet1!S72)</f>
        <v>0.63</v>
      </c>
    </row>
    <row r="61" spans="2:19">
      <c r="B61" t="s">
        <v>266</v>
      </c>
      <c r="D61" t="s">
        <v>1448</v>
      </c>
      <c r="E61" s="242">
        <f>IF(Sheet1!E73="","",Sheet1!E73)</f>
        <v>0.57908272610372913</v>
      </c>
      <c r="F61" s="242">
        <f>IF(Sheet1!F73="","",Sheet1!F73)</f>
        <v>0.61571908784623564</v>
      </c>
      <c r="G61" s="242">
        <f>IF(Sheet1!G73="","",Sheet1!G73)</f>
        <v>0.60565739086035231</v>
      </c>
      <c r="H61" s="242">
        <f>IF(Sheet1!H73="","",Sheet1!H73)</f>
        <v>0.60121421634794503</v>
      </c>
      <c r="I61" s="242">
        <f>IF(Sheet1!I73="","",Sheet1!I73)</f>
        <v>0.61619652604937336</v>
      </c>
      <c r="J61" s="242">
        <f>IF(Sheet1!J73="","",Sheet1!J73)</f>
        <v>0.61</v>
      </c>
      <c r="K61" s="242">
        <f>IF(Sheet1!K73="","",Sheet1!K73)</f>
        <v>0.61</v>
      </c>
      <c r="L61" s="242">
        <f>IF(Sheet1!L73="","",Sheet1!L73)</f>
        <v>0.61</v>
      </c>
      <c r="M61" s="242">
        <f>IF(Sheet1!M73="","",Sheet1!M73)</f>
        <v>0.61</v>
      </c>
      <c r="N61" s="242">
        <f>IF(Sheet1!N73="","",Sheet1!N73)</f>
        <v>0.61</v>
      </c>
      <c r="O61" s="242">
        <f>IF(Sheet1!O73="","",Sheet1!O73)</f>
        <v>0.61</v>
      </c>
      <c r="P61" s="242">
        <f>IF(Sheet1!P73="","",Sheet1!P73)</f>
        <v>0.61</v>
      </c>
      <c r="Q61" s="242">
        <f>IF(Sheet1!Q73="","",Sheet1!Q73)</f>
        <v>0.61</v>
      </c>
      <c r="R61" s="242">
        <f>IF(Sheet1!R73="","",Sheet1!R73)</f>
        <v>0.61</v>
      </c>
      <c r="S61" s="242">
        <f>IF(Sheet1!S73="","",Sheet1!S73)</f>
        <v>0.61</v>
      </c>
    </row>
    <row r="62" spans="2:19">
      <c r="B62" t="s">
        <v>267</v>
      </c>
      <c r="D62" t="s">
        <v>1449</v>
      </c>
      <c r="E62" s="242">
        <f>IF(Sheet1!E74="","",Sheet1!E74)</f>
        <v>0.73420917273896269</v>
      </c>
      <c r="F62" s="242">
        <f>IF(Sheet1!F74="","",Sheet1!F74)</f>
        <v>0.79430649620828253</v>
      </c>
      <c r="G62" s="242">
        <f>IF(Sheet1!G74="","",Sheet1!G74)</f>
        <v>0.81802740192324053</v>
      </c>
      <c r="H62" s="242">
        <f>IF(Sheet1!H74="","",Sheet1!H74)</f>
        <v>0.85044311567426267</v>
      </c>
      <c r="I62" s="242">
        <f>IF(Sheet1!I74="","",Sheet1!I74)</f>
        <v>0.83798480376568052</v>
      </c>
      <c r="J62" s="242">
        <f>IF(Sheet1!J74="","",Sheet1!J74)</f>
        <v>0.85</v>
      </c>
      <c r="K62" s="242">
        <f>IF(Sheet1!K74="","",Sheet1!K74)</f>
        <v>0.86</v>
      </c>
      <c r="L62" s="242">
        <f>IF(Sheet1!L74="","",Sheet1!L74)</f>
        <v>0.87</v>
      </c>
      <c r="M62" s="242">
        <f>IF(Sheet1!M74="","",Sheet1!M74)</f>
        <v>0.87</v>
      </c>
      <c r="N62" s="242">
        <f>IF(Sheet1!N74="","",Sheet1!N74)</f>
        <v>0.87</v>
      </c>
      <c r="O62" s="242">
        <f>IF(Sheet1!O74="","",Sheet1!O74)</f>
        <v>0.87</v>
      </c>
      <c r="P62" s="242">
        <f>IF(Sheet1!P74="","",Sheet1!P74)</f>
        <v>0.87</v>
      </c>
      <c r="Q62" s="242">
        <f>IF(Sheet1!Q74="","",Sheet1!Q74)</f>
        <v>0.87</v>
      </c>
      <c r="R62" s="242">
        <f>IF(Sheet1!R74="","",Sheet1!R74)</f>
        <v>0.87</v>
      </c>
      <c r="S62" s="242">
        <f>IF(Sheet1!S74="","",Sheet1!S74)</f>
        <v>0.87</v>
      </c>
    </row>
    <row r="63" spans="2:19" ht="20.100000000000001" customHeight="1">
      <c r="B63" s="3" t="s">
        <v>1450</v>
      </c>
      <c r="C63" s="3"/>
      <c r="D63" s="3"/>
      <c r="E63" s="2"/>
      <c r="F63" s="2"/>
      <c r="G63" s="2"/>
      <c r="H63" s="2"/>
      <c r="I63" s="2"/>
      <c r="J63" s="2"/>
      <c r="K63" s="2"/>
      <c r="L63" s="2"/>
      <c r="M63" s="2"/>
      <c r="N63" s="2"/>
      <c r="O63" s="2"/>
      <c r="P63" s="2"/>
      <c r="Q63" s="2"/>
      <c r="R63" s="2"/>
      <c r="S63" s="2"/>
    </row>
    <row r="64" spans="2:19">
      <c r="B64" t="s">
        <v>269</v>
      </c>
      <c r="D64" t="s">
        <v>1451</v>
      </c>
      <c r="E64" s="242" t="str">
        <f>IF(Sheet1!E76="","",Sheet1!E76)</f>
        <v>FY21A</v>
      </c>
      <c r="F64" s="242" t="str">
        <f>IF(Sheet1!F76="","",Sheet1!F76)</f>
        <v>FY22A</v>
      </c>
      <c r="G64" s="242" t="str">
        <f>IF(Sheet1!G76="","",Sheet1!G76)</f>
        <v>FY23A</v>
      </c>
      <c r="H64" s="242" t="str">
        <f>IF(Sheet1!H76="","",Sheet1!H76)</f>
        <v>FY24A</v>
      </c>
      <c r="I64" s="242" t="str">
        <f>IF(Sheet1!I76="","",Sheet1!I76)</f>
        <v>FY25A</v>
      </c>
      <c r="J64" s="242" t="str">
        <f>IF(Sheet1!J76="","",Sheet1!J76)</f>
        <v>FY26E</v>
      </c>
      <c r="K64" s="242" t="str">
        <f>IF(Sheet1!K76="","",Sheet1!K76)</f>
        <v>FY27E</v>
      </c>
      <c r="L64" s="242" t="str">
        <f>IF(Sheet1!L76="","",Sheet1!L76)</f>
        <v>FY28E</v>
      </c>
      <c r="M64" s="242" t="str">
        <f>IF(Sheet1!M76="","",Sheet1!M76)</f>
        <v>FY29E</v>
      </c>
      <c r="N64" s="242" t="str">
        <f>IF(Sheet1!N76="","",Sheet1!N76)</f>
        <v>FY30E</v>
      </c>
      <c r="O64" s="242" t="str">
        <f>IF(Sheet1!O76="","",Sheet1!O76)</f>
        <v>FY31E</v>
      </c>
      <c r="P64" s="242" t="str">
        <f>IF(Sheet1!P76="","",Sheet1!P76)</f>
        <v>FY32E</v>
      </c>
      <c r="Q64" s="242" t="str">
        <f>IF(Sheet1!Q76="","",Sheet1!Q76)</f>
        <v>FY33E</v>
      </c>
      <c r="R64" s="242" t="str">
        <f>IF(Sheet1!R76="","",Sheet1!R76)</f>
        <v>FY34E</v>
      </c>
      <c r="S64" s="242" t="str">
        <f>IF(Sheet1!S76="","",Sheet1!S76)</f>
        <v>FY35E</v>
      </c>
    </row>
    <row r="65" spans="2:19">
      <c r="B65" t="s">
        <v>1452</v>
      </c>
      <c r="D65" t="s">
        <v>1453</v>
      </c>
      <c r="E65" s="242" t="str">
        <f>IF(Sheet1!E77="","",Sheet1!E77)</f>
        <v/>
      </c>
      <c r="F65" s="242" t="str">
        <f>IF(Sheet1!F77="","",Sheet1!F77)</f>
        <v/>
      </c>
      <c r="G65" s="242" t="str">
        <f>IF(Sheet1!G77="","",Sheet1!G77)</f>
        <v/>
      </c>
      <c r="H65" s="242" t="str">
        <f>IF(Sheet1!H77="","",Sheet1!H77)</f>
        <v/>
      </c>
      <c r="I65" s="242" t="str">
        <f>IF(Sheet1!I77="","",Sheet1!I77)</f>
        <v/>
      </c>
      <c r="J65" s="242">
        <f>IF(Sheet1!J77="","",Sheet1!J77)</f>
        <v>-9.4999999999999998E-3</v>
      </c>
      <c r="K65" s="242">
        <f>IF(Sheet1!K77="","",Sheet1!K77)</f>
        <v>0</v>
      </c>
      <c r="L65" s="242">
        <f>IF(Sheet1!L77="","",Sheet1!L77)</f>
        <v>0</v>
      </c>
      <c r="M65" s="242">
        <f>IF(Sheet1!M77="","",Sheet1!M77)</f>
        <v>0</v>
      </c>
      <c r="N65" s="242">
        <f>IF(Sheet1!N77="","",Sheet1!N77)</f>
        <v>0</v>
      </c>
      <c r="O65" s="242">
        <f>IF(Sheet1!O77="","",Sheet1!O77)</f>
        <v>0</v>
      </c>
      <c r="P65" s="242">
        <f>IF(Sheet1!P77="","",Sheet1!P77)</f>
        <v>0</v>
      </c>
      <c r="Q65" s="242">
        <f>IF(Sheet1!Q77="","",Sheet1!Q77)</f>
        <v>0</v>
      </c>
      <c r="R65" s="242">
        <f>IF(Sheet1!R77="","",Sheet1!R77)</f>
        <v>0</v>
      </c>
      <c r="S65" s="242">
        <f>IF(Sheet1!S77="","",Sheet1!S77)</f>
        <v>0</v>
      </c>
    </row>
    <row r="66" spans="2:19">
      <c r="B66" t="s">
        <v>1454</v>
      </c>
      <c r="D66" t="s">
        <v>1455</v>
      </c>
      <c r="E66" s="242" t="str">
        <f>IF(Sheet1!E78="","",Sheet1!E78)</f>
        <v/>
      </c>
      <c r="F66" s="242" t="str">
        <f>IF(Sheet1!F78="","",Sheet1!F78)</f>
        <v/>
      </c>
      <c r="G66" s="242" t="str">
        <f>IF(Sheet1!G78="","",Sheet1!G78)</f>
        <v/>
      </c>
      <c r="H66" s="242" t="str">
        <f>IF(Sheet1!H78="","",Sheet1!H78)</f>
        <v/>
      </c>
      <c r="I66" s="242" t="str">
        <f>IF(Sheet1!I78="","",Sheet1!I78)</f>
        <v/>
      </c>
      <c r="J66" s="242">
        <f>IF(Sheet1!J78="","",Sheet1!J78)</f>
        <v>-8.9999999999999993E-3</v>
      </c>
      <c r="K66" s="242">
        <f>IF(Sheet1!K78="","",Sheet1!K78)</f>
        <v>0</v>
      </c>
      <c r="L66" s="242">
        <f>IF(Sheet1!L78="","",Sheet1!L78)</f>
        <v>0</v>
      </c>
      <c r="M66" s="242">
        <f>IF(Sheet1!M78="","",Sheet1!M78)</f>
        <v>0</v>
      </c>
      <c r="N66" s="242">
        <f>IF(Sheet1!N78="","",Sheet1!N78)</f>
        <v>0</v>
      </c>
      <c r="O66" s="242">
        <f>IF(Sheet1!O78="","",Sheet1!O78)</f>
        <v>0</v>
      </c>
      <c r="P66" s="242">
        <f>IF(Sheet1!P78="","",Sheet1!P78)</f>
        <v>0</v>
      </c>
      <c r="Q66" s="242">
        <f>IF(Sheet1!Q78="","",Sheet1!Q78)</f>
        <v>0</v>
      </c>
      <c r="R66" s="242">
        <f>IF(Sheet1!R78="","",Sheet1!R78)</f>
        <v>0</v>
      </c>
      <c r="S66" s="242">
        <f>IF(Sheet1!S78="","",Sheet1!S78)</f>
        <v>0</v>
      </c>
    </row>
    <row r="67" spans="2:19">
      <c r="B67" t="s">
        <v>1456</v>
      </c>
      <c r="D67" t="s">
        <v>1457</v>
      </c>
      <c r="E67" s="242" t="str">
        <f>IF(Sheet1!E79="","",Sheet1!E79)</f>
        <v/>
      </c>
      <c r="F67" s="242" t="str">
        <f>IF(Sheet1!F79="","",Sheet1!F79)</f>
        <v/>
      </c>
      <c r="G67" s="242" t="str">
        <f>IF(Sheet1!G79="","",Sheet1!G79)</f>
        <v/>
      </c>
      <c r="H67" s="242" t="str">
        <f>IF(Sheet1!H79="","",Sheet1!H79)</f>
        <v/>
      </c>
      <c r="I67" s="242" t="str">
        <f>IF(Sheet1!I79="","",Sheet1!I79)</f>
        <v/>
      </c>
      <c r="J67" s="242">
        <f>IF(Sheet1!J79="","",Sheet1!J79)</f>
        <v>-8.5000000000000006E-3</v>
      </c>
      <c r="K67" s="242">
        <f>IF(Sheet1!K79="","",Sheet1!K79)</f>
        <v>0</v>
      </c>
      <c r="L67" s="242">
        <f>IF(Sheet1!L79="","",Sheet1!L79)</f>
        <v>5.0000000000000001E-4</v>
      </c>
      <c r="M67" s="242">
        <f>IF(Sheet1!M79="","",Sheet1!M79)</f>
        <v>5.0000000000000001E-4</v>
      </c>
      <c r="N67" s="242">
        <f>IF(Sheet1!N79="","",Sheet1!N79)</f>
        <v>5.0000000000000001E-4</v>
      </c>
      <c r="O67" s="242">
        <f>IF(Sheet1!O79="","",Sheet1!O79)</f>
        <v>0</v>
      </c>
      <c r="P67" s="242">
        <f>IF(Sheet1!P79="","",Sheet1!P79)</f>
        <v>0</v>
      </c>
      <c r="Q67" s="242">
        <f>IF(Sheet1!Q79="","",Sheet1!Q79)</f>
        <v>0</v>
      </c>
      <c r="R67" s="242">
        <f>IF(Sheet1!R79="","",Sheet1!R79)</f>
        <v>0</v>
      </c>
      <c r="S67" s="242">
        <f>IF(Sheet1!S79="","",Sheet1!S79)</f>
        <v>0</v>
      </c>
    </row>
    <row r="68" spans="2:19">
      <c r="B68" t="s">
        <v>273</v>
      </c>
      <c r="D68" t="s">
        <v>1458</v>
      </c>
      <c r="E68" s="242" t="str">
        <f>IF(Sheet1!E80="","",Sheet1!E80)</f>
        <v/>
      </c>
      <c r="F68" s="242">
        <f>IF(Sheet1!F80="","",Sheet1!F80)</f>
        <v>0.10355210490903574</v>
      </c>
      <c r="G68" s="242">
        <f>IF(Sheet1!G80="","",Sheet1!G80)</f>
        <v>-4.2184010565291669E-3</v>
      </c>
      <c r="H68" s="242">
        <f>IF(Sheet1!H80="","",Sheet1!H80)</f>
        <v>-1.8072994978167722E-3</v>
      </c>
      <c r="I68" s="242">
        <f>IF(Sheet1!I80="","",Sheet1!I80)</f>
        <v>-2.8861632798980186E-3</v>
      </c>
      <c r="J68" s="242">
        <f>IF(Sheet1!J80="","",Sheet1!J80)</f>
        <v>-8.9999999999999993E-3</v>
      </c>
      <c r="K68" s="242">
        <f>IF(Sheet1!K80="","",Sheet1!K80)</f>
        <v>0</v>
      </c>
      <c r="L68" s="242">
        <f>IF(Sheet1!L80="","",Sheet1!L80)</f>
        <v>0</v>
      </c>
      <c r="M68" s="242">
        <f>IF(Sheet1!M80="","",Sheet1!M80)</f>
        <v>0</v>
      </c>
      <c r="N68" s="242">
        <f>IF(Sheet1!N80="","",Sheet1!N80)</f>
        <v>0</v>
      </c>
      <c r="O68" s="242">
        <f>IF(Sheet1!O80="","",Sheet1!O80)</f>
        <v>0</v>
      </c>
      <c r="P68" s="242">
        <f>IF(Sheet1!P80="","",Sheet1!P80)</f>
        <v>0</v>
      </c>
      <c r="Q68" s="242">
        <f>IF(Sheet1!Q80="","",Sheet1!Q80)</f>
        <v>0</v>
      </c>
      <c r="R68" s="242">
        <f>IF(Sheet1!R80="","",Sheet1!R80)</f>
        <v>0</v>
      </c>
      <c r="S68" s="242">
        <f>IF(Sheet1!S80="","",Sheet1!S80)</f>
        <v>0</v>
      </c>
    </row>
    <row r="69" spans="2:19">
      <c r="B69" t="s">
        <v>1459</v>
      </c>
      <c r="D69" t="s">
        <v>1460</v>
      </c>
      <c r="E69" s="242" t="str">
        <f>IF(Sheet1!E81="","",Sheet1!E81)</f>
        <v/>
      </c>
      <c r="F69" s="242" t="str">
        <f>IF(Sheet1!F81="","",Sheet1!F81)</f>
        <v/>
      </c>
      <c r="G69" s="242" t="str">
        <f>IF(Sheet1!G81="","",Sheet1!G81)</f>
        <v/>
      </c>
      <c r="H69" s="242" t="str">
        <f>IF(Sheet1!H81="","",Sheet1!H81)</f>
        <v/>
      </c>
      <c r="I69" s="242" t="str">
        <f>IF(Sheet1!I81="","",Sheet1!I81)</f>
        <v/>
      </c>
      <c r="J69" s="242">
        <f>IF(Sheet1!J81="","",Sheet1!J81)</f>
        <v>-8.5000000000000006E-3</v>
      </c>
      <c r="K69" s="242">
        <f>IF(Sheet1!K81="","",Sheet1!K81)</f>
        <v>0</v>
      </c>
      <c r="L69" s="242">
        <f>IF(Sheet1!L81="","",Sheet1!L81)</f>
        <v>0</v>
      </c>
      <c r="M69" s="242">
        <f>IF(Sheet1!M81="","",Sheet1!M81)</f>
        <v>0</v>
      </c>
      <c r="N69" s="242">
        <f>IF(Sheet1!N81="","",Sheet1!N81)</f>
        <v>0</v>
      </c>
      <c r="O69" s="242">
        <f>IF(Sheet1!O81="","",Sheet1!O81)</f>
        <v>0</v>
      </c>
      <c r="P69" s="242">
        <f>IF(Sheet1!P81="","",Sheet1!P81)</f>
        <v>0</v>
      </c>
      <c r="Q69" s="242">
        <f>IF(Sheet1!Q81="","",Sheet1!Q81)</f>
        <v>0</v>
      </c>
      <c r="R69" s="242">
        <f>IF(Sheet1!R81="","",Sheet1!R81)</f>
        <v>0</v>
      </c>
      <c r="S69" s="242">
        <f>IF(Sheet1!S81="","",Sheet1!S81)</f>
        <v>0</v>
      </c>
    </row>
    <row r="70" spans="2:19">
      <c r="B70" t="s">
        <v>1461</v>
      </c>
      <c r="D70" t="s">
        <v>1462</v>
      </c>
      <c r="E70" s="242" t="str">
        <f>IF(Sheet1!E82="","",Sheet1!E82)</f>
        <v/>
      </c>
      <c r="F70" s="242" t="str">
        <f>IF(Sheet1!F82="","",Sheet1!F82)</f>
        <v/>
      </c>
      <c r="G70" s="242" t="str">
        <f>IF(Sheet1!G82="","",Sheet1!G82)</f>
        <v/>
      </c>
      <c r="H70" s="242" t="str">
        <f>IF(Sheet1!H82="","",Sheet1!H82)</f>
        <v/>
      </c>
      <c r="I70" s="242" t="str">
        <f>IF(Sheet1!I82="","",Sheet1!I82)</f>
        <v/>
      </c>
      <c r="J70" s="242">
        <f>IF(Sheet1!J82="","",Sheet1!J82)</f>
        <v>-0.01</v>
      </c>
      <c r="K70" s="242">
        <f>IF(Sheet1!K82="","",Sheet1!K82)</f>
        <v>0</v>
      </c>
      <c r="L70" s="242">
        <f>IF(Sheet1!L82="","",Sheet1!L82)</f>
        <v>0</v>
      </c>
      <c r="M70" s="242">
        <f>IF(Sheet1!M82="","",Sheet1!M82)</f>
        <v>0</v>
      </c>
      <c r="N70" s="242">
        <f>IF(Sheet1!N82="","",Sheet1!N82)</f>
        <v>0</v>
      </c>
      <c r="O70" s="242">
        <f>IF(Sheet1!O82="","",Sheet1!O82)</f>
        <v>0</v>
      </c>
      <c r="P70" s="242">
        <f>IF(Sheet1!P82="","",Sheet1!P82)</f>
        <v>0</v>
      </c>
      <c r="Q70" s="242">
        <f>IF(Sheet1!Q82="","",Sheet1!Q82)</f>
        <v>0</v>
      </c>
      <c r="R70" s="242">
        <f>IF(Sheet1!R82="","",Sheet1!R82)</f>
        <v>0</v>
      </c>
      <c r="S70" s="242">
        <f>IF(Sheet1!S82="","",Sheet1!S82)</f>
        <v>0</v>
      </c>
    </row>
    <row r="71" spans="2:19">
      <c r="B71" t="s">
        <v>1463</v>
      </c>
      <c r="D71" t="s">
        <v>1464</v>
      </c>
      <c r="E71" s="242" t="str">
        <f>IF(Sheet1!E83="","",Sheet1!E83)</f>
        <v/>
      </c>
      <c r="F71" s="242" t="str">
        <f>IF(Sheet1!F83="","",Sheet1!F83)</f>
        <v/>
      </c>
      <c r="G71" s="242" t="str">
        <f>IF(Sheet1!G83="","",Sheet1!G83)</f>
        <v/>
      </c>
      <c r="H71" s="242" t="str">
        <f>IF(Sheet1!H83="","",Sheet1!H83)</f>
        <v/>
      </c>
      <c r="I71" s="242" t="str">
        <f>IF(Sheet1!I83="","",Sheet1!I83)</f>
        <v/>
      </c>
      <c r="J71" s="242">
        <f>IF(Sheet1!J83="","",Sheet1!J83)</f>
        <v>-1.15E-2</v>
      </c>
      <c r="K71" s="242">
        <f>IF(Sheet1!K83="","",Sheet1!K83)</f>
        <v>-5.0000000000000001E-4</v>
      </c>
      <c r="L71" s="242">
        <f>IF(Sheet1!L83="","",Sheet1!L83)</f>
        <v>0</v>
      </c>
      <c r="M71" s="242">
        <f>IF(Sheet1!M83="","",Sheet1!M83)</f>
        <v>0</v>
      </c>
      <c r="N71" s="242">
        <f>IF(Sheet1!N83="","",Sheet1!N83)</f>
        <v>0</v>
      </c>
      <c r="O71" s="242">
        <f>IF(Sheet1!O83="","",Sheet1!O83)</f>
        <v>0</v>
      </c>
      <c r="P71" s="242">
        <f>IF(Sheet1!P83="","",Sheet1!P83)</f>
        <v>0</v>
      </c>
      <c r="Q71" s="242">
        <f>IF(Sheet1!Q83="","",Sheet1!Q83)</f>
        <v>0</v>
      </c>
      <c r="R71" s="242">
        <f>IF(Sheet1!R83="","",Sheet1!R83)</f>
        <v>0</v>
      </c>
      <c r="S71" s="242">
        <f>IF(Sheet1!S83="","",Sheet1!S83)</f>
        <v>0</v>
      </c>
    </row>
    <row r="72" spans="2:19">
      <c r="B72" t="s">
        <v>278</v>
      </c>
      <c r="D72" t="s">
        <v>1465</v>
      </c>
      <c r="E72" s="242" t="str">
        <f>IF(Sheet1!E84="","",Sheet1!E84)</f>
        <v/>
      </c>
      <c r="F72" s="242">
        <f>IF(Sheet1!F84="","",Sheet1!F84)</f>
        <v>-5.9999999999999984E-3</v>
      </c>
      <c r="G72" s="242">
        <f>IF(Sheet1!G84="","",Sheet1!G84)</f>
        <v>1.2999999999999998E-2</v>
      </c>
      <c r="H72" s="242">
        <f>IF(Sheet1!H84="","",Sheet1!H84)</f>
        <v>3.9999999999999966E-3</v>
      </c>
      <c r="I72" s="242">
        <f>IF(Sheet1!I84="","",Sheet1!I84)</f>
        <v>-9.9999999999999395E-4</v>
      </c>
      <c r="J72" s="242">
        <f>IF(Sheet1!J84="","",Sheet1!J84)</f>
        <v>-0.01</v>
      </c>
      <c r="K72" s="242">
        <f>IF(Sheet1!K84="","",Sheet1!K84)</f>
        <v>0</v>
      </c>
      <c r="L72" s="242">
        <f>IF(Sheet1!L84="","",Sheet1!L84)</f>
        <v>0</v>
      </c>
      <c r="M72" s="242">
        <f>IF(Sheet1!M84="","",Sheet1!M84)</f>
        <v>0</v>
      </c>
      <c r="N72" s="242">
        <f>IF(Sheet1!N84="","",Sheet1!N84)</f>
        <v>0</v>
      </c>
      <c r="O72" s="242">
        <f>IF(Sheet1!O84="","",Sheet1!O84)</f>
        <v>0</v>
      </c>
      <c r="P72" s="242">
        <f>IF(Sheet1!P84="","",Sheet1!P84)</f>
        <v>0</v>
      </c>
      <c r="Q72" s="242">
        <f>IF(Sheet1!Q84="","",Sheet1!Q84)</f>
        <v>0</v>
      </c>
      <c r="R72" s="242">
        <f>IF(Sheet1!R84="","",Sheet1!R84)</f>
        <v>0</v>
      </c>
      <c r="S72" s="242">
        <f>IF(Sheet1!S84="","",Sheet1!S84)</f>
        <v>0</v>
      </c>
    </row>
    <row r="73" spans="2:19">
      <c r="B73" t="s">
        <v>280</v>
      </c>
      <c r="D73" t="s">
        <v>1466</v>
      </c>
      <c r="E73" s="242" t="str">
        <f>IF(Sheet1!E85="","",Sheet1!E85)</f>
        <v/>
      </c>
      <c r="F73" s="242" t="str">
        <f>IF(Sheet1!F85="","",Sheet1!F85)</f>
        <v/>
      </c>
      <c r="G73" s="242" t="str">
        <f>IF(Sheet1!G85="","",Sheet1!G85)</f>
        <v/>
      </c>
      <c r="H73" s="242" t="str">
        <f>IF(Sheet1!H85="","",Sheet1!H85)</f>
        <v/>
      </c>
      <c r="I73" s="242" t="str">
        <f>IF(Sheet1!I85="","",Sheet1!I85)</f>
        <v/>
      </c>
      <c r="J73" s="242">
        <f>IF(Sheet1!J85="","",Sheet1!J85)</f>
        <v>-3.0000000000000001E-3</v>
      </c>
      <c r="K73" s="242">
        <f>IF(Sheet1!K85="","",Sheet1!K85)</f>
        <v>0</v>
      </c>
      <c r="L73" s="242">
        <f>IF(Sheet1!L85="","",Sheet1!L85)</f>
        <v>0</v>
      </c>
      <c r="M73" s="242">
        <f>IF(Sheet1!M85="","",Sheet1!M85)</f>
        <v>0</v>
      </c>
      <c r="N73" s="242">
        <f>IF(Sheet1!N85="","",Sheet1!N85)</f>
        <v>0</v>
      </c>
      <c r="O73" s="242">
        <f>IF(Sheet1!O85="","",Sheet1!O85)</f>
        <v>0</v>
      </c>
      <c r="P73" s="242">
        <f>IF(Sheet1!P85="","",Sheet1!P85)</f>
        <v>0</v>
      </c>
      <c r="Q73" s="242">
        <f>IF(Sheet1!Q85="","",Sheet1!Q85)</f>
        <v>0</v>
      </c>
      <c r="R73" s="242">
        <f>IF(Sheet1!R85="","",Sheet1!R85)</f>
        <v>0</v>
      </c>
      <c r="S73" s="242">
        <f>IF(Sheet1!S85="","",Sheet1!S85)</f>
        <v>0</v>
      </c>
    </row>
    <row r="74" spans="2:19" ht="20.100000000000001" customHeight="1">
      <c r="B74" s="3" t="s">
        <v>1467</v>
      </c>
      <c r="C74" s="3"/>
      <c r="D74" s="3"/>
      <c r="E74" s="2"/>
      <c r="F74" s="2"/>
      <c r="G74" s="2"/>
      <c r="H74" s="2"/>
      <c r="I74" s="2"/>
      <c r="J74" s="2"/>
      <c r="K74" s="2"/>
      <c r="L74" s="2"/>
      <c r="M74" s="2"/>
      <c r="N74" s="2"/>
      <c r="O74" s="2"/>
      <c r="P74" s="2"/>
      <c r="Q74" s="2"/>
      <c r="R74" s="2"/>
      <c r="S74" s="2"/>
    </row>
    <row r="75" spans="2:19">
      <c r="B75" t="s">
        <v>281</v>
      </c>
      <c r="D75" t="s">
        <v>1468</v>
      </c>
      <c r="E75" s="242" t="str">
        <f>IF(Sheet1!E87="","",Sheet1!E87)</f>
        <v>FY21A</v>
      </c>
      <c r="F75" s="242" t="str">
        <f>IF(Sheet1!F87="","",Sheet1!F87)</f>
        <v>FY22A</v>
      </c>
      <c r="G75" s="242" t="str">
        <f>IF(Sheet1!G87="","",Sheet1!G87)</f>
        <v>FY23A</v>
      </c>
      <c r="H75" s="242" t="str">
        <f>IF(Sheet1!H87="","",Sheet1!H87)</f>
        <v>FY24A</v>
      </c>
      <c r="I75" s="242" t="str">
        <f>IF(Sheet1!I87="","",Sheet1!I87)</f>
        <v>FY25A</v>
      </c>
      <c r="J75" s="242" t="str">
        <f>IF(Sheet1!J87="","",Sheet1!J87)</f>
        <v>FY26E</v>
      </c>
      <c r="K75" s="242" t="str">
        <f>IF(Sheet1!K87="","",Sheet1!K87)</f>
        <v>FY27E</v>
      </c>
      <c r="L75" s="242" t="str">
        <f>IF(Sheet1!L87="","",Sheet1!L87)</f>
        <v>FY28E</v>
      </c>
      <c r="M75" s="242" t="str">
        <f>IF(Sheet1!M87="","",Sheet1!M87)</f>
        <v>FY29E</v>
      </c>
      <c r="N75" s="242" t="str">
        <f>IF(Sheet1!N87="","",Sheet1!N87)</f>
        <v>FY30E</v>
      </c>
      <c r="O75" s="242" t="str">
        <f>IF(Sheet1!O87="","",Sheet1!O87)</f>
        <v>FY31E</v>
      </c>
      <c r="P75" s="242" t="str">
        <f>IF(Sheet1!P87="","",Sheet1!P87)</f>
        <v>FY32E</v>
      </c>
      <c r="Q75" s="242" t="str">
        <f>IF(Sheet1!Q87="","",Sheet1!Q87)</f>
        <v>FY33E</v>
      </c>
      <c r="R75" s="242" t="str">
        <f>IF(Sheet1!R87="","",Sheet1!R87)</f>
        <v>FY34E</v>
      </c>
      <c r="S75" s="242" t="str">
        <f>IF(Sheet1!S87="","",Sheet1!S87)</f>
        <v>FY35E</v>
      </c>
    </row>
    <row r="76" spans="2:19">
      <c r="B76" t="s">
        <v>1469</v>
      </c>
      <c r="D76" t="s">
        <v>1470</v>
      </c>
      <c r="E76" s="242" t="str">
        <f>IF(Sheet1!E88="","",Sheet1!E88)</f>
        <v/>
      </c>
      <c r="F76" s="242" t="str">
        <f>IF(Sheet1!F88="","",Sheet1!F88)</f>
        <v/>
      </c>
      <c r="G76" s="242" t="str">
        <f>IF(Sheet1!G88="","",Sheet1!G88)</f>
        <v/>
      </c>
      <c r="H76" s="242" t="str">
        <f>IF(Sheet1!H88="","",Sheet1!H88)</f>
        <v/>
      </c>
      <c r="I76" s="242" t="str">
        <f>IF(Sheet1!I88="","",Sheet1!I88)</f>
        <v/>
      </c>
      <c r="J76" s="242">
        <f>IF(Sheet1!J88="","",Sheet1!J88)</f>
        <v>0.2</v>
      </c>
      <c r="K76" s="242">
        <f>IF(Sheet1!K88="","",Sheet1!K88)</f>
        <v>0.08</v>
      </c>
      <c r="L76" s="242">
        <f>IF(Sheet1!L88="","",Sheet1!L88)</f>
        <v>0.06</v>
      </c>
      <c r="M76" s="242">
        <f>IF(Sheet1!M88="","",Sheet1!M88)</f>
        <v>0.06</v>
      </c>
      <c r="N76" s="242">
        <f>IF(Sheet1!N88="","",Sheet1!N88)</f>
        <v>0.06</v>
      </c>
      <c r="O76" s="242">
        <f>IF(Sheet1!O88="","",Sheet1!O88)</f>
        <v>5.8000000000000003E-2</v>
      </c>
      <c r="P76" s="242">
        <f>IF(Sheet1!P88="","",Sheet1!P88)</f>
        <v>5.6000000000000001E-2</v>
      </c>
      <c r="Q76" s="242">
        <f>IF(Sheet1!Q88="","",Sheet1!Q88)</f>
        <v>5.3999999999999999E-2</v>
      </c>
      <c r="R76" s="242">
        <f>IF(Sheet1!R88="","",Sheet1!R88)</f>
        <v>5.1999999999999998E-2</v>
      </c>
      <c r="S76" s="242">
        <f>IF(Sheet1!S88="","",Sheet1!S88)</f>
        <v>0.05</v>
      </c>
    </row>
    <row r="77" spans="2:19">
      <c r="B77" t="s">
        <v>1471</v>
      </c>
      <c r="D77" t="s">
        <v>1472</v>
      </c>
      <c r="E77" s="242" t="str">
        <f>IF(Sheet1!E89="","",Sheet1!E89)</f>
        <v/>
      </c>
      <c r="F77" s="242" t="str">
        <f>IF(Sheet1!F89="","",Sheet1!F89)</f>
        <v/>
      </c>
      <c r="G77" s="242" t="str">
        <f>IF(Sheet1!G89="","",Sheet1!G89)</f>
        <v/>
      </c>
      <c r="H77" s="242" t="str">
        <f>IF(Sheet1!H89="","",Sheet1!H89)</f>
        <v/>
      </c>
      <c r="I77" s="242" t="str">
        <f>IF(Sheet1!I89="","",Sheet1!I89)</f>
        <v/>
      </c>
      <c r="J77" s="242">
        <f>IF(Sheet1!J89="","",Sheet1!J89)</f>
        <v>0.25</v>
      </c>
      <c r="K77" s="242">
        <f>IF(Sheet1!K89="","",Sheet1!K89)</f>
        <v>0.15</v>
      </c>
      <c r="L77" s="242">
        <f>IF(Sheet1!L89="","",Sheet1!L89)</f>
        <v>0.12</v>
      </c>
      <c r="M77" s="242">
        <f>IF(Sheet1!M89="","",Sheet1!M89)</f>
        <v>0.1</v>
      </c>
      <c r="N77" s="242">
        <f>IF(Sheet1!N89="","",Sheet1!N89)</f>
        <v>0.1</v>
      </c>
      <c r="O77" s="242">
        <f>IF(Sheet1!O89="","",Sheet1!O89)</f>
        <v>9.4E-2</v>
      </c>
      <c r="P77" s="242">
        <f>IF(Sheet1!P89="","",Sheet1!P89)</f>
        <v>8.7999999999999995E-2</v>
      </c>
      <c r="Q77" s="242">
        <f>IF(Sheet1!Q89="","",Sheet1!Q89)</f>
        <v>8.2000000000000003E-2</v>
      </c>
      <c r="R77" s="242">
        <f>IF(Sheet1!R89="","",Sheet1!R89)</f>
        <v>7.5999999999999998E-2</v>
      </c>
      <c r="S77" s="242">
        <f>IF(Sheet1!S89="","",Sheet1!S89)</f>
        <v>7.0000000000000007E-2</v>
      </c>
    </row>
    <row r="78" spans="2:19">
      <c r="B78" t="s">
        <v>1473</v>
      </c>
      <c r="D78" t="s">
        <v>1474</v>
      </c>
      <c r="E78" s="242" t="str">
        <f>IF(Sheet1!E90="","",Sheet1!E90)</f>
        <v/>
      </c>
      <c r="F78" s="242" t="str">
        <f>IF(Sheet1!F90="","",Sheet1!F90)</f>
        <v/>
      </c>
      <c r="G78" s="242" t="str">
        <f>IF(Sheet1!G90="","",Sheet1!G90)</f>
        <v/>
      </c>
      <c r="H78" s="242" t="str">
        <f>IF(Sheet1!H90="","",Sheet1!H90)</f>
        <v/>
      </c>
      <c r="I78" s="242" t="str">
        <f>IF(Sheet1!I90="","",Sheet1!I90)</f>
        <v/>
      </c>
      <c r="J78" s="242">
        <f>IF(Sheet1!J90="","",Sheet1!J90)</f>
        <v>0.32</v>
      </c>
      <c r="K78" s="242">
        <f>IF(Sheet1!K90="","",Sheet1!K90)</f>
        <v>0.2</v>
      </c>
      <c r="L78" s="242">
        <f>IF(Sheet1!L90="","",Sheet1!L90)</f>
        <v>0.15</v>
      </c>
      <c r="M78" s="242">
        <f>IF(Sheet1!M90="","",Sheet1!M90)</f>
        <v>0.12</v>
      </c>
      <c r="N78" s="242">
        <f>IF(Sheet1!N90="","",Sheet1!N90)</f>
        <v>0.12</v>
      </c>
      <c r="O78" s="242">
        <f>IF(Sheet1!O90="","",Sheet1!O90)</f>
        <v>0.114</v>
      </c>
      <c r="P78" s="242">
        <f>IF(Sheet1!P90="","",Sheet1!P90)</f>
        <v>0.108</v>
      </c>
      <c r="Q78" s="242">
        <f>IF(Sheet1!Q90="","",Sheet1!Q90)</f>
        <v>0.10199999999999999</v>
      </c>
      <c r="R78" s="242">
        <f>IF(Sheet1!R90="","",Sheet1!R90)</f>
        <v>9.6000000000000002E-2</v>
      </c>
      <c r="S78" s="242">
        <f>IF(Sheet1!S90="","",Sheet1!S90)</f>
        <v>0.09</v>
      </c>
    </row>
    <row r="79" spans="2:19">
      <c r="B79" t="s">
        <v>285</v>
      </c>
      <c r="D79" t="s">
        <v>1475</v>
      </c>
      <c r="E79" s="242" t="str">
        <f>IF(Sheet1!E91="","",Sheet1!E91)</f>
        <v/>
      </c>
      <c r="F79" s="242">
        <f>IF(Sheet1!F91="","",Sheet1!F91)</f>
        <v>0.22868816159105188</v>
      </c>
      <c r="G79" s="242">
        <f>IF(Sheet1!G91="","",Sheet1!G91)</f>
        <v>0.13600105481840474</v>
      </c>
      <c r="H79" s="242">
        <f>IF(Sheet1!H91="","",Sheet1!H91)</f>
        <v>0.32156592537554118</v>
      </c>
      <c r="I79" s="242">
        <f>IF(Sheet1!I91="","",Sheet1!I91)</f>
        <v>0.24837977431391334</v>
      </c>
      <c r="J79" s="242">
        <f>IF(Sheet1!J91="","",Sheet1!J91)</f>
        <v>0.25</v>
      </c>
      <c r="K79" s="242">
        <f>IF(Sheet1!K91="","",Sheet1!K91)</f>
        <v>0.15</v>
      </c>
      <c r="L79" s="242">
        <f>IF(Sheet1!L91="","",Sheet1!L91)</f>
        <v>0.12</v>
      </c>
      <c r="M79" s="242">
        <f>IF(Sheet1!M91="","",Sheet1!M91)</f>
        <v>0.1</v>
      </c>
      <c r="N79" s="242">
        <f>IF(Sheet1!N91="","",Sheet1!N91)</f>
        <v>0.1</v>
      </c>
      <c r="O79" s="242">
        <f>IF(Sheet1!O91="","",Sheet1!O91)</f>
        <v>9.4E-2</v>
      </c>
      <c r="P79" s="242">
        <f>IF(Sheet1!P91="","",Sheet1!P91)</f>
        <v>8.7999999999999995E-2</v>
      </c>
      <c r="Q79" s="242">
        <f>IF(Sheet1!Q91="","",Sheet1!Q91)</f>
        <v>8.2000000000000003E-2</v>
      </c>
      <c r="R79" s="242">
        <f>IF(Sheet1!R91="","",Sheet1!R91)</f>
        <v>7.5999999999999998E-2</v>
      </c>
      <c r="S79" s="242">
        <f>IF(Sheet1!S91="","",Sheet1!S91)</f>
        <v>7.0000000000000007E-2</v>
      </c>
    </row>
    <row r="80" spans="2:19">
      <c r="B80" t="s">
        <v>1476</v>
      </c>
      <c r="D80" t="s">
        <v>1477</v>
      </c>
      <c r="E80" s="242" t="str">
        <f>IF(Sheet1!E92="","",Sheet1!E92)</f>
        <v/>
      </c>
      <c r="F80" s="242" t="str">
        <f>IF(Sheet1!F92="","",Sheet1!F92)</f>
        <v/>
      </c>
      <c r="G80" s="242" t="str">
        <f>IF(Sheet1!G92="","",Sheet1!G92)</f>
        <v/>
      </c>
      <c r="H80" s="242" t="str">
        <f>IF(Sheet1!H92="","",Sheet1!H92)</f>
        <v/>
      </c>
      <c r="I80" s="242" t="str">
        <f>IF(Sheet1!I92="","",Sheet1!I92)</f>
        <v/>
      </c>
      <c r="J80" s="242">
        <f>IF(Sheet1!J92="","",Sheet1!J92)</f>
        <v>0.55500000000000005</v>
      </c>
      <c r="K80" s="242">
        <f>IF(Sheet1!K92="","",Sheet1!K92)</f>
        <v>0.54</v>
      </c>
      <c r="L80" s="242">
        <f>IF(Sheet1!L92="","",Sheet1!L92)</f>
        <v>0.53500000000000003</v>
      </c>
      <c r="M80" s="242">
        <f>IF(Sheet1!M92="","",Sheet1!M92)</f>
        <v>0.53500000000000003</v>
      </c>
      <c r="N80" s="242">
        <f>IF(Sheet1!N92="","",Sheet1!N92)</f>
        <v>0.53</v>
      </c>
      <c r="O80" s="242">
        <f>IF(Sheet1!O92="","",Sheet1!O92)</f>
        <v>0.53</v>
      </c>
      <c r="P80" s="242">
        <f>IF(Sheet1!P92="","",Sheet1!P92)</f>
        <v>0.53</v>
      </c>
      <c r="Q80" s="242">
        <f>IF(Sheet1!Q92="","",Sheet1!Q92)</f>
        <v>0.53</v>
      </c>
      <c r="R80" s="242">
        <f>IF(Sheet1!R92="","",Sheet1!R92)</f>
        <v>0.53</v>
      </c>
      <c r="S80" s="242">
        <f>IF(Sheet1!S92="","",Sheet1!S92)</f>
        <v>0.53</v>
      </c>
    </row>
    <row r="81" spans="2:19">
      <c r="B81" t="s">
        <v>1478</v>
      </c>
      <c r="D81" t="s">
        <v>1479</v>
      </c>
      <c r="E81" s="242" t="str">
        <f>IF(Sheet1!E93="","",Sheet1!E93)</f>
        <v/>
      </c>
      <c r="F81" s="242" t="str">
        <f>IF(Sheet1!F93="","",Sheet1!F93)</f>
        <v/>
      </c>
      <c r="G81" s="242" t="str">
        <f>IF(Sheet1!G93="","",Sheet1!G93)</f>
        <v/>
      </c>
      <c r="H81" s="242" t="str">
        <f>IF(Sheet1!H93="","",Sheet1!H93)</f>
        <v/>
      </c>
      <c r="I81" s="242" t="str">
        <f>IF(Sheet1!I93="","",Sheet1!I93)</f>
        <v/>
      </c>
      <c r="J81" s="242">
        <f>IF(Sheet1!J93="","",Sheet1!J93)</f>
        <v>0.54500000000000004</v>
      </c>
      <c r="K81" s="242">
        <f>IF(Sheet1!K93="","",Sheet1!K93)</f>
        <v>0.52</v>
      </c>
      <c r="L81" s="242">
        <f>IF(Sheet1!L93="","",Sheet1!L93)</f>
        <v>0.51500000000000001</v>
      </c>
      <c r="M81" s="242">
        <f>IF(Sheet1!M93="","",Sheet1!M93)</f>
        <v>0.51</v>
      </c>
      <c r="N81" s="242">
        <f>IF(Sheet1!N93="","",Sheet1!N93)</f>
        <v>0.505</v>
      </c>
      <c r="O81" s="242">
        <f>IF(Sheet1!O93="","",Sheet1!O93)</f>
        <v>0.505</v>
      </c>
      <c r="P81" s="242">
        <f>IF(Sheet1!P93="","",Sheet1!P93)</f>
        <v>0.505</v>
      </c>
      <c r="Q81" s="242">
        <f>IF(Sheet1!Q93="","",Sheet1!Q93)</f>
        <v>0.505</v>
      </c>
      <c r="R81" s="242">
        <f>IF(Sheet1!R93="","",Sheet1!R93)</f>
        <v>0.505</v>
      </c>
      <c r="S81" s="242">
        <f>IF(Sheet1!S93="","",Sheet1!S93)</f>
        <v>0.505</v>
      </c>
    </row>
    <row r="82" spans="2:19">
      <c r="B82" t="s">
        <v>1480</v>
      </c>
      <c r="D82" t="s">
        <v>1481</v>
      </c>
      <c r="E82" s="242" t="str">
        <f>IF(Sheet1!E94="","",Sheet1!E94)</f>
        <v/>
      </c>
      <c r="F82" s="242" t="str">
        <f>IF(Sheet1!F94="","",Sheet1!F94)</f>
        <v/>
      </c>
      <c r="G82" s="242" t="str">
        <f>IF(Sheet1!G94="","",Sheet1!G94)</f>
        <v/>
      </c>
      <c r="H82" s="242" t="str">
        <f>IF(Sheet1!H94="","",Sheet1!H94)</f>
        <v/>
      </c>
      <c r="I82" s="242" t="str">
        <f>IF(Sheet1!I94="","",Sheet1!I94)</f>
        <v/>
      </c>
      <c r="J82" s="242">
        <f>IF(Sheet1!J94="","",Sheet1!J94)</f>
        <v>0.53500000000000003</v>
      </c>
      <c r="K82" s="242">
        <f>IF(Sheet1!K94="","",Sheet1!K94)</f>
        <v>0.505</v>
      </c>
      <c r="L82" s="242">
        <f>IF(Sheet1!L94="","",Sheet1!L94)</f>
        <v>0.495</v>
      </c>
      <c r="M82" s="242">
        <f>IF(Sheet1!M94="","",Sheet1!M94)</f>
        <v>0.49</v>
      </c>
      <c r="N82" s="242">
        <f>IF(Sheet1!N94="","",Sheet1!N94)</f>
        <v>0.48499999999999999</v>
      </c>
      <c r="O82" s="242">
        <f>IF(Sheet1!O94="","",Sheet1!O94)</f>
        <v>0.48499999999999999</v>
      </c>
      <c r="P82" s="242">
        <f>IF(Sheet1!P94="","",Sheet1!P94)</f>
        <v>0.48499999999999999</v>
      </c>
      <c r="Q82" s="242">
        <f>IF(Sheet1!Q94="","",Sheet1!Q94)</f>
        <v>0.48499999999999999</v>
      </c>
      <c r="R82" s="242">
        <f>IF(Sheet1!R94="","",Sheet1!R94)</f>
        <v>0.48499999999999999</v>
      </c>
      <c r="S82" s="242">
        <f>IF(Sheet1!S94="","",Sheet1!S94)</f>
        <v>0.48499999999999999</v>
      </c>
    </row>
    <row r="83" spans="2:19">
      <c r="B83" t="s">
        <v>290</v>
      </c>
      <c r="D83" t="s">
        <v>1482</v>
      </c>
      <c r="E83" s="242">
        <f>IF(Sheet1!E95="","",Sheet1!E95)</f>
        <v>0.53417114147167311</v>
      </c>
      <c r="F83" s="242">
        <f>IF(Sheet1!F95="","",Sheet1!F95)</f>
        <v>0.51292945238359466</v>
      </c>
      <c r="G83" s="242">
        <f>IF(Sheet1!G95="","",Sheet1!G95)</f>
        <v>0.50086416774515585</v>
      </c>
      <c r="H83" s="242">
        <f>IF(Sheet1!H95="","",Sheet1!H95)</f>
        <v>0.51353392825364041</v>
      </c>
      <c r="I83" s="242">
        <f>IF(Sheet1!I95="","",Sheet1!I95)</f>
        <v>0.52562269423834751</v>
      </c>
      <c r="J83" s="242">
        <f>IF(Sheet1!J95="","",Sheet1!J95)</f>
        <v>0.54500000000000004</v>
      </c>
      <c r="K83" s="242">
        <f>IF(Sheet1!K95="","",Sheet1!K95)</f>
        <v>0.52</v>
      </c>
      <c r="L83" s="242">
        <f>IF(Sheet1!L95="","",Sheet1!L95)</f>
        <v>0.51500000000000001</v>
      </c>
      <c r="M83" s="242">
        <f>IF(Sheet1!M95="","",Sheet1!M95)</f>
        <v>0.51</v>
      </c>
      <c r="N83" s="242">
        <f>IF(Sheet1!N95="","",Sheet1!N95)</f>
        <v>0.505</v>
      </c>
      <c r="O83" s="242">
        <f>IF(Sheet1!O95="","",Sheet1!O95)</f>
        <v>0.505</v>
      </c>
      <c r="P83" s="242">
        <f>IF(Sheet1!P95="","",Sheet1!P95)</f>
        <v>0.505</v>
      </c>
      <c r="Q83" s="242">
        <f>IF(Sheet1!Q95="","",Sheet1!Q95)</f>
        <v>0.505</v>
      </c>
      <c r="R83" s="242">
        <f>IF(Sheet1!R95="","",Sheet1!R95)</f>
        <v>0.505</v>
      </c>
      <c r="S83" s="242">
        <f>IF(Sheet1!S95="","",Sheet1!S95)</f>
        <v>0.505</v>
      </c>
    </row>
    <row r="84" spans="2:19">
      <c r="B84" t="s">
        <v>1483</v>
      </c>
      <c r="D84" t="s">
        <v>1484</v>
      </c>
      <c r="E84" s="242" t="str">
        <f>IF(Sheet1!E96="","",Sheet1!E96)</f>
        <v/>
      </c>
      <c r="F84" s="242" t="str">
        <f>IF(Sheet1!F96="","",Sheet1!F96)</f>
        <v/>
      </c>
      <c r="G84" s="242" t="str">
        <f>IF(Sheet1!G96="","",Sheet1!G96)</f>
        <v/>
      </c>
      <c r="H84" s="242" t="str">
        <f>IF(Sheet1!H96="","",Sheet1!H96)</f>
        <v/>
      </c>
      <c r="I84" s="242" t="str">
        <f>IF(Sheet1!I96="","",Sheet1!I96)</f>
        <v/>
      </c>
      <c r="J84" s="242">
        <f>IF(Sheet1!J96="","",Sheet1!J96)</f>
        <v>8.9999999999999993E-3</v>
      </c>
      <c r="K84" s="242">
        <f>IF(Sheet1!K96="","",Sheet1!K96)</f>
        <v>0.01</v>
      </c>
      <c r="L84" s="242">
        <f>IF(Sheet1!L96="","",Sheet1!L96)</f>
        <v>0.01</v>
      </c>
      <c r="M84" s="242">
        <f>IF(Sheet1!M96="","",Sheet1!M96)</f>
        <v>8.9999999999999993E-3</v>
      </c>
      <c r="N84" s="242">
        <f>IF(Sheet1!N96="","",Sheet1!N96)</f>
        <v>8.9999999999999993E-3</v>
      </c>
      <c r="O84" s="242">
        <f>IF(Sheet1!O96="","",Sheet1!O96)</f>
        <v>8.9999999999999993E-3</v>
      </c>
      <c r="P84" s="242">
        <f>IF(Sheet1!P96="","",Sheet1!P96)</f>
        <v>8.9999999999999993E-3</v>
      </c>
      <c r="Q84" s="242">
        <f>IF(Sheet1!Q96="","",Sheet1!Q96)</f>
        <v>8.9999999999999993E-3</v>
      </c>
      <c r="R84" s="242">
        <f>IF(Sheet1!R96="","",Sheet1!R96)</f>
        <v>8.9999999999999993E-3</v>
      </c>
      <c r="S84" s="242">
        <f>IF(Sheet1!S96="","",Sheet1!S96)</f>
        <v>8.9999999999999993E-3</v>
      </c>
    </row>
    <row r="85" spans="2:19">
      <c r="B85" t="s">
        <v>1485</v>
      </c>
      <c r="D85" t="s">
        <v>1486</v>
      </c>
      <c r="E85" s="242" t="str">
        <f>IF(Sheet1!E97="","",Sheet1!E97)</f>
        <v/>
      </c>
      <c r="F85" s="242" t="str">
        <f>IF(Sheet1!F97="","",Sheet1!F97)</f>
        <v/>
      </c>
      <c r="G85" s="242" t="str">
        <f>IF(Sheet1!G97="","",Sheet1!G97)</f>
        <v/>
      </c>
      <c r="H85" s="242" t="str">
        <f>IF(Sheet1!H97="","",Sheet1!H97)</f>
        <v/>
      </c>
      <c r="I85" s="242" t="str">
        <f>IF(Sheet1!I97="","",Sheet1!I97)</f>
        <v/>
      </c>
      <c r="J85" s="242">
        <f>IF(Sheet1!J97="","",Sheet1!J97)</f>
        <v>7.0000000000000001E-3</v>
      </c>
      <c r="K85" s="242">
        <f>IF(Sheet1!K97="","",Sheet1!K97)</f>
        <v>7.4999999999999997E-3</v>
      </c>
      <c r="L85" s="242">
        <f>IF(Sheet1!L97="","",Sheet1!L97)</f>
        <v>7.4999999999999997E-3</v>
      </c>
      <c r="M85" s="242">
        <f>IF(Sheet1!M97="","",Sheet1!M97)</f>
        <v>7.4999999999999997E-3</v>
      </c>
      <c r="N85" s="242">
        <f>IF(Sheet1!N97="","",Sheet1!N97)</f>
        <v>7.4999999999999997E-3</v>
      </c>
      <c r="O85" s="242">
        <f>IF(Sheet1!O97="","",Sheet1!O97)</f>
        <v>7.4999999999999997E-3</v>
      </c>
      <c r="P85" s="242">
        <f>IF(Sheet1!P97="","",Sheet1!P97)</f>
        <v>7.4999999999999997E-3</v>
      </c>
      <c r="Q85" s="242">
        <f>IF(Sheet1!Q97="","",Sheet1!Q97)</f>
        <v>7.4999999999999997E-3</v>
      </c>
      <c r="R85" s="242">
        <f>IF(Sheet1!R97="","",Sheet1!R97)</f>
        <v>7.4999999999999997E-3</v>
      </c>
      <c r="S85" s="242">
        <f>IF(Sheet1!S97="","",Sheet1!S97)</f>
        <v>7.4999999999999997E-3</v>
      </c>
    </row>
    <row r="86" spans="2:19">
      <c r="B86" t="s">
        <v>1487</v>
      </c>
      <c r="D86" t="s">
        <v>1488</v>
      </c>
      <c r="E86" s="242" t="str">
        <f>IF(Sheet1!E98="","",Sheet1!E98)</f>
        <v/>
      </c>
      <c r="F86" s="242" t="str">
        <f>IF(Sheet1!F98="","",Sheet1!F98)</f>
        <v/>
      </c>
      <c r="G86" s="242" t="str">
        <f>IF(Sheet1!G98="","",Sheet1!G98)</f>
        <v/>
      </c>
      <c r="H86" s="242" t="str">
        <f>IF(Sheet1!H98="","",Sheet1!H98)</f>
        <v/>
      </c>
      <c r="I86" s="242" t="str">
        <f>IF(Sheet1!I98="","",Sheet1!I98)</f>
        <v/>
      </c>
      <c r="J86" s="242">
        <f>IF(Sheet1!J98="","",Sheet1!J98)</f>
        <v>6.0000000000000001E-3</v>
      </c>
      <c r="K86" s="242">
        <f>IF(Sheet1!K98="","",Sheet1!K98)</f>
        <v>6.0000000000000001E-3</v>
      </c>
      <c r="L86" s="242">
        <f>IF(Sheet1!L98="","",Sheet1!L98)</f>
        <v>6.4999999999999997E-3</v>
      </c>
      <c r="M86" s="242">
        <f>IF(Sheet1!M98="","",Sheet1!M98)</f>
        <v>6.4999999999999997E-3</v>
      </c>
      <c r="N86" s="242">
        <f>IF(Sheet1!N98="","",Sheet1!N98)</f>
        <v>6.4999999999999997E-3</v>
      </c>
      <c r="O86" s="242">
        <f>IF(Sheet1!O98="","",Sheet1!O98)</f>
        <v>6.4999999999999997E-3</v>
      </c>
      <c r="P86" s="242">
        <f>IF(Sheet1!P98="","",Sheet1!P98)</f>
        <v>6.4999999999999997E-3</v>
      </c>
      <c r="Q86" s="242">
        <f>IF(Sheet1!Q98="","",Sheet1!Q98)</f>
        <v>6.4999999999999997E-3</v>
      </c>
      <c r="R86" s="242">
        <f>IF(Sheet1!R98="","",Sheet1!R98)</f>
        <v>6.4999999999999997E-3</v>
      </c>
      <c r="S86" s="242">
        <f>IF(Sheet1!S98="","",Sheet1!S98)</f>
        <v>6.4999999999999997E-3</v>
      </c>
    </row>
    <row r="87" spans="2:19">
      <c r="B87" t="s">
        <v>295</v>
      </c>
      <c r="D87" t="s">
        <v>1489</v>
      </c>
      <c r="E87" s="242" t="str">
        <f>IF(Sheet1!E99="","",Sheet1!E99)</f>
        <v/>
      </c>
      <c r="F87" s="242">
        <f>IF(Sheet1!F99="","",Sheet1!F99)</f>
        <v>1.9782830908059473E-2</v>
      </c>
      <c r="G87" s="242">
        <f>IF(Sheet1!G99="","",Sheet1!G99)</f>
        <v>1.1706972902995402E-2</v>
      </c>
      <c r="H87" s="242">
        <f>IF(Sheet1!H99="","",Sheet1!H99)</f>
        <v>7.3009944159276169E-3</v>
      </c>
      <c r="I87" s="242">
        <f>IF(Sheet1!I99="","",Sheet1!I99)</f>
        <v>7.8916871050098356E-3</v>
      </c>
      <c r="J87" s="242">
        <f>IF(Sheet1!J99="","",Sheet1!J99)</f>
        <v>7.0000000000000001E-3</v>
      </c>
      <c r="K87" s="242">
        <f>IF(Sheet1!K99="","",Sheet1!K99)</f>
        <v>7.4999999999999997E-3</v>
      </c>
      <c r="L87" s="242">
        <f>IF(Sheet1!L99="","",Sheet1!L99)</f>
        <v>7.4999999999999997E-3</v>
      </c>
      <c r="M87" s="242">
        <f>IF(Sheet1!M99="","",Sheet1!M99)</f>
        <v>7.4999999999999997E-3</v>
      </c>
      <c r="N87" s="242">
        <f>IF(Sheet1!N99="","",Sheet1!N99)</f>
        <v>7.4999999999999997E-3</v>
      </c>
      <c r="O87" s="242">
        <f>IF(Sheet1!O99="","",Sheet1!O99)</f>
        <v>7.4999999999999997E-3</v>
      </c>
      <c r="P87" s="242">
        <f>IF(Sheet1!P99="","",Sheet1!P99)</f>
        <v>7.4999999999999997E-3</v>
      </c>
      <c r="Q87" s="242">
        <f>IF(Sheet1!Q99="","",Sheet1!Q99)</f>
        <v>7.4999999999999997E-3</v>
      </c>
      <c r="R87" s="242">
        <f>IF(Sheet1!R99="","",Sheet1!R99)</f>
        <v>7.4999999999999997E-3</v>
      </c>
      <c r="S87" s="242">
        <f>IF(Sheet1!S99="","",Sheet1!S99)</f>
        <v>7.4999999999999997E-3</v>
      </c>
    </row>
    <row r="88" spans="2:19">
      <c r="B88" t="s">
        <v>1490</v>
      </c>
      <c r="D88" t="s">
        <v>1491</v>
      </c>
      <c r="E88" s="242" t="str">
        <f>IF(Sheet1!E100="","",Sheet1!E100)</f>
        <v/>
      </c>
      <c r="F88" s="242" t="str">
        <f>IF(Sheet1!F100="","",Sheet1!F100)</f>
        <v/>
      </c>
      <c r="G88" s="242" t="str">
        <f>IF(Sheet1!G100="","",Sheet1!G100)</f>
        <v/>
      </c>
      <c r="H88" s="242" t="str">
        <f>IF(Sheet1!H100="","",Sheet1!H100)</f>
        <v/>
      </c>
      <c r="I88" s="242" t="str">
        <f>IF(Sheet1!I100="","",Sheet1!I100)</f>
        <v/>
      </c>
      <c r="J88" s="242">
        <f>IF(Sheet1!J100="","",Sheet1!J100)</f>
        <v>2.1000000000000001E-2</v>
      </c>
      <c r="K88" s="242">
        <f>IF(Sheet1!K100="","",Sheet1!K100)</f>
        <v>2.4E-2</v>
      </c>
      <c r="L88" s="242">
        <f>IF(Sheet1!L100="","",Sheet1!L100)</f>
        <v>2.3E-2</v>
      </c>
      <c r="M88" s="242">
        <f>IF(Sheet1!M100="","",Sheet1!M100)</f>
        <v>2.1999999999999999E-2</v>
      </c>
      <c r="N88" s="242">
        <f>IF(Sheet1!N100="","",Sheet1!N100)</f>
        <v>2.1000000000000001E-2</v>
      </c>
      <c r="O88" s="242">
        <f>IF(Sheet1!O100="","",Sheet1!O100)</f>
        <v>2.1000000000000001E-2</v>
      </c>
      <c r="P88" s="242">
        <f>IF(Sheet1!P100="","",Sheet1!P100)</f>
        <v>2.1000000000000001E-2</v>
      </c>
      <c r="Q88" s="242">
        <f>IF(Sheet1!Q100="","",Sheet1!Q100)</f>
        <v>2.1000000000000001E-2</v>
      </c>
      <c r="R88" s="242">
        <f>IF(Sheet1!R100="","",Sheet1!R100)</f>
        <v>2.1000000000000001E-2</v>
      </c>
      <c r="S88" s="242">
        <f>IF(Sheet1!S100="","",Sheet1!S100)</f>
        <v>2.1000000000000001E-2</v>
      </c>
    </row>
    <row r="89" spans="2:19">
      <c r="B89" t="s">
        <v>1492</v>
      </c>
      <c r="D89" t="s">
        <v>1493</v>
      </c>
      <c r="E89" s="242" t="str">
        <f>IF(Sheet1!E101="","",Sheet1!E101)</f>
        <v/>
      </c>
      <c r="F89" s="242" t="str">
        <f>IF(Sheet1!F101="","",Sheet1!F101)</f>
        <v/>
      </c>
      <c r="G89" s="242" t="str">
        <f>IF(Sheet1!G101="","",Sheet1!G101)</f>
        <v/>
      </c>
      <c r="H89" s="242" t="str">
        <f>IF(Sheet1!H101="","",Sheet1!H101)</f>
        <v/>
      </c>
      <c r="I89" s="242" t="str">
        <f>IF(Sheet1!I101="","",Sheet1!I101)</f>
        <v/>
      </c>
      <c r="J89" s="242">
        <f>IF(Sheet1!J101="","",Sheet1!J101)</f>
        <v>1.8499999999999999E-2</v>
      </c>
      <c r="K89" s="242">
        <f>IF(Sheet1!K101="","",Sheet1!K101)</f>
        <v>1.8499999999999999E-2</v>
      </c>
      <c r="L89" s="242">
        <f>IF(Sheet1!L101="","",Sheet1!L101)</f>
        <v>1.7999999999999999E-2</v>
      </c>
      <c r="M89" s="242">
        <f>IF(Sheet1!M101="","",Sheet1!M101)</f>
        <v>1.7999999999999999E-2</v>
      </c>
      <c r="N89" s="242">
        <f>IF(Sheet1!N101="","",Sheet1!N101)</f>
        <v>1.7999999999999999E-2</v>
      </c>
      <c r="O89" s="242">
        <f>IF(Sheet1!O101="","",Sheet1!O101)</f>
        <v>1.7999999999999999E-2</v>
      </c>
      <c r="P89" s="242">
        <f>IF(Sheet1!P101="","",Sheet1!P101)</f>
        <v>1.7999999999999999E-2</v>
      </c>
      <c r="Q89" s="242">
        <f>IF(Sheet1!Q101="","",Sheet1!Q101)</f>
        <v>1.7999999999999999E-2</v>
      </c>
      <c r="R89" s="242">
        <f>IF(Sheet1!R101="","",Sheet1!R101)</f>
        <v>1.7999999999999999E-2</v>
      </c>
      <c r="S89" s="242">
        <f>IF(Sheet1!S101="","",Sheet1!S101)</f>
        <v>1.7999999999999999E-2</v>
      </c>
    </row>
    <row r="90" spans="2:19">
      <c r="B90" t="s">
        <v>1494</v>
      </c>
      <c r="D90" t="s">
        <v>1495</v>
      </c>
      <c r="E90" s="242" t="str">
        <f>IF(Sheet1!E102="","",Sheet1!E102)</f>
        <v/>
      </c>
      <c r="F90" s="242" t="str">
        <f>IF(Sheet1!F102="","",Sheet1!F102)</f>
        <v/>
      </c>
      <c r="G90" s="242" t="str">
        <f>IF(Sheet1!G102="","",Sheet1!G102)</f>
        <v/>
      </c>
      <c r="H90" s="242" t="str">
        <f>IF(Sheet1!H102="","",Sheet1!H102)</f>
        <v/>
      </c>
      <c r="I90" s="242" t="str">
        <f>IF(Sheet1!I102="","",Sheet1!I102)</f>
        <v/>
      </c>
      <c r="J90" s="242">
        <f>IF(Sheet1!J102="","",Sheet1!J102)</f>
        <v>1.7500000000000002E-2</v>
      </c>
      <c r="K90" s="242">
        <f>IF(Sheet1!K102="","",Sheet1!K102)</f>
        <v>1.6500000000000001E-2</v>
      </c>
      <c r="L90" s="242">
        <f>IF(Sheet1!L102="","",Sheet1!L102)</f>
        <v>1.6E-2</v>
      </c>
      <c r="M90" s="242">
        <f>IF(Sheet1!M102="","",Sheet1!M102)</f>
        <v>1.6E-2</v>
      </c>
      <c r="N90" s="242">
        <f>IF(Sheet1!N102="","",Sheet1!N102)</f>
        <v>1.6E-2</v>
      </c>
      <c r="O90" s="242">
        <f>IF(Sheet1!O102="","",Sheet1!O102)</f>
        <v>1.6E-2</v>
      </c>
      <c r="P90" s="242">
        <f>IF(Sheet1!P102="","",Sheet1!P102)</f>
        <v>1.6E-2</v>
      </c>
      <c r="Q90" s="242">
        <f>IF(Sheet1!Q102="","",Sheet1!Q102)</f>
        <v>1.6E-2</v>
      </c>
      <c r="R90" s="242">
        <f>IF(Sheet1!R102="","",Sheet1!R102)</f>
        <v>1.6E-2</v>
      </c>
      <c r="S90" s="242">
        <f>IF(Sheet1!S102="","",Sheet1!S102)</f>
        <v>1.6E-2</v>
      </c>
    </row>
    <row r="91" spans="2:19">
      <c r="B91" t="s">
        <v>300</v>
      </c>
      <c r="D91" t="s">
        <v>1496</v>
      </c>
      <c r="E91" s="242">
        <f>IF(Sheet1!E103="","",Sheet1!E103)</f>
        <v>2.93E-2</v>
      </c>
      <c r="F91" s="242">
        <f>IF(Sheet1!F103="","",Sheet1!F103)</f>
        <v>2.4199999999999999E-2</v>
      </c>
      <c r="G91" s="242">
        <f>IF(Sheet1!G103="","",Sheet1!G103)</f>
        <v>2.0799999999999999E-2</v>
      </c>
      <c r="H91" s="242">
        <f>IF(Sheet1!H103="","",Sheet1!H103)</f>
        <v>1.9E-2</v>
      </c>
      <c r="I91" s="242">
        <f>IF(Sheet1!I103="","",Sheet1!I103)</f>
        <v>1.8100000000000002E-2</v>
      </c>
      <c r="J91" s="242">
        <f>IF(Sheet1!J103="","",Sheet1!J103)</f>
        <v>1.8499999999999999E-2</v>
      </c>
      <c r="K91" s="242">
        <f>IF(Sheet1!K103="","",Sheet1!K103)</f>
        <v>1.8499999999999999E-2</v>
      </c>
      <c r="L91" s="242">
        <f>IF(Sheet1!L103="","",Sheet1!L103)</f>
        <v>1.7999999999999999E-2</v>
      </c>
      <c r="M91" s="242">
        <f>IF(Sheet1!M103="","",Sheet1!M103)</f>
        <v>1.7999999999999999E-2</v>
      </c>
      <c r="N91" s="242">
        <f>IF(Sheet1!N103="","",Sheet1!N103)</f>
        <v>1.7999999999999999E-2</v>
      </c>
      <c r="O91" s="242">
        <f>IF(Sheet1!O103="","",Sheet1!O103)</f>
        <v>1.7999999999999999E-2</v>
      </c>
      <c r="P91" s="242">
        <f>IF(Sheet1!P103="","",Sheet1!P103)</f>
        <v>1.7999999999999999E-2</v>
      </c>
      <c r="Q91" s="242">
        <f>IF(Sheet1!Q103="","",Sheet1!Q103)</f>
        <v>1.7999999999999999E-2</v>
      </c>
      <c r="R91" s="242">
        <f>IF(Sheet1!R103="","",Sheet1!R103)</f>
        <v>1.7999999999999999E-2</v>
      </c>
      <c r="S91" s="242">
        <f>IF(Sheet1!S103="","",Sheet1!S103)</f>
        <v>1.7999999999999999E-2</v>
      </c>
    </row>
    <row r="92" spans="2:19">
      <c r="B92" t="s">
        <v>302</v>
      </c>
      <c r="D92" t="s">
        <v>1497</v>
      </c>
      <c r="E92" s="242">
        <f>IF(Sheet1!E104="","",Sheet1!E104)</f>
        <v>1.4886999999999999</v>
      </c>
      <c r="F92" s="242">
        <f>IF(Sheet1!F104="","",Sheet1!F104)</f>
        <v>1.8311999999999999</v>
      </c>
      <c r="G92" s="242">
        <f>IF(Sheet1!G104="","",Sheet1!G104)</f>
        <v>1.9435</v>
      </c>
      <c r="H92" s="242">
        <f>IF(Sheet1!H104="","",Sheet1!H104)</f>
        <v>1.9500999999999999</v>
      </c>
      <c r="I92" s="242">
        <f>IF(Sheet1!I104="","",Sheet1!I104)</f>
        <v>1.9088000000000001</v>
      </c>
      <c r="J92" s="242">
        <f>IF(Sheet1!J104="","",Sheet1!J104)</f>
        <v>1.9</v>
      </c>
      <c r="K92" s="242">
        <f>IF(Sheet1!K104="","",Sheet1!K104)</f>
        <v>1.9</v>
      </c>
      <c r="L92" s="242">
        <f>IF(Sheet1!L104="","",Sheet1!L104)</f>
        <v>1.9</v>
      </c>
      <c r="M92" s="242">
        <f>IF(Sheet1!M104="","",Sheet1!M104)</f>
        <v>1.9</v>
      </c>
      <c r="N92" s="242">
        <f>IF(Sheet1!N104="","",Sheet1!N104)</f>
        <v>1.9</v>
      </c>
      <c r="O92" s="242">
        <f>IF(Sheet1!O104="","",Sheet1!O104)</f>
        <v>1.9</v>
      </c>
      <c r="P92" s="242">
        <f>IF(Sheet1!P104="","",Sheet1!P104)</f>
        <v>1.9</v>
      </c>
      <c r="Q92" s="242">
        <f>IF(Sheet1!Q104="","",Sheet1!Q104)</f>
        <v>1.9</v>
      </c>
      <c r="R92" s="242">
        <f>IF(Sheet1!R104="","",Sheet1!R104)</f>
        <v>1.9</v>
      </c>
      <c r="S92" s="242">
        <f>IF(Sheet1!S104="","",Sheet1!S104)</f>
        <v>1.9</v>
      </c>
    </row>
    <row r="93" spans="2:19">
      <c r="B93" t="s">
        <v>1498</v>
      </c>
      <c r="D93" t="s">
        <v>1499</v>
      </c>
      <c r="E93" s="242" t="str">
        <f>IF(Sheet1!E105="","",Sheet1!E105)</f>
        <v/>
      </c>
      <c r="F93" s="242" t="str">
        <f>IF(Sheet1!F105="","",Sheet1!F105)</f>
        <v/>
      </c>
      <c r="G93" s="242" t="str">
        <f>IF(Sheet1!G105="","",Sheet1!G105)</f>
        <v/>
      </c>
      <c r="H93" s="242" t="str">
        <f>IF(Sheet1!H105="","",Sheet1!H105)</f>
        <v/>
      </c>
      <c r="I93" s="242" t="str">
        <f>IF(Sheet1!I105="","",Sheet1!I105)</f>
        <v/>
      </c>
      <c r="J93" s="242">
        <f>IF(Sheet1!J105="","",Sheet1!J105)</f>
        <v>0.2</v>
      </c>
      <c r="K93" s="242">
        <f>IF(Sheet1!K105="","",Sheet1!K105)</f>
        <v>0.2</v>
      </c>
      <c r="L93" s="242">
        <f>IF(Sheet1!L105="","",Sheet1!L105)</f>
        <v>0.2</v>
      </c>
      <c r="M93" s="242">
        <f>IF(Sheet1!M105="","",Sheet1!M105)</f>
        <v>0.2</v>
      </c>
      <c r="N93" s="242">
        <f>IF(Sheet1!N105="","",Sheet1!N105)</f>
        <v>0.2</v>
      </c>
      <c r="O93" s="242">
        <f>IF(Sheet1!O105="","",Sheet1!O105)</f>
        <v>0.3</v>
      </c>
      <c r="P93" s="242">
        <f>IF(Sheet1!P105="","",Sheet1!P105)</f>
        <v>0.35</v>
      </c>
      <c r="Q93" s="242">
        <f>IF(Sheet1!Q105="","",Sheet1!Q105)</f>
        <v>0.4</v>
      </c>
      <c r="R93" s="242">
        <f>IF(Sheet1!R105="","",Sheet1!R105)</f>
        <v>0.45</v>
      </c>
      <c r="S93" s="242">
        <f>IF(Sheet1!S105="","",Sheet1!S105)</f>
        <v>0.5</v>
      </c>
    </row>
    <row r="94" spans="2:19">
      <c r="B94" t="s">
        <v>1500</v>
      </c>
      <c r="D94" t="s">
        <v>1501</v>
      </c>
      <c r="E94" s="242" t="str">
        <f>IF(Sheet1!E106="","",Sheet1!E106)</f>
        <v/>
      </c>
      <c r="F94" s="242" t="str">
        <f>IF(Sheet1!F106="","",Sheet1!F106)</f>
        <v/>
      </c>
      <c r="G94" s="242" t="str">
        <f>IF(Sheet1!G106="","",Sheet1!G106)</f>
        <v/>
      </c>
      <c r="H94" s="242" t="str">
        <f>IF(Sheet1!H106="","",Sheet1!H106)</f>
        <v/>
      </c>
      <c r="I94" s="242" t="str">
        <f>IF(Sheet1!I106="","",Sheet1!I106)</f>
        <v/>
      </c>
      <c r="J94" s="242">
        <f>IF(Sheet1!J106="","",Sheet1!J106)</f>
        <v>0.22</v>
      </c>
      <c r="K94" s="242">
        <f>IF(Sheet1!K106="","",Sheet1!K106)</f>
        <v>0.25</v>
      </c>
      <c r="L94" s="242">
        <f>IF(Sheet1!L106="","",Sheet1!L106)</f>
        <v>0.27</v>
      </c>
      <c r="M94" s="242">
        <f>IF(Sheet1!M106="","",Sheet1!M106)</f>
        <v>0.3</v>
      </c>
      <c r="N94" s="242">
        <f>IF(Sheet1!N106="","",Sheet1!N106)</f>
        <v>0.3</v>
      </c>
      <c r="O94" s="242">
        <f>IF(Sheet1!O106="","",Sheet1!O106)</f>
        <v>0.4</v>
      </c>
      <c r="P94" s="242">
        <f>IF(Sheet1!P106="","",Sheet1!P106)</f>
        <v>0.5</v>
      </c>
      <c r="Q94" s="242">
        <f>IF(Sheet1!Q106="","",Sheet1!Q106)</f>
        <v>0.55000000000000004</v>
      </c>
      <c r="R94" s="242">
        <f>IF(Sheet1!R106="","",Sheet1!R106)</f>
        <v>0.6</v>
      </c>
      <c r="S94" s="242">
        <f>IF(Sheet1!S106="","",Sheet1!S106)</f>
        <v>0.65</v>
      </c>
    </row>
    <row r="95" spans="2:19">
      <c r="B95" t="s">
        <v>1502</v>
      </c>
      <c r="D95" t="s">
        <v>1503</v>
      </c>
      <c r="E95" s="242" t="str">
        <f>IF(Sheet1!E107="","",Sheet1!E107)</f>
        <v/>
      </c>
      <c r="F95" s="242" t="str">
        <f>IF(Sheet1!F107="","",Sheet1!F107)</f>
        <v/>
      </c>
      <c r="G95" s="242" t="str">
        <f>IF(Sheet1!G107="","",Sheet1!G107)</f>
        <v/>
      </c>
      <c r="H95" s="242" t="str">
        <f>IF(Sheet1!H107="","",Sheet1!H107)</f>
        <v/>
      </c>
      <c r="I95" s="242" t="str">
        <f>IF(Sheet1!I107="","",Sheet1!I107)</f>
        <v/>
      </c>
      <c r="J95" s="242">
        <f>IF(Sheet1!J107="","",Sheet1!J107)</f>
        <v>0.25</v>
      </c>
      <c r="K95" s="242">
        <f>IF(Sheet1!K107="","",Sheet1!K107)</f>
        <v>0.3</v>
      </c>
      <c r="L95" s="242">
        <f>IF(Sheet1!L107="","",Sheet1!L107)</f>
        <v>0.3</v>
      </c>
      <c r="M95" s="242">
        <f>IF(Sheet1!M107="","",Sheet1!M107)</f>
        <v>0.3</v>
      </c>
      <c r="N95" s="242">
        <f>IF(Sheet1!N107="","",Sheet1!N107)</f>
        <v>0.3</v>
      </c>
      <c r="O95" s="242">
        <f>IF(Sheet1!O107="","",Sheet1!O107)</f>
        <v>0.45</v>
      </c>
      <c r="P95" s="242">
        <f>IF(Sheet1!P107="","",Sheet1!P107)</f>
        <v>0.55000000000000004</v>
      </c>
      <c r="Q95" s="242">
        <f>IF(Sheet1!Q107="","",Sheet1!Q107)</f>
        <v>0.6</v>
      </c>
      <c r="R95" s="242">
        <f>IF(Sheet1!R107="","",Sheet1!R107)</f>
        <v>0.65</v>
      </c>
      <c r="S95" s="242">
        <f>IF(Sheet1!S107="","",Sheet1!S107)</f>
        <v>0.7</v>
      </c>
    </row>
    <row r="96" spans="2:19">
      <c r="B96" t="s">
        <v>307</v>
      </c>
      <c r="D96" t="s">
        <v>1504</v>
      </c>
      <c r="E96" s="242">
        <f>IF(Sheet1!E108="","",Sheet1!E108)</f>
        <v>0.25</v>
      </c>
      <c r="F96" s="242">
        <f>IF(Sheet1!F108="","",Sheet1!F108)</f>
        <v>0.1</v>
      </c>
      <c r="G96" s="242">
        <f>IF(Sheet1!G108="","",Sheet1!G108)</f>
        <v>0.15</v>
      </c>
      <c r="H96" s="242">
        <f>IF(Sheet1!H108="","",Sheet1!H108)</f>
        <v>0.15</v>
      </c>
      <c r="I96" s="242">
        <f>IF(Sheet1!I108="","",Sheet1!I108)</f>
        <v>0.2</v>
      </c>
      <c r="J96" s="242">
        <f>IF(Sheet1!J108="","",Sheet1!J108)</f>
        <v>0.22</v>
      </c>
      <c r="K96" s="242">
        <f>IF(Sheet1!K108="","",Sheet1!K108)</f>
        <v>0.25</v>
      </c>
      <c r="L96" s="242">
        <f>IF(Sheet1!L108="","",Sheet1!L108)</f>
        <v>0.27</v>
      </c>
      <c r="M96" s="242">
        <f>IF(Sheet1!M108="","",Sheet1!M108)</f>
        <v>0.3</v>
      </c>
      <c r="N96" s="242">
        <f>IF(Sheet1!N108="","",Sheet1!N108)</f>
        <v>0.3</v>
      </c>
      <c r="O96" s="242">
        <f>IF(Sheet1!O108="","",Sheet1!O108)</f>
        <v>0.4</v>
      </c>
      <c r="P96" s="242">
        <f>IF(Sheet1!P108="","",Sheet1!P108)</f>
        <v>0.5</v>
      </c>
      <c r="Q96" s="242">
        <f>IF(Sheet1!Q108="","",Sheet1!Q108)</f>
        <v>0.55000000000000004</v>
      </c>
      <c r="R96" s="242">
        <f>IF(Sheet1!R108="","",Sheet1!R108)</f>
        <v>0.6</v>
      </c>
      <c r="S96" s="242">
        <f>IF(Sheet1!S108="","",Sheet1!S108)</f>
        <v>0.65</v>
      </c>
    </row>
    <row r="97" spans="2:19" ht="20.100000000000001" customHeight="1">
      <c r="B97" s="3" t="s">
        <v>1505</v>
      </c>
      <c r="C97" s="3"/>
      <c r="D97" s="3"/>
      <c r="E97" s="2"/>
      <c r="F97" s="2"/>
      <c r="G97" s="2"/>
      <c r="H97" s="2"/>
      <c r="I97" s="2"/>
      <c r="J97" s="2"/>
      <c r="K97" s="2"/>
      <c r="L97" s="2"/>
      <c r="M97" s="2"/>
      <c r="N97" s="2"/>
      <c r="O97" s="2"/>
      <c r="P97" s="2"/>
      <c r="Q97" s="2"/>
      <c r="R97" s="2"/>
      <c r="S97" s="2"/>
    </row>
    <row r="98" spans="2:19">
      <c r="B98" t="s">
        <v>309</v>
      </c>
      <c r="D98" t="s">
        <v>1506</v>
      </c>
      <c r="E98" s="242" t="str">
        <f>IF(Sheet1!E110="","",Sheet1!E110)</f>
        <v>FY21A</v>
      </c>
      <c r="F98" s="242" t="str">
        <f>IF(Sheet1!F110="","",Sheet1!F110)</f>
        <v>FY22A</v>
      </c>
      <c r="G98" s="242" t="str">
        <f>IF(Sheet1!G110="","",Sheet1!G110)</f>
        <v>FY23A</v>
      </c>
      <c r="H98" s="242" t="str">
        <f>IF(Sheet1!H110="","",Sheet1!H110)</f>
        <v>FY24A</v>
      </c>
      <c r="I98" s="242" t="str">
        <f>IF(Sheet1!I110="","",Sheet1!I110)</f>
        <v>FY25A</v>
      </c>
      <c r="J98" s="242" t="str">
        <f>IF(Sheet1!J110="","",Sheet1!J110)</f>
        <v>FY26E</v>
      </c>
      <c r="K98" s="242" t="str">
        <f>IF(Sheet1!K110="","",Sheet1!K110)</f>
        <v>FY27E</v>
      </c>
      <c r="L98" s="242" t="str">
        <f>IF(Sheet1!L110="","",Sheet1!L110)</f>
        <v>FY28E</v>
      </c>
      <c r="M98" s="242" t="str">
        <f>IF(Sheet1!M110="","",Sheet1!M110)</f>
        <v>FY29E</v>
      </c>
      <c r="N98" s="242" t="str">
        <f>IF(Sheet1!N110="","",Sheet1!N110)</f>
        <v>FY30E</v>
      </c>
      <c r="O98" s="242" t="str">
        <f>IF(Sheet1!O110="","",Sheet1!O110)</f>
        <v>FY31E</v>
      </c>
      <c r="P98" s="242" t="str">
        <f>IF(Sheet1!P110="","",Sheet1!P110)</f>
        <v>FY32E</v>
      </c>
      <c r="Q98" s="242" t="str">
        <f>IF(Sheet1!Q110="","",Sheet1!Q110)</f>
        <v>FY33E</v>
      </c>
      <c r="R98" s="242" t="str">
        <f>IF(Sheet1!R110="","",Sheet1!R110)</f>
        <v>FY34E</v>
      </c>
      <c r="S98" s="242" t="str">
        <f>IF(Sheet1!S110="","",Sheet1!S110)</f>
        <v>FY35E</v>
      </c>
    </row>
    <row r="99" spans="2:19">
      <c r="B99" t="s">
        <v>310</v>
      </c>
      <c r="D99" t="s">
        <v>1507</v>
      </c>
      <c r="E99" s="242">
        <f>IF(Sheet1!E111="","",Sheet1!E111)</f>
        <v>189.59100000000001</v>
      </c>
      <c r="F99" s="242">
        <f>IF(Sheet1!F111="","",Sheet1!F111)</f>
        <v>50.893000000000001</v>
      </c>
      <c r="G99" s="242" t="str">
        <f>IF(Sheet1!G111="","",Sheet1!G111)</f>
        <v/>
      </c>
      <c r="H99" s="242">
        <f>IF(Sheet1!H111="","",Sheet1!H111)</f>
        <v>152.124</v>
      </c>
      <c r="I99" s="242">
        <f>IF(Sheet1!I111="","",Sheet1!I111)</f>
        <v>394.66199999999998</v>
      </c>
      <c r="J99" s="242">
        <f>IF(Sheet1!J111="","",Sheet1!J111)</f>
        <v>0</v>
      </c>
      <c r="K99" s="242">
        <f>IF(Sheet1!K111="","",Sheet1!K111)</f>
        <v>0</v>
      </c>
      <c r="L99" s="242">
        <f>IF(Sheet1!L111="","",Sheet1!L111)</f>
        <v>0</v>
      </c>
      <c r="M99" s="242">
        <f>IF(Sheet1!M111="","",Sheet1!M111)</f>
        <v>0</v>
      </c>
      <c r="N99" s="242">
        <f>IF(Sheet1!N111="","",Sheet1!N111)</f>
        <v>0</v>
      </c>
      <c r="O99" s="242">
        <f>IF(Sheet1!O111="","",Sheet1!O111)</f>
        <v>0</v>
      </c>
      <c r="P99" s="242">
        <f>IF(Sheet1!P111="","",Sheet1!P111)</f>
        <v>0</v>
      </c>
      <c r="Q99" s="242">
        <f>IF(Sheet1!Q111="","",Sheet1!Q111)</f>
        <v>0</v>
      </c>
      <c r="R99" s="242">
        <f>IF(Sheet1!R111="","",Sheet1!R111)</f>
        <v>0</v>
      </c>
      <c r="S99" s="242">
        <f>IF(Sheet1!S111="","",Sheet1!S111)</f>
        <v>0</v>
      </c>
    </row>
    <row r="100" spans="2:19">
      <c r="B100" t="s">
        <v>313</v>
      </c>
      <c r="D100" t="s">
        <v>1508</v>
      </c>
      <c r="E100" s="242">
        <f>IF(Sheet1!E112="","",Sheet1!E112)</f>
        <v>0.75600000000000001</v>
      </c>
      <c r="F100" s="242">
        <f>IF(Sheet1!F112="","",Sheet1!F112)</f>
        <v>0.748</v>
      </c>
      <c r="G100" s="242">
        <f>IF(Sheet1!G112="","",Sheet1!G112)</f>
        <v>0.77200000000000002</v>
      </c>
      <c r="H100" s="242">
        <f>IF(Sheet1!H112="","",Sheet1!H112)</f>
        <v>0.77500000000000002</v>
      </c>
      <c r="I100" s="242">
        <f>IF(Sheet1!I112="","",Sheet1!I112)</f>
        <v>0.76300000000000001</v>
      </c>
      <c r="J100" s="242">
        <f>IF(Sheet1!J112="","",Sheet1!J112)</f>
        <v>0.76300000000000001</v>
      </c>
      <c r="K100" s="242">
        <f>IF(Sheet1!K112="","",Sheet1!K112)</f>
        <v>0.76300000000000001</v>
      </c>
      <c r="L100" s="242">
        <f>IF(Sheet1!L112="","",Sheet1!L112)</f>
        <v>0.76300000000000001</v>
      </c>
      <c r="M100" s="242">
        <f>IF(Sheet1!M112="","",Sheet1!M112)</f>
        <v>0.76300000000000001</v>
      </c>
      <c r="N100" s="242">
        <f>IF(Sheet1!N112="","",Sheet1!N112)</f>
        <v>0.76300000000000001</v>
      </c>
      <c r="O100" s="242">
        <f>IF(Sheet1!O112="","",Sheet1!O112)</f>
        <v>0.76300000000000001</v>
      </c>
      <c r="P100" s="242">
        <f>IF(Sheet1!P112="","",Sheet1!P112)</f>
        <v>0.76300000000000001</v>
      </c>
      <c r="Q100" s="242">
        <f>IF(Sheet1!Q112="","",Sheet1!Q112)</f>
        <v>0.76300000000000001</v>
      </c>
      <c r="R100" s="242">
        <f>IF(Sheet1!R112="","",Sheet1!R112)</f>
        <v>0.76300000000000001</v>
      </c>
      <c r="S100" s="242">
        <f>IF(Sheet1!S112="","",Sheet1!S112)</f>
        <v>0.76300000000000001</v>
      </c>
    </row>
    <row r="101" spans="2:19">
      <c r="B101" t="s">
        <v>315</v>
      </c>
      <c r="D101" t="s">
        <v>1509</v>
      </c>
      <c r="E101" s="242" t="str">
        <f>IF(Sheet1!E113="","",Sheet1!E113)</f>
        <v/>
      </c>
      <c r="F101" s="242" t="str">
        <f>IF(Sheet1!F113="","",Sheet1!F113)</f>
        <v/>
      </c>
      <c r="G101" s="242" t="str">
        <f>IF(Sheet1!G113="","",Sheet1!G113)</f>
        <v/>
      </c>
      <c r="H101" s="242" t="str">
        <f>IF(Sheet1!H113="","",Sheet1!H113)</f>
        <v/>
      </c>
      <c r="I101" s="242" t="str">
        <f>IF(Sheet1!I113="","",Sheet1!I113)</f>
        <v/>
      </c>
      <c r="J101" s="242">
        <f>IF(Sheet1!J113="","",Sheet1!J113)</f>
        <v>3000</v>
      </c>
      <c r="K101" s="242">
        <f>IF(Sheet1!K113="","",Sheet1!K113)</f>
        <v>3000</v>
      </c>
      <c r="L101" s="242">
        <f>IF(Sheet1!L113="","",Sheet1!L113)</f>
        <v>2000</v>
      </c>
      <c r="M101" s="242">
        <f>IF(Sheet1!M113="","",Sheet1!M113)</f>
        <v>2000</v>
      </c>
      <c r="N101" s="242">
        <f>IF(Sheet1!N113="","",Sheet1!N113)</f>
        <v>2000</v>
      </c>
      <c r="O101" s="242">
        <f>IF(Sheet1!O113="","",Sheet1!O113)</f>
        <v>2000</v>
      </c>
      <c r="P101" s="242">
        <f>IF(Sheet1!P113="","",Sheet1!P113)</f>
        <v>2000</v>
      </c>
      <c r="Q101" s="242">
        <f>IF(Sheet1!Q113="","",Sheet1!Q113)</f>
        <v>2000</v>
      </c>
      <c r="R101" s="242">
        <f>IF(Sheet1!R113="","",Sheet1!R113)</f>
        <v>2000</v>
      </c>
      <c r="S101" s="242">
        <f>IF(Sheet1!S113="","",Sheet1!S113)</f>
        <v>2000</v>
      </c>
    </row>
    <row r="102" spans="2:19">
      <c r="B102" t="s">
        <v>317</v>
      </c>
      <c r="D102" t="s">
        <v>1510</v>
      </c>
      <c r="E102" s="242" t="str">
        <f>IF(Sheet1!E114="","",Sheet1!E114)</f>
        <v/>
      </c>
      <c r="F102" s="242" t="str">
        <f>IF(Sheet1!F114="","",Sheet1!F114)</f>
        <v/>
      </c>
      <c r="G102" s="242" t="str">
        <f>IF(Sheet1!G114="","",Sheet1!G114)</f>
        <v/>
      </c>
      <c r="H102" s="242" t="str">
        <f>IF(Sheet1!H114="","",Sheet1!H114)</f>
        <v/>
      </c>
      <c r="I102" s="242" t="str">
        <f>IF(Sheet1!I114="","",Sheet1!I114)</f>
        <v/>
      </c>
      <c r="J102" s="242">
        <f>IF(Sheet1!J114="","",Sheet1!J114)</f>
        <v>3048.6</v>
      </c>
      <c r="K102" s="242">
        <f>IF(Sheet1!K114="","",Sheet1!K114)</f>
        <v>1255</v>
      </c>
      <c r="L102" s="242">
        <f>IF(Sheet1!L114="","",Sheet1!L114)</f>
        <v>686</v>
      </c>
      <c r="M102" s="242">
        <f>IF(Sheet1!M114="","",Sheet1!M114)</f>
        <v>0</v>
      </c>
      <c r="N102" s="242">
        <f>IF(Sheet1!N114="","",Sheet1!N114)</f>
        <v>0</v>
      </c>
      <c r="O102" s="242">
        <f>IF(Sheet1!O114="","",Sheet1!O114)</f>
        <v>2000</v>
      </c>
      <c r="P102" s="242">
        <f>IF(Sheet1!P114="","",Sheet1!P114)</f>
        <v>2000</v>
      </c>
      <c r="Q102" s="242">
        <f>IF(Sheet1!Q114="","",Sheet1!Q114)</f>
        <v>2000</v>
      </c>
      <c r="R102" s="242">
        <f>IF(Sheet1!R114="","",Sheet1!R114)</f>
        <v>2000</v>
      </c>
      <c r="S102" s="242">
        <f>IF(Sheet1!S114="","",Sheet1!S114)</f>
        <v>2000</v>
      </c>
    </row>
    <row r="103" spans="2:19">
      <c r="B103" t="s">
        <v>319</v>
      </c>
      <c r="D103" t="s">
        <v>1511</v>
      </c>
      <c r="E103" s="242" t="str">
        <f>IF(Sheet1!E115="","",Sheet1!E115)</f>
        <v/>
      </c>
      <c r="F103" s="242" t="str">
        <f>IF(Sheet1!F115="","",Sheet1!F115)</f>
        <v/>
      </c>
      <c r="G103" s="242" t="str">
        <f>IF(Sheet1!G115="","",Sheet1!G115)</f>
        <v/>
      </c>
      <c r="H103" s="242" t="str">
        <f>IF(Sheet1!H115="","",Sheet1!H115)</f>
        <v/>
      </c>
      <c r="I103" s="242" t="str">
        <f>IF(Sheet1!I115="","",Sheet1!I115)</f>
        <v/>
      </c>
      <c r="J103" s="242">
        <f>IF(Sheet1!J115="","",Sheet1!J115)</f>
        <v>0</v>
      </c>
      <c r="K103" s="242">
        <f>IF(Sheet1!K115="","",Sheet1!K115)</f>
        <v>0</v>
      </c>
      <c r="L103" s="242">
        <f>IF(Sheet1!L115="","",Sheet1!L115)</f>
        <v>200</v>
      </c>
      <c r="M103" s="242">
        <f>IF(Sheet1!M115="","",Sheet1!M115)</f>
        <v>0</v>
      </c>
      <c r="N103" s="242">
        <f>IF(Sheet1!N115="","",Sheet1!N115)</f>
        <v>0</v>
      </c>
      <c r="O103" s="242">
        <f>IF(Sheet1!O115="","",Sheet1!O115)</f>
        <v>0</v>
      </c>
      <c r="P103" s="242">
        <f>IF(Sheet1!P115="","",Sheet1!P115)</f>
        <v>0</v>
      </c>
      <c r="Q103" s="242">
        <f>IF(Sheet1!Q115="","",Sheet1!Q115)</f>
        <v>0</v>
      </c>
      <c r="R103" s="242">
        <f>IF(Sheet1!R115="","",Sheet1!R115)</f>
        <v>0</v>
      </c>
      <c r="S103" s="242">
        <f>IF(Sheet1!S115="","",Sheet1!S115)</f>
        <v>0</v>
      </c>
    </row>
    <row r="104" spans="2:19">
      <c r="B104" t="s">
        <v>321</v>
      </c>
      <c r="D104" t="s">
        <v>1512</v>
      </c>
      <c r="E104" s="242" t="str">
        <f>IF(Sheet1!E116="","",Sheet1!E116)</f>
        <v/>
      </c>
      <c r="F104" s="242" t="str">
        <f>IF(Sheet1!F116="","",Sheet1!F116)</f>
        <v/>
      </c>
      <c r="G104" s="242" t="str">
        <f>IF(Sheet1!G116="","",Sheet1!G116)</f>
        <v/>
      </c>
      <c r="H104" s="242" t="str">
        <f>IF(Sheet1!H116="","",Sheet1!H116)</f>
        <v/>
      </c>
      <c r="I104" s="242" t="str">
        <f>IF(Sheet1!I116="","",Sheet1!I116)</f>
        <v/>
      </c>
      <c r="J104" s="242">
        <f>IF(Sheet1!J116="","",Sheet1!J116)</f>
        <v>0</v>
      </c>
      <c r="K104" s="242">
        <f>IF(Sheet1!K116="","",Sheet1!K116)</f>
        <v>0</v>
      </c>
      <c r="L104" s="242">
        <f>IF(Sheet1!L116="","",Sheet1!L116)</f>
        <v>200</v>
      </c>
      <c r="M104" s="242">
        <f>IF(Sheet1!M116="","",Sheet1!M116)</f>
        <v>0</v>
      </c>
      <c r="N104" s="242">
        <f>IF(Sheet1!N116="","",Sheet1!N116)</f>
        <v>0</v>
      </c>
      <c r="O104" s="242">
        <f>IF(Sheet1!O116="","",Sheet1!O116)</f>
        <v>0</v>
      </c>
      <c r="P104" s="242">
        <f>IF(Sheet1!P116="","",Sheet1!P116)</f>
        <v>0</v>
      </c>
      <c r="Q104" s="242">
        <f>IF(Sheet1!Q116="","",Sheet1!Q116)</f>
        <v>0</v>
      </c>
      <c r="R104" s="242">
        <f>IF(Sheet1!R116="","",Sheet1!R116)</f>
        <v>0</v>
      </c>
      <c r="S104" s="242">
        <f>IF(Sheet1!S116="","",Sheet1!S116)</f>
        <v>0</v>
      </c>
    </row>
    <row r="105" spans="2:19">
      <c r="B105" t="s">
        <v>323</v>
      </c>
      <c r="D105" t="s">
        <v>1513</v>
      </c>
      <c r="E105" s="242" t="str">
        <f>IF(Sheet1!E117="","",Sheet1!E117)</f>
        <v/>
      </c>
      <c r="F105" s="242" t="str">
        <f>IF(Sheet1!F117="","",Sheet1!F117)</f>
        <v/>
      </c>
      <c r="G105" s="242" t="str">
        <f>IF(Sheet1!G117="","",Sheet1!G117)</f>
        <v/>
      </c>
      <c r="H105" s="242" t="str">
        <f>IF(Sheet1!H117="","",Sheet1!H117)</f>
        <v/>
      </c>
      <c r="I105" s="242" t="str">
        <f>IF(Sheet1!I117="","",Sheet1!I117)</f>
        <v/>
      </c>
      <c r="J105" s="242">
        <f>IF(Sheet1!J117="","",Sheet1!J117)</f>
        <v>0</v>
      </c>
      <c r="K105" s="242">
        <f>IF(Sheet1!K117="","",Sheet1!K117)</f>
        <v>0</v>
      </c>
      <c r="L105" s="242">
        <f>IF(Sheet1!L117="","",Sheet1!L117)</f>
        <v>0</v>
      </c>
      <c r="M105" s="242">
        <f>IF(Sheet1!M117="","",Sheet1!M117)</f>
        <v>0</v>
      </c>
      <c r="N105" s="242">
        <f>IF(Sheet1!N117="","",Sheet1!N117)</f>
        <v>0</v>
      </c>
      <c r="O105" s="242">
        <f>IF(Sheet1!O117="","",Sheet1!O117)</f>
        <v>0</v>
      </c>
      <c r="P105" s="242">
        <f>IF(Sheet1!P117="","",Sheet1!P117)</f>
        <v>0</v>
      </c>
      <c r="Q105" s="242">
        <f>IF(Sheet1!Q117="","",Sheet1!Q117)</f>
        <v>0</v>
      </c>
      <c r="R105" s="242">
        <f>IF(Sheet1!R117="","",Sheet1!R117)</f>
        <v>0</v>
      </c>
      <c r="S105" s="242">
        <f>IF(Sheet1!S117="","",Sheet1!S117)</f>
        <v>0</v>
      </c>
    </row>
    <row r="106" spans="2:19">
      <c r="B106" t="s">
        <v>324</v>
      </c>
      <c r="D106" t="s">
        <v>1514</v>
      </c>
      <c r="E106" s="242" t="str">
        <f>IF(Sheet1!E118="","",Sheet1!E118)</f>
        <v/>
      </c>
      <c r="F106" s="242" t="str">
        <f>IF(Sheet1!F118="","",Sheet1!F118)</f>
        <v/>
      </c>
      <c r="G106" s="242" t="str">
        <f>IF(Sheet1!G118="","",Sheet1!G118)</f>
        <v/>
      </c>
      <c r="H106" s="242" t="str">
        <f>IF(Sheet1!H118="","",Sheet1!H118)</f>
        <v/>
      </c>
      <c r="I106" s="242" t="str">
        <f>IF(Sheet1!I118="","",Sheet1!I118)</f>
        <v/>
      </c>
      <c r="J106" s="242">
        <f>IF(Sheet1!J118="","",Sheet1!J118)</f>
        <v>0</v>
      </c>
      <c r="K106" s="242">
        <f>IF(Sheet1!K118="","",Sheet1!K118)</f>
        <v>0</v>
      </c>
      <c r="L106" s="242">
        <f>IF(Sheet1!L118="","",Sheet1!L118)</f>
        <v>0</v>
      </c>
      <c r="M106" s="242">
        <f>IF(Sheet1!M118="","",Sheet1!M118)</f>
        <v>0</v>
      </c>
      <c r="N106" s="242">
        <f>IF(Sheet1!N118="","",Sheet1!N118)</f>
        <v>0</v>
      </c>
      <c r="O106" s="242">
        <f>IF(Sheet1!O118="","",Sheet1!O118)</f>
        <v>0</v>
      </c>
      <c r="P106" s="242">
        <f>IF(Sheet1!P118="","",Sheet1!P118)</f>
        <v>0</v>
      </c>
      <c r="Q106" s="242">
        <f>IF(Sheet1!Q118="","",Sheet1!Q118)</f>
        <v>0</v>
      </c>
      <c r="R106" s="242">
        <f>IF(Sheet1!R118="","",Sheet1!R118)</f>
        <v>0</v>
      </c>
      <c r="S106" s="242">
        <f>IF(Sheet1!S118="","",Sheet1!S118)</f>
        <v>0</v>
      </c>
    </row>
    <row r="107" spans="2:19">
      <c r="B107" t="s">
        <v>325</v>
      </c>
      <c r="D107" t="s">
        <v>1515</v>
      </c>
      <c r="E107" s="242">
        <f>IF(Sheet1!E119="","",Sheet1!E119)</f>
        <v>6.7000000000000004E-2</v>
      </c>
      <c r="F107" s="242" t="str">
        <f>IF(Sheet1!F119="","",Sheet1!F119)</f>
        <v/>
      </c>
      <c r="G107" s="242" t="str">
        <f>IF(Sheet1!G119="","",Sheet1!G119)</f>
        <v/>
      </c>
      <c r="H107" s="242" t="str">
        <f>IF(Sheet1!H119="","",Sheet1!H119)</f>
        <v/>
      </c>
      <c r="I107" s="242" t="str">
        <f>IF(Sheet1!I119="","",Sheet1!I119)</f>
        <v/>
      </c>
      <c r="J107" s="242" t="str">
        <f>IF(Sheet1!J119="","",Sheet1!J119)</f>
        <v/>
      </c>
      <c r="K107" s="242" t="str">
        <f>IF(Sheet1!K119="","",Sheet1!K119)</f>
        <v/>
      </c>
      <c r="L107" s="242" t="str">
        <f>IF(Sheet1!L119="","",Sheet1!L119)</f>
        <v/>
      </c>
      <c r="M107" s="242" t="str">
        <f>IF(Sheet1!M119="","",Sheet1!M119)</f>
        <v/>
      </c>
      <c r="N107" s="242" t="str">
        <f>IF(Sheet1!N119="","",Sheet1!N119)</f>
        <v/>
      </c>
      <c r="O107" s="242" t="str">
        <f>IF(Sheet1!O119="","",Sheet1!O119)</f>
        <v/>
      </c>
      <c r="P107" s="242" t="str">
        <f>IF(Sheet1!P119="","",Sheet1!P119)</f>
        <v/>
      </c>
      <c r="Q107" s="242" t="str">
        <f>IF(Sheet1!Q119="","",Sheet1!Q119)</f>
        <v/>
      </c>
      <c r="R107" s="242" t="str">
        <f>IF(Sheet1!R119="","",Sheet1!R119)</f>
        <v/>
      </c>
      <c r="S107" s="242" t="str">
        <f>IF(Sheet1!S119="","",Sheet1!S119)</f>
        <v/>
      </c>
    </row>
    <row r="108" spans="2:19">
      <c r="B108" t="s">
        <v>327</v>
      </c>
      <c r="D108" t="s">
        <v>1516</v>
      </c>
      <c r="E108" s="242">
        <f>IF(Sheet1!E120="","",Sheet1!E120)</f>
        <v>7.3499999999999996E-2</v>
      </c>
      <c r="F108" s="242" t="str">
        <f>IF(Sheet1!F120="","",Sheet1!F120)</f>
        <v/>
      </c>
      <c r="G108" s="242" t="str">
        <f>IF(Sheet1!G120="","",Sheet1!G120)</f>
        <v/>
      </c>
      <c r="H108" s="242" t="str">
        <f>IF(Sheet1!H120="","",Sheet1!H120)</f>
        <v/>
      </c>
      <c r="I108" s="242" t="str">
        <f>IF(Sheet1!I120="","",Sheet1!I120)</f>
        <v/>
      </c>
      <c r="J108" s="242" t="str">
        <f>IF(Sheet1!J120="","",Sheet1!J120)</f>
        <v/>
      </c>
      <c r="K108" s="242" t="str">
        <f>IF(Sheet1!K120="","",Sheet1!K120)</f>
        <v/>
      </c>
      <c r="L108" s="242" t="str">
        <f>IF(Sheet1!L120="","",Sheet1!L120)</f>
        <v/>
      </c>
      <c r="M108" s="242" t="str">
        <f>IF(Sheet1!M120="","",Sheet1!M120)</f>
        <v/>
      </c>
      <c r="N108" s="242" t="str">
        <f>IF(Sheet1!N120="","",Sheet1!N120)</f>
        <v/>
      </c>
      <c r="O108" s="242" t="str">
        <f>IF(Sheet1!O120="","",Sheet1!O120)</f>
        <v/>
      </c>
      <c r="P108" s="242" t="str">
        <f>IF(Sheet1!P120="","",Sheet1!P120)</f>
        <v/>
      </c>
      <c r="Q108" s="242" t="str">
        <f>IF(Sheet1!Q120="","",Sheet1!Q120)</f>
        <v/>
      </c>
      <c r="R108" s="242" t="str">
        <f>IF(Sheet1!R120="","",Sheet1!R120)</f>
        <v/>
      </c>
      <c r="S108" s="242" t="str">
        <f>IF(Sheet1!S120="","",Sheet1!S120)</f>
        <v/>
      </c>
    </row>
    <row r="109" spans="2:19">
      <c r="B109" t="s">
        <v>329</v>
      </c>
      <c r="D109" t="s">
        <v>1517</v>
      </c>
      <c r="E109" s="242">
        <f>IF(Sheet1!E121="","",Sheet1!E121)</f>
        <v>0.06</v>
      </c>
      <c r="F109" s="242" t="str">
        <f>IF(Sheet1!F121="","",Sheet1!F121)</f>
        <v/>
      </c>
      <c r="G109" s="242" t="str">
        <f>IF(Sheet1!G121="","",Sheet1!G121)</f>
        <v/>
      </c>
      <c r="H109" s="242" t="str">
        <f>IF(Sheet1!H121="","",Sheet1!H121)</f>
        <v/>
      </c>
      <c r="I109" s="242" t="str">
        <f>IF(Sheet1!I121="","",Sheet1!I121)</f>
        <v/>
      </c>
      <c r="J109" s="242" t="str">
        <f>IF(Sheet1!J121="","",Sheet1!J121)</f>
        <v/>
      </c>
      <c r="K109" s="242" t="str">
        <f>IF(Sheet1!K121="","",Sheet1!K121)</f>
        <v/>
      </c>
      <c r="L109" s="242" t="str">
        <f>IF(Sheet1!L121="","",Sheet1!L121)</f>
        <v/>
      </c>
      <c r="M109" s="242" t="str">
        <f>IF(Sheet1!M121="","",Sheet1!M121)</f>
        <v/>
      </c>
      <c r="N109" s="242" t="str">
        <f>IF(Sheet1!N121="","",Sheet1!N121)</f>
        <v/>
      </c>
      <c r="O109" s="242" t="str">
        <f>IF(Sheet1!O121="","",Sheet1!O121)</f>
        <v/>
      </c>
      <c r="P109" s="242" t="str">
        <f>IF(Sheet1!P121="","",Sheet1!P121)</f>
        <v/>
      </c>
      <c r="Q109" s="242" t="str">
        <f>IF(Sheet1!Q121="","",Sheet1!Q121)</f>
        <v/>
      </c>
      <c r="R109" s="242" t="str">
        <f>IF(Sheet1!R121="","",Sheet1!R121)</f>
        <v/>
      </c>
      <c r="S109" s="242" t="str">
        <f>IF(Sheet1!S121="","",Sheet1!S121)</f>
        <v/>
      </c>
    </row>
    <row r="110" spans="2:19">
      <c r="B110" t="s">
        <v>330</v>
      </c>
      <c r="D110" t="s">
        <v>1518</v>
      </c>
      <c r="E110" s="242">
        <f>IF(Sheet1!E122="","",Sheet1!E122)</f>
        <v>0.08</v>
      </c>
      <c r="F110" s="242" t="str">
        <f>IF(Sheet1!F122="","",Sheet1!F122)</f>
        <v/>
      </c>
      <c r="G110" s="242" t="str">
        <f>IF(Sheet1!G122="","",Sheet1!G122)</f>
        <v/>
      </c>
      <c r="H110" s="242" t="str">
        <f>IF(Sheet1!H122="","",Sheet1!H122)</f>
        <v/>
      </c>
      <c r="I110" s="242" t="str">
        <f>IF(Sheet1!I122="","",Sheet1!I122)</f>
        <v/>
      </c>
      <c r="J110" s="242" t="str">
        <f>IF(Sheet1!J122="","",Sheet1!J122)</f>
        <v/>
      </c>
      <c r="K110" s="242" t="str">
        <f>IF(Sheet1!K122="","",Sheet1!K122)</f>
        <v/>
      </c>
      <c r="L110" s="242" t="str">
        <f>IF(Sheet1!L122="","",Sheet1!L122)</f>
        <v/>
      </c>
      <c r="M110" s="242" t="str">
        <f>IF(Sheet1!M122="","",Sheet1!M122)</f>
        <v/>
      </c>
      <c r="N110" s="242" t="str">
        <f>IF(Sheet1!N122="","",Sheet1!N122)</f>
        <v/>
      </c>
      <c r="O110" s="242" t="str">
        <f>IF(Sheet1!O122="","",Sheet1!O122)</f>
        <v/>
      </c>
      <c r="P110" s="242" t="str">
        <f>IF(Sheet1!P122="","",Sheet1!P122)</f>
        <v/>
      </c>
      <c r="Q110" s="242" t="str">
        <f>IF(Sheet1!Q122="","",Sheet1!Q122)</f>
        <v/>
      </c>
      <c r="R110" s="242" t="str">
        <f>IF(Sheet1!R122="","",Sheet1!R122)</f>
        <v/>
      </c>
      <c r="S110" s="242" t="str">
        <f>IF(Sheet1!S122="","",Sheet1!S122)</f>
        <v/>
      </c>
    </row>
    <row r="111" spans="2:19">
      <c r="B111" t="s">
        <v>332</v>
      </c>
      <c r="D111" t="s">
        <v>1519</v>
      </c>
      <c r="E111" s="242">
        <f>IF(Sheet1!E123="","",Sheet1!E123)</f>
        <v>0.1</v>
      </c>
      <c r="F111" s="242" t="str">
        <f>IF(Sheet1!F123="","",Sheet1!F123)</f>
        <v/>
      </c>
      <c r="G111" s="242" t="str">
        <f>IF(Sheet1!G123="","",Sheet1!G123)</f>
        <v/>
      </c>
      <c r="H111" s="242" t="str">
        <f>IF(Sheet1!H123="","",Sheet1!H123)</f>
        <v/>
      </c>
      <c r="I111" s="242" t="str">
        <f>IF(Sheet1!I123="","",Sheet1!I123)</f>
        <v/>
      </c>
      <c r="J111" s="242" t="str">
        <f>IF(Sheet1!J123="","",Sheet1!J123)</f>
        <v/>
      </c>
      <c r="K111" s="242" t="str">
        <f>IF(Sheet1!K123="","",Sheet1!K123)</f>
        <v/>
      </c>
      <c r="L111" s="242" t="str">
        <f>IF(Sheet1!L123="","",Sheet1!L123)</f>
        <v/>
      </c>
      <c r="M111" s="242" t="str">
        <f>IF(Sheet1!M123="","",Sheet1!M123)</f>
        <v/>
      </c>
      <c r="N111" s="242" t="str">
        <f>IF(Sheet1!N123="","",Sheet1!N123)</f>
        <v/>
      </c>
      <c r="O111" s="242" t="str">
        <f>IF(Sheet1!O123="","",Sheet1!O123)</f>
        <v/>
      </c>
      <c r="P111" s="242" t="str">
        <f>IF(Sheet1!P123="","",Sheet1!P123)</f>
        <v/>
      </c>
      <c r="Q111" s="242" t="str">
        <f>IF(Sheet1!Q123="","",Sheet1!Q123)</f>
        <v/>
      </c>
      <c r="R111" s="242" t="str">
        <f>IF(Sheet1!R123="","",Sheet1!R123)</f>
        <v/>
      </c>
      <c r="S111" s="242" t="str">
        <f>IF(Sheet1!S123="","",Sheet1!S123)</f>
        <v/>
      </c>
    </row>
    <row r="112" spans="2:19">
      <c r="B112" t="s">
        <v>333</v>
      </c>
      <c r="D112" t="s">
        <v>1520</v>
      </c>
      <c r="E112" s="242">
        <f>IF(Sheet1!E124="","",Sheet1!E124)</f>
        <v>0.05</v>
      </c>
      <c r="F112" s="242" t="str">
        <f>IF(Sheet1!F124="","",Sheet1!F124)</f>
        <v/>
      </c>
      <c r="G112" s="242" t="str">
        <f>IF(Sheet1!G124="","",Sheet1!G124)</f>
        <v/>
      </c>
      <c r="H112" s="242" t="str">
        <f>IF(Sheet1!H124="","",Sheet1!H124)</f>
        <v/>
      </c>
      <c r="I112" s="242" t="str">
        <f>IF(Sheet1!I124="","",Sheet1!I124)</f>
        <v/>
      </c>
      <c r="J112" s="242" t="str">
        <f>IF(Sheet1!J124="","",Sheet1!J124)</f>
        <v/>
      </c>
      <c r="K112" s="242" t="str">
        <f>IF(Sheet1!K124="","",Sheet1!K124)</f>
        <v/>
      </c>
      <c r="L112" s="242" t="str">
        <f>IF(Sheet1!L124="","",Sheet1!L124)</f>
        <v/>
      </c>
      <c r="M112" s="242" t="str">
        <f>IF(Sheet1!M124="","",Sheet1!M124)</f>
        <v/>
      </c>
      <c r="N112" s="242" t="str">
        <f>IF(Sheet1!N124="","",Sheet1!N124)</f>
        <v/>
      </c>
      <c r="O112" s="242" t="str">
        <f>IF(Sheet1!O124="","",Sheet1!O124)</f>
        <v/>
      </c>
      <c r="P112" s="242" t="str">
        <f>IF(Sheet1!P124="","",Sheet1!P124)</f>
        <v/>
      </c>
      <c r="Q112" s="242" t="str">
        <f>IF(Sheet1!Q124="","",Sheet1!Q124)</f>
        <v/>
      </c>
      <c r="R112" s="242" t="str">
        <f>IF(Sheet1!R124="","",Sheet1!R124)</f>
        <v/>
      </c>
      <c r="S112" s="242" t="str">
        <f>IF(Sheet1!S124="","",Sheet1!S124)</f>
        <v/>
      </c>
    </row>
    <row r="113" spans="2:19">
      <c r="B113" t="s">
        <v>334</v>
      </c>
      <c r="D113" t="s">
        <v>1521</v>
      </c>
      <c r="E113" s="242">
        <f>IF(Sheet1!E125="","",Sheet1!E125)</f>
        <v>0.4</v>
      </c>
      <c r="F113" s="242" t="str">
        <f>IF(Sheet1!F125="","",Sheet1!F125)</f>
        <v/>
      </c>
      <c r="G113" s="242" t="str">
        <f>IF(Sheet1!G125="","",Sheet1!G125)</f>
        <v/>
      </c>
      <c r="H113" s="242" t="str">
        <f>IF(Sheet1!H125="","",Sheet1!H125)</f>
        <v/>
      </c>
      <c r="I113" s="242" t="str">
        <f>IF(Sheet1!I125="","",Sheet1!I125)</f>
        <v/>
      </c>
      <c r="J113" s="242" t="str">
        <f>IF(Sheet1!J125="","",Sheet1!J125)</f>
        <v/>
      </c>
      <c r="K113" s="242" t="str">
        <f>IF(Sheet1!K125="","",Sheet1!K125)</f>
        <v/>
      </c>
      <c r="L113" s="242" t="str">
        <f>IF(Sheet1!L125="","",Sheet1!L125)</f>
        <v/>
      </c>
      <c r="M113" s="242" t="str">
        <f>IF(Sheet1!M125="","",Sheet1!M125)</f>
        <v/>
      </c>
      <c r="N113" s="242" t="str">
        <f>IF(Sheet1!N125="","",Sheet1!N125)</f>
        <v/>
      </c>
      <c r="O113" s="242" t="str">
        <f>IF(Sheet1!O125="","",Sheet1!O125)</f>
        <v/>
      </c>
      <c r="P113" s="242" t="str">
        <f>IF(Sheet1!P125="","",Sheet1!P125)</f>
        <v/>
      </c>
      <c r="Q113" s="242" t="str">
        <f>IF(Sheet1!Q125="","",Sheet1!Q125)</f>
        <v/>
      </c>
      <c r="R113" s="242" t="str">
        <f>IF(Sheet1!R125="","",Sheet1!R125)</f>
        <v/>
      </c>
      <c r="S113" s="242" t="str">
        <f>IF(Sheet1!S125="","",Sheet1!S125)</f>
        <v/>
      </c>
    </row>
    <row r="114" spans="2:19">
      <c r="B114" t="s">
        <v>335</v>
      </c>
      <c r="D114" t="s">
        <v>1522</v>
      </c>
      <c r="E114" s="242">
        <f>IF(Sheet1!E126="","",Sheet1!E126)</f>
        <v>0.25</v>
      </c>
      <c r="F114" s="242" t="str">
        <f>IF(Sheet1!F126="","",Sheet1!F126)</f>
        <v/>
      </c>
      <c r="G114" s="242" t="str">
        <f>IF(Sheet1!G126="","",Sheet1!G126)</f>
        <v/>
      </c>
      <c r="H114" s="242" t="str">
        <f>IF(Sheet1!H126="","",Sheet1!H126)</f>
        <v/>
      </c>
      <c r="I114" s="242" t="str">
        <f>IF(Sheet1!I126="","",Sheet1!I126)</f>
        <v/>
      </c>
      <c r="J114" s="242" t="str">
        <f>IF(Sheet1!J126="","",Sheet1!J126)</f>
        <v/>
      </c>
      <c r="K114" s="242" t="str">
        <f>IF(Sheet1!K126="","",Sheet1!K126)</f>
        <v/>
      </c>
      <c r="L114" s="242" t="str">
        <f>IF(Sheet1!L126="","",Sheet1!L126)</f>
        <v/>
      </c>
      <c r="M114" s="242" t="str">
        <f>IF(Sheet1!M126="","",Sheet1!M126)</f>
        <v/>
      </c>
      <c r="N114" s="242" t="str">
        <f>IF(Sheet1!N126="","",Sheet1!N126)</f>
        <v/>
      </c>
      <c r="O114" s="242" t="str">
        <f>IF(Sheet1!O126="","",Sheet1!O126)</f>
        <v/>
      </c>
      <c r="P114" s="242" t="str">
        <f>IF(Sheet1!P126="","",Sheet1!P126)</f>
        <v/>
      </c>
      <c r="Q114" s="242" t="str">
        <f>IF(Sheet1!Q126="","",Sheet1!Q126)</f>
        <v/>
      </c>
      <c r="R114" s="242" t="str">
        <f>IF(Sheet1!R126="","",Sheet1!R126)</f>
        <v/>
      </c>
      <c r="S114" s="242" t="str">
        <f>IF(Sheet1!S126="","",Sheet1!S126)</f>
        <v/>
      </c>
    </row>
    <row r="115" spans="2:19">
      <c r="B115" t="s">
        <v>336</v>
      </c>
      <c r="D115" t="s">
        <v>1523</v>
      </c>
      <c r="E115" s="242">
        <f>IF(Sheet1!E127="","",Sheet1!E127)</f>
        <v>0.25</v>
      </c>
      <c r="F115" s="242" t="str">
        <f>IF(Sheet1!F127="","",Sheet1!F127)</f>
        <v/>
      </c>
      <c r="G115" s="242" t="str">
        <f>IF(Sheet1!G127="","",Sheet1!G127)</f>
        <v/>
      </c>
      <c r="H115" s="242" t="str">
        <f>IF(Sheet1!H127="","",Sheet1!H127)</f>
        <v/>
      </c>
      <c r="I115" s="242" t="str">
        <f>IF(Sheet1!I127="","",Sheet1!I127)</f>
        <v/>
      </c>
      <c r="J115" s="242" t="str">
        <f>IF(Sheet1!J127="","",Sheet1!J127)</f>
        <v/>
      </c>
      <c r="K115" s="242" t="str">
        <f>IF(Sheet1!K127="","",Sheet1!K127)</f>
        <v/>
      </c>
      <c r="L115" s="242" t="str">
        <f>IF(Sheet1!L127="","",Sheet1!L127)</f>
        <v/>
      </c>
      <c r="M115" s="242" t="str">
        <f>IF(Sheet1!M127="","",Sheet1!M127)</f>
        <v/>
      </c>
      <c r="N115" s="242" t="str">
        <f>IF(Sheet1!N127="","",Sheet1!N127)</f>
        <v/>
      </c>
      <c r="O115" s="242" t="str">
        <f>IF(Sheet1!O127="","",Sheet1!O127)</f>
        <v/>
      </c>
      <c r="P115" s="242" t="str">
        <f>IF(Sheet1!P127="","",Sheet1!P127)</f>
        <v/>
      </c>
      <c r="Q115" s="242" t="str">
        <f>IF(Sheet1!Q127="","",Sheet1!Q127)</f>
        <v/>
      </c>
      <c r="R115" s="242" t="str">
        <f>IF(Sheet1!R127="","",Sheet1!R127)</f>
        <v/>
      </c>
      <c r="S115" s="242" t="str">
        <f>IF(Sheet1!S127="","",Sheet1!S127)</f>
        <v/>
      </c>
    </row>
    <row r="116" spans="2:19">
      <c r="B116" t="s">
        <v>337</v>
      </c>
      <c r="D116" t="s">
        <v>1524</v>
      </c>
      <c r="E116" s="242">
        <f>IF(Sheet1!E128="","",Sheet1!E128)</f>
        <v>0.2</v>
      </c>
      <c r="F116" s="242" t="str">
        <f>IF(Sheet1!F128="","",Sheet1!F128)</f>
        <v/>
      </c>
      <c r="G116" s="242" t="str">
        <f>IF(Sheet1!G128="","",Sheet1!G128)</f>
        <v/>
      </c>
      <c r="H116" s="242" t="str">
        <f>IF(Sheet1!H128="","",Sheet1!H128)</f>
        <v/>
      </c>
      <c r="I116" s="242" t="str">
        <f>IF(Sheet1!I128="","",Sheet1!I128)</f>
        <v/>
      </c>
      <c r="J116" s="242" t="str">
        <f>IF(Sheet1!J128="","",Sheet1!J128)</f>
        <v/>
      </c>
      <c r="K116" s="242" t="str">
        <f>IF(Sheet1!K128="","",Sheet1!K128)</f>
        <v/>
      </c>
      <c r="L116" s="242" t="str">
        <f>IF(Sheet1!L128="","",Sheet1!L128)</f>
        <v/>
      </c>
      <c r="M116" s="242" t="str">
        <f>IF(Sheet1!M128="","",Sheet1!M128)</f>
        <v/>
      </c>
      <c r="N116" s="242" t="str">
        <f>IF(Sheet1!N128="","",Sheet1!N128)</f>
        <v/>
      </c>
      <c r="O116" s="242" t="str">
        <f>IF(Sheet1!O128="","",Sheet1!O128)</f>
        <v/>
      </c>
      <c r="P116" s="242" t="str">
        <f>IF(Sheet1!P128="","",Sheet1!P128)</f>
        <v/>
      </c>
      <c r="Q116" s="242" t="str">
        <f>IF(Sheet1!Q128="","",Sheet1!Q128)</f>
        <v/>
      </c>
      <c r="R116" s="242" t="str">
        <f>IF(Sheet1!R128="","",Sheet1!R128)</f>
        <v/>
      </c>
      <c r="S116" s="242" t="str">
        <f>IF(Sheet1!S128="","",Sheet1!S128)</f>
        <v/>
      </c>
    </row>
    <row r="117" spans="2:19">
      <c r="B117" t="s">
        <v>338</v>
      </c>
      <c r="D117" t="s">
        <v>1525</v>
      </c>
      <c r="E117" s="242">
        <f>IF(Sheet1!E129="","",Sheet1!E129)</f>
        <v>0.25</v>
      </c>
      <c r="F117" s="242" t="str">
        <f>IF(Sheet1!F129="","",Sheet1!F129)</f>
        <v/>
      </c>
      <c r="G117" s="242" t="str">
        <f>IF(Sheet1!G129="","",Sheet1!G129)</f>
        <v/>
      </c>
      <c r="H117" s="242" t="str">
        <f>IF(Sheet1!H129="","",Sheet1!H129)</f>
        <v/>
      </c>
      <c r="I117" s="242" t="str">
        <f>IF(Sheet1!I129="","",Sheet1!I129)</f>
        <v/>
      </c>
      <c r="J117" s="242" t="str">
        <f>IF(Sheet1!J129="","",Sheet1!J129)</f>
        <v/>
      </c>
      <c r="K117" s="242" t="str">
        <f>IF(Sheet1!K129="","",Sheet1!K129)</f>
        <v/>
      </c>
      <c r="L117" s="242" t="str">
        <f>IF(Sheet1!L129="","",Sheet1!L129)</f>
        <v/>
      </c>
      <c r="M117" s="242" t="str">
        <f>IF(Sheet1!M129="","",Sheet1!M129)</f>
        <v/>
      </c>
      <c r="N117" s="242" t="str">
        <f>IF(Sheet1!N129="","",Sheet1!N129)</f>
        <v/>
      </c>
      <c r="O117" s="242" t="str">
        <f>IF(Sheet1!O129="","",Sheet1!O129)</f>
        <v/>
      </c>
      <c r="P117" s="242" t="str">
        <f>IF(Sheet1!P129="","",Sheet1!P129)</f>
        <v/>
      </c>
      <c r="Q117" s="242" t="str">
        <f>IF(Sheet1!Q129="","",Sheet1!Q129)</f>
        <v/>
      </c>
      <c r="R117" s="242" t="str">
        <f>IF(Sheet1!R129="","",Sheet1!R129)</f>
        <v/>
      </c>
      <c r="S117" s="242" t="str">
        <f>IF(Sheet1!S129="","",Sheet1!S129)</f>
        <v/>
      </c>
    </row>
    <row r="118" spans="2:19">
      <c r="B118" t="s">
        <v>339</v>
      </c>
      <c r="D118" t="s">
        <v>1526</v>
      </c>
      <c r="E118" s="242">
        <f>IF(Sheet1!E130="","",Sheet1!E130)</f>
        <v>0.2</v>
      </c>
      <c r="F118" s="242" t="str">
        <f>IF(Sheet1!F130="","",Sheet1!F130)</f>
        <v/>
      </c>
      <c r="G118" s="242" t="str">
        <f>IF(Sheet1!G130="","",Sheet1!G130)</f>
        <v/>
      </c>
      <c r="H118" s="242" t="str">
        <f>IF(Sheet1!H130="","",Sheet1!H130)</f>
        <v/>
      </c>
      <c r="I118" s="242" t="str">
        <f>IF(Sheet1!I130="","",Sheet1!I130)</f>
        <v/>
      </c>
      <c r="J118" s="242" t="str">
        <f>IF(Sheet1!J130="","",Sheet1!J130)</f>
        <v/>
      </c>
      <c r="K118" s="242" t="str">
        <f>IF(Sheet1!K130="","",Sheet1!K130)</f>
        <v/>
      </c>
      <c r="L118" s="242" t="str">
        <f>IF(Sheet1!L130="","",Sheet1!L130)</f>
        <v/>
      </c>
      <c r="M118" s="242" t="str">
        <f>IF(Sheet1!M130="","",Sheet1!M130)</f>
        <v/>
      </c>
      <c r="N118" s="242" t="str">
        <f>IF(Sheet1!N130="","",Sheet1!N130)</f>
        <v/>
      </c>
      <c r="O118" s="242" t="str">
        <f>IF(Sheet1!O130="","",Sheet1!O130)</f>
        <v/>
      </c>
      <c r="P118" s="242" t="str">
        <f>IF(Sheet1!P130="","",Sheet1!P130)</f>
        <v/>
      </c>
      <c r="Q118" s="242" t="str">
        <f>IF(Sheet1!Q130="","",Sheet1!Q130)</f>
        <v/>
      </c>
      <c r="R118" s="242" t="str">
        <f>IF(Sheet1!R130="","",Sheet1!R130)</f>
        <v/>
      </c>
      <c r="S118" s="242" t="str">
        <f>IF(Sheet1!S130="","",Sheet1!S130)</f>
        <v/>
      </c>
    </row>
    <row r="119" spans="2:19">
      <c r="B119" t="s">
        <v>340</v>
      </c>
      <c r="D119" t="s">
        <v>1527</v>
      </c>
      <c r="E119" s="242">
        <f>IF(Sheet1!E131="","",Sheet1!E131)</f>
        <v>1</v>
      </c>
      <c r="F119" s="242" t="str">
        <f>IF(Sheet1!F131="","",Sheet1!F131)</f>
        <v/>
      </c>
      <c r="G119" s="242" t="str">
        <f>IF(Sheet1!G131="","",Sheet1!G131)</f>
        <v/>
      </c>
      <c r="H119" s="242" t="str">
        <f>IF(Sheet1!H131="","",Sheet1!H131)</f>
        <v/>
      </c>
      <c r="I119" s="242" t="str">
        <f>IF(Sheet1!I131="","",Sheet1!I131)</f>
        <v/>
      </c>
      <c r="J119" s="242" t="str">
        <f>IF(Sheet1!J131="","",Sheet1!J131)</f>
        <v/>
      </c>
      <c r="K119" s="242" t="str">
        <f>IF(Sheet1!K131="","",Sheet1!K131)</f>
        <v/>
      </c>
      <c r="L119" s="242" t="str">
        <f>IF(Sheet1!L131="","",Sheet1!L131)</f>
        <v/>
      </c>
      <c r="M119" s="242" t="str">
        <f>IF(Sheet1!M131="","",Sheet1!M131)</f>
        <v/>
      </c>
      <c r="N119" s="242" t="str">
        <f>IF(Sheet1!N131="","",Sheet1!N131)</f>
        <v/>
      </c>
      <c r="O119" s="242" t="str">
        <f>IF(Sheet1!O131="","",Sheet1!O131)</f>
        <v/>
      </c>
      <c r="P119" s="242" t="str">
        <f>IF(Sheet1!P131="","",Sheet1!P131)</f>
        <v/>
      </c>
      <c r="Q119" s="242" t="str">
        <f>IF(Sheet1!Q131="","",Sheet1!Q131)</f>
        <v/>
      </c>
      <c r="R119" s="242" t="str">
        <f>IF(Sheet1!R131="","",Sheet1!R131)</f>
        <v/>
      </c>
      <c r="S119" s="242" t="str">
        <f>IF(Sheet1!S131="","",Sheet1!S131)</f>
        <v/>
      </c>
    </row>
    <row r="120" spans="2:19">
      <c r="B120" t="s">
        <v>341</v>
      </c>
      <c r="D120" t="s">
        <v>1528</v>
      </c>
      <c r="E120" s="242">
        <f>IF(Sheet1!E132="","",Sheet1!E132)</f>
        <v>0.97344258567870556</v>
      </c>
      <c r="F120" s="242" t="str">
        <f>IF(Sheet1!F132="","",Sheet1!F132)</f>
        <v/>
      </c>
      <c r="G120" s="242" t="str">
        <f>IF(Sheet1!G132="","",Sheet1!G132)</f>
        <v/>
      </c>
      <c r="H120" s="242" t="str">
        <f>IF(Sheet1!H132="","",Sheet1!H132)</f>
        <v/>
      </c>
      <c r="I120" s="242" t="str">
        <f>IF(Sheet1!I132="","",Sheet1!I132)</f>
        <v/>
      </c>
      <c r="J120" s="242" t="str">
        <f>IF(Sheet1!J132="","",Sheet1!J132)</f>
        <v/>
      </c>
      <c r="K120" s="242" t="str">
        <f>IF(Sheet1!K132="","",Sheet1!K132)</f>
        <v/>
      </c>
      <c r="L120" s="242" t="str">
        <f>IF(Sheet1!L132="","",Sheet1!L132)</f>
        <v/>
      </c>
      <c r="M120" s="242" t="str">
        <f>IF(Sheet1!M132="","",Sheet1!M132)</f>
        <v/>
      </c>
      <c r="N120" s="242" t="str">
        <f>IF(Sheet1!N132="","",Sheet1!N132)</f>
        <v/>
      </c>
      <c r="O120" s="242" t="str">
        <f>IF(Sheet1!O132="","",Sheet1!O132)</f>
        <v/>
      </c>
      <c r="P120" s="242" t="str">
        <f>IF(Sheet1!P132="","",Sheet1!P132)</f>
        <v/>
      </c>
      <c r="Q120" s="242" t="str">
        <f>IF(Sheet1!Q132="","",Sheet1!Q132)</f>
        <v/>
      </c>
      <c r="R120" s="242" t="str">
        <f>IF(Sheet1!R132="","",Sheet1!R132)</f>
        <v/>
      </c>
      <c r="S120" s="242" t="str">
        <f>IF(Sheet1!S132="","",Sheet1!S132)</f>
        <v/>
      </c>
    </row>
    <row r="121" spans="2:19">
      <c r="B121" t="s">
        <v>343</v>
      </c>
      <c r="D121" t="s">
        <v>1284</v>
      </c>
      <c r="E121" s="242">
        <f>IF(Sheet1!E133="","",Sheet1!E133)</f>
        <v>1</v>
      </c>
      <c r="F121" s="242" t="str">
        <f>IF(Sheet1!F133="","",Sheet1!F133)</f>
        <v/>
      </c>
      <c r="G121" s="242" t="str">
        <f>IF(Sheet1!G133="","",Sheet1!G133)</f>
        <v/>
      </c>
      <c r="H121" s="242" t="str">
        <f>IF(Sheet1!H133="","",Sheet1!H133)</f>
        <v/>
      </c>
      <c r="I121" s="242" t="str">
        <f>IF(Sheet1!I133="","",Sheet1!I133)</f>
        <v/>
      </c>
      <c r="J121" s="242" t="str">
        <f>IF(Sheet1!J133="","",Sheet1!J133)</f>
        <v/>
      </c>
      <c r="K121" s="242" t="str">
        <f>IF(Sheet1!K133="","",Sheet1!K133)</f>
        <v/>
      </c>
      <c r="L121" s="242" t="str">
        <f>IF(Sheet1!L133="","",Sheet1!L133)</f>
        <v/>
      </c>
      <c r="M121" s="242" t="str">
        <f>IF(Sheet1!M133="","",Sheet1!M133)</f>
        <v/>
      </c>
      <c r="N121" s="242" t="str">
        <f>IF(Sheet1!N133="","",Sheet1!N133)</f>
        <v/>
      </c>
      <c r="O121" s="242" t="str">
        <f>IF(Sheet1!O133="","",Sheet1!O133)</f>
        <v/>
      </c>
      <c r="P121" s="242" t="str">
        <f>IF(Sheet1!P133="","",Sheet1!P133)</f>
        <v/>
      </c>
      <c r="Q121" s="242" t="str">
        <f>IF(Sheet1!Q133="","",Sheet1!Q133)</f>
        <v/>
      </c>
      <c r="R121" s="242" t="str">
        <f>IF(Sheet1!R133="","",Sheet1!R133)</f>
        <v/>
      </c>
      <c r="S121" s="242" t="str">
        <f>IF(Sheet1!S133="","",Sheet1!S133)</f>
        <v/>
      </c>
    </row>
    <row r="122" spans="2:19">
      <c r="B122" t="s">
        <v>346</v>
      </c>
      <c r="D122" t="s">
        <v>1285</v>
      </c>
      <c r="E122" s="242" t="str">
        <f>IF(Sheet1!E134="","",Sheet1!E134)</f>
        <v/>
      </c>
      <c r="F122" s="242" t="str">
        <f>IF(Sheet1!F134="","",Sheet1!F134)</f>
        <v/>
      </c>
      <c r="G122" s="242" t="str">
        <f>IF(Sheet1!G134="","",Sheet1!G134)</f>
        <v/>
      </c>
      <c r="H122" s="242" t="str">
        <f>IF(Sheet1!H134="","",Sheet1!H134)</f>
        <v/>
      </c>
      <c r="I122" s="242" t="str">
        <f>IF(Sheet1!I134="","",Sheet1!I134)</f>
        <v/>
      </c>
      <c r="J122" s="242">
        <f>IF(Sheet1!J134="","",Sheet1!J134)</f>
        <v>0</v>
      </c>
      <c r="K122" s="242">
        <f>IF(Sheet1!K134="","",Sheet1!K134)</f>
        <v>6800</v>
      </c>
      <c r="L122" s="242">
        <f>IF(Sheet1!L134="","",Sheet1!L134)</f>
        <v>0</v>
      </c>
      <c r="M122" s="242">
        <f>IF(Sheet1!M134="","",Sheet1!M134)</f>
        <v>0</v>
      </c>
      <c r="N122" s="242">
        <f>IF(Sheet1!N134="","",Sheet1!N134)</f>
        <v>0</v>
      </c>
      <c r="O122" s="242">
        <f>IF(Sheet1!O134="","",Sheet1!O134)</f>
        <v>0</v>
      </c>
      <c r="P122" s="242">
        <f>IF(Sheet1!P134="","",Sheet1!P134)</f>
        <v>0</v>
      </c>
      <c r="Q122" s="242">
        <f>IF(Sheet1!Q134="","",Sheet1!Q134)</f>
        <v>0</v>
      </c>
      <c r="R122" s="242">
        <f>IF(Sheet1!R134="","",Sheet1!R134)</f>
        <v>0</v>
      </c>
      <c r="S122" s="242">
        <f>IF(Sheet1!S134="","",Sheet1!S134)</f>
        <v>0</v>
      </c>
    </row>
    <row r="123" spans="2:19">
      <c r="B123" t="s">
        <v>348</v>
      </c>
      <c r="D123" t="s">
        <v>1286</v>
      </c>
      <c r="E123" s="242">
        <f>IF(Sheet1!E135="","",Sheet1!E135)</f>
        <v>940</v>
      </c>
      <c r="F123" s="242" t="str">
        <f>IF(Sheet1!F135="","",Sheet1!F135)</f>
        <v/>
      </c>
      <c r="G123" s="242" t="str">
        <f>IF(Sheet1!G135="","",Sheet1!G135)</f>
        <v/>
      </c>
      <c r="H123" s="242" t="str">
        <f>IF(Sheet1!H135="","",Sheet1!H135)</f>
        <v/>
      </c>
      <c r="I123" s="242" t="str">
        <f>IF(Sheet1!I135="","",Sheet1!I135)</f>
        <v/>
      </c>
      <c r="J123" s="242" t="str">
        <f>IF(Sheet1!J135="","",Sheet1!J135)</f>
        <v/>
      </c>
      <c r="K123" s="242" t="str">
        <f>IF(Sheet1!K135="","",Sheet1!K135)</f>
        <v/>
      </c>
      <c r="L123" s="242" t="str">
        <f>IF(Sheet1!L135="","",Sheet1!L135)</f>
        <v/>
      </c>
      <c r="M123" s="242" t="str">
        <f>IF(Sheet1!M135="","",Sheet1!M135)</f>
        <v/>
      </c>
      <c r="N123" s="242" t="str">
        <f>IF(Sheet1!N135="","",Sheet1!N135)</f>
        <v/>
      </c>
      <c r="O123" s="242" t="str">
        <f>IF(Sheet1!O135="","",Sheet1!O135)</f>
        <v/>
      </c>
      <c r="P123" s="242" t="str">
        <f>IF(Sheet1!P135="","",Sheet1!P135)</f>
        <v/>
      </c>
      <c r="Q123" s="242" t="str">
        <f>IF(Sheet1!Q135="","",Sheet1!Q135)</f>
        <v/>
      </c>
      <c r="R123" s="242" t="str">
        <f>IF(Sheet1!R135="","",Sheet1!R135)</f>
        <v/>
      </c>
      <c r="S123" s="242" t="str">
        <f>IF(Sheet1!S135="","",Sheet1!S135)</f>
        <v/>
      </c>
    </row>
    <row r="124" spans="2:19">
      <c r="B124" t="s">
        <v>350</v>
      </c>
      <c r="D124" t="s">
        <v>1529</v>
      </c>
      <c r="E124" s="242">
        <f>IF(Sheet1!E136="","",Sheet1!E136)</f>
        <v>0.09</v>
      </c>
      <c r="F124" s="242" t="str">
        <f>IF(Sheet1!F136="","",Sheet1!F136)</f>
        <v/>
      </c>
      <c r="G124" s="242" t="str">
        <f>IF(Sheet1!G136="","",Sheet1!G136)</f>
        <v/>
      </c>
      <c r="H124" s="242" t="str">
        <f>IF(Sheet1!H136="","",Sheet1!H136)</f>
        <v/>
      </c>
      <c r="I124" s="242" t="str">
        <f>IF(Sheet1!I136="","",Sheet1!I136)</f>
        <v/>
      </c>
      <c r="J124" s="242" t="str">
        <f>IF(Sheet1!J136="","",Sheet1!J136)</f>
        <v/>
      </c>
      <c r="K124" s="242" t="str">
        <f>IF(Sheet1!K136="","",Sheet1!K136)</f>
        <v/>
      </c>
      <c r="L124" s="242" t="str">
        <f>IF(Sheet1!L136="","",Sheet1!L136)</f>
        <v/>
      </c>
      <c r="M124" s="242" t="str">
        <f>IF(Sheet1!M136="","",Sheet1!M136)</f>
        <v/>
      </c>
      <c r="N124" s="242" t="str">
        <f>IF(Sheet1!N136="","",Sheet1!N136)</f>
        <v/>
      </c>
      <c r="O124" s="242" t="str">
        <f>IF(Sheet1!O136="","",Sheet1!O136)</f>
        <v/>
      </c>
      <c r="P124" s="242" t="str">
        <f>IF(Sheet1!P136="","",Sheet1!P136)</f>
        <v/>
      </c>
      <c r="Q124" s="242" t="str">
        <f>IF(Sheet1!Q136="","",Sheet1!Q136)</f>
        <v/>
      </c>
      <c r="R124" s="242" t="str">
        <f>IF(Sheet1!R136="","",Sheet1!R136)</f>
        <v/>
      </c>
      <c r="S124" s="242" t="str">
        <f>IF(Sheet1!S136="","",Sheet1!S136)</f>
        <v/>
      </c>
    </row>
    <row r="125" spans="2:19">
      <c r="E125" s="242"/>
      <c r="F125" s="242"/>
      <c r="G125" s="242"/>
      <c r="H125" s="242"/>
      <c r="I125" s="242"/>
      <c r="J125" s="242"/>
      <c r="K125" s="242"/>
      <c r="L125" s="242"/>
      <c r="M125" s="242"/>
      <c r="N125" s="242"/>
      <c r="O125" s="242"/>
      <c r="P125" s="242"/>
      <c r="Q125" s="242"/>
      <c r="R125" s="242"/>
      <c r="S125" s="242"/>
    </row>
  </sheetData>
  <mergeCells count="8">
    <mergeCell ref="B63:S63"/>
    <mergeCell ref="B74:S74"/>
    <mergeCell ref="B97:S97"/>
    <mergeCell ref="A1:U2"/>
    <mergeCell ref="A3:U3"/>
    <mergeCell ref="B6:S6"/>
    <mergeCell ref="B27:S27"/>
    <mergeCell ref="B36:S36"/>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54"/>
  <sheetViews>
    <sheetView workbookViewId="0">
      <pane ySplit="5" topLeftCell="A6" activePane="bottomLeft" state="frozen"/>
      <selection pane="bottomLeft"/>
    </sheetView>
  </sheetViews>
  <sheetFormatPr defaultRowHeight="12.75"/>
  <cols>
    <col min="1" max="1" width="6" customWidth="1"/>
    <col min="2" max="2" width="53" customWidth="1"/>
    <col min="3" max="3" width="13" customWidth="1"/>
    <col min="4" max="4" width="14" customWidth="1"/>
    <col min="5" max="21" width="13" customWidth="1"/>
  </cols>
  <sheetData>
    <row r="1" spans="1:21" ht="23.1" customHeight="1">
      <c r="A1" s="5" t="s">
        <v>1530</v>
      </c>
      <c r="B1" s="5"/>
      <c r="C1" s="5"/>
      <c r="D1" s="5"/>
      <c r="E1" s="5"/>
      <c r="F1" s="5"/>
      <c r="G1" s="5"/>
      <c r="H1" s="5"/>
      <c r="I1" s="5"/>
      <c r="J1" s="5"/>
      <c r="K1" s="5"/>
      <c r="L1" s="5"/>
      <c r="M1" s="5"/>
      <c r="N1" s="5"/>
      <c r="O1" s="5"/>
      <c r="P1" s="5"/>
      <c r="Q1" s="5"/>
      <c r="R1" s="5"/>
      <c r="S1" s="5"/>
      <c r="T1" s="5"/>
      <c r="U1" s="5"/>
    </row>
    <row r="2" spans="1:21" ht="23.1" customHeight="1">
      <c r="A2" s="5"/>
      <c r="B2" s="5"/>
      <c r="C2" s="5"/>
      <c r="D2" s="5"/>
      <c r="E2" s="5"/>
      <c r="F2" s="5"/>
      <c r="G2" s="5"/>
      <c r="H2" s="5"/>
      <c r="I2" s="5"/>
      <c r="J2" s="5"/>
      <c r="K2" s="5"/>
      <c r="L2" s="5"/>
      <c r="M2" s="5"/>
      <c r="N2" s="5"/>
      <c r="O2" s="5"/>
      <c r="P2" s="5"/>
      <c r="Q2" s="5"/>
      <c r="R2" s="5"/>
      <c r="S2" s="5"/>
      <c r="T2" s="5"/>
      <c r="U2" s="5"/>
    </row>
    <row r="3" spans="1:21" ht="24" customHeight="1">
      <c r="A3" s="4" t="s">
        <v>1531</v>
      </c>
      <c r="B3" s="4"/>
      <c r="C3" s="4"/>
      <c r="D3" s="4"/>
      <c r="E3" s="4"/>
      <c r="F3" s="4"/>
      <c r="G3" s="4"/>
      <c r="H3" s="4"/>
      <c r="I3" s="4"/>
      <c r="J3" s="4"/>
      <c r="K3" s="4"/>
      <c r="L3" s="4"/>
      <c r="M3" s="4"/>
      <c r="N3" s="4"/>
      <c r="O3" s="4"/>
      <c r="P3" s="4"/>
      <c r="Q3" s="4"/>
      <c r="R3" s="4"/>
      <c r="S3" s="4"/>
      <c r="T3" s="4"/>
      <c r="U3" s="4"/>
    </row>
    <row r="5" spans="1:21" ht="26.1" customHeight="1">
      <c r="B5" s="241" t="s">
        <v>1233</v>
      </c>
      <c r="C5" s="241" t="s">
        <v>1234</v>
      </c>
      <c r="D5" s="241" t="s">
        <v>1235</v>
      </c>
      <c r="E5" s="241" t="str">
        <f>Sheet1!E40</f>
        <v>FY21A</v>
      </c>
      <c r="F5" s="241" t="str">
        <f>Sheet1!F40</f>
        <v>FY22A</v>
      </c>
      <c r="G5" s="241" t="str">
        <f>Sheet1!G40</f>
        <v>FY23A</v>
      </c>
      <c r="H5" s="241" t="str">
        <f>Sheet1!H40</f>
        <v>FY24A</v>
      </c>
      <c r="I5" s="241" t="str">
        <f>Sheet1!I40</f>
        <v>FY25A</v>
      </c>
      <c r="J5" s="241" t="str">
        <f>Sheet1!J40</f>
        <v>FY26E</v>
      </c>
      <c r="K5" s="241" t="str">
        <f>Sheet1!K40</f>
        <v>FY27E</v>
      </c>
      <c r="L5" s="241" t="str">
        <f>Sheet1!L40</f>
        <v>FY28E</v>
      </c>
      <c r="M5" s="241" t="str">
        <f>Sheet1!M40</f>
        <v>FY29E</v>
      </c>
      <c r="N5" s="241" t="str">
        <f>Sheet1!N40</f>
        <v>FY30E</v>
      </c>
      <c r="O5" s="241" t="str">
        <f>Sheet1!O40</f>
        <v>FY31E</v>
      </c>
      <c r="P5" s="241" t="str">
        <f>Sheet1!P40</f>
        <v>FY32E</v>
      </c>
      <c r="Q5" s="241" t="str">
        <f>Sheet1!Q40</f>
        <v>FY33E</v>
      </c>
      <c r="R5" s="241" t="str">
        <f>Sheet1!R40</f>
        <v>FY34E</v>
      </c>
      <c r="S5" s="241" t="str">
        <f>Sheet1!S40</f>
        <v>FY35E</v>
      </c>
    </row>
    <row r="6" spans="1:21" ht="20.100000000000001" customHeight="1">
      <c r="B6" s="3" t="s">
        <v>1532</v>
      </c>
      <c r="C6" s="3"/>
      <c r="D6" s="3"/>
      <c r="E6" s="2"/>
      <c r="F6" s="2"/>
      <c r="G6" s="2"/>
      <c r="H6" s="2"/>
      <c r="I6" s="2"/>
      <c r="J6" s="2"/>
      <c r="K6" s="2"/>
      <c r="L6" s="2"/>
      <c r="M6" s="2"/>
      <c r="N6" s="2"/>
      <c r="O6" s="2"/>
      <c r="P6" s="2"/>
      <c r="Q6" s="2"/>
      <c r="R6" s="2"/>
      <c r="S6" s="2"/>
    </row>
    <row r="7" spans="1:21">
      <c r="B7" t="s">
        <v>245</v>
      </c>
      <c r="D7" t="s">
        <v>1413</v>
      </c>
      <c r="E7" s="242" t="str">
        <f>IF(Sheet1!E53="","",Sheet1!E53)</f>
        <v/>
      </c>
      <c r="F7" s="242">
        <f>IF(Sheet1!F53="","",Sheet1!F53)</f>
        <v>0.14257069408740364</v>
      </c>
      <c r="G7" s="242">
        <f>IF(Sheet1!G53="","",Sheet1!G53)</f>
        <v>0.1728164514242001</v>
      </c>
      <c r="H7" s="242">
        <f>IF(Sheet1!H53="","",Sheet1!H53)</f>
        <v>0.14332303796497015</v>
      </c>
      <c r="I7" s="242">
        <f>IF(Sheet1!I53="","",Sheet1!I53)</f>
        <v>0.18868082821571197</v>
      </c>
      <c r="J7" s="242">
        <f>IF(Sheet1!J53="","",Sheet1!J53)</f>
        <v>0.15</v>
      </c>
      <c r="K7" s="242">
        <f>IF(Sheet1!K53="","",Sheet1!K53)</f>
        <v>0.13</v>
      </c>
      <c r="L7" s="242">
        <f>IF(Sheet1!L53="","",Sheet1!L53)</f>
        <v>0.12</v>
      </c>
      <c r="M7" s="242">
        <f>IF(Sheet1!M53="","",Sheet1!M53)</f>
        <v>0.11</v>
      </c>
      <c r="N7" s="242">
        <f>IF(Sheet1!N53="","",Sheet1!N53)</f>
        <v>0.1</v>
      </c>
      <c r="O7" s="242">
        <f>IF(Sheet1!O53="","",Sheet1!O53)</f>
        <v>9.2999999999999999E-2</v>
      </c>
      <c r="P7" s="242">
        <f>IF(Sheet1!P53="","",Sheet1!P53)</f>
        <v>8.5999999999999993E-2</v>
      </c>
      <c r="Q7" s="242">
        <f>IF(Sheet1!Q53="","",Sheet1!Q53)</f>
        <v>7.9000000000000001E-2</v>
      </c>
      <c r="R7" s="242">
        <f>IF(Sheet1!R53="","",Sheet1!R53)</f>
        <v>7.1999999999999995E-2</v>
      </c>
      <c r="S7" s="242">
        <f>IF(Sheet1!S53="","",Sheet1!S53)</f>
        <v>6.5000000000000002E-2</v>
      </c>
    </row>
    <row r="8" spans="1:21">
      <c r="B8" t="s">
        <v>250</v>
      </c>
      <c r="D8" t="s">
        <v>1420</v>
      </c>
      <c r="E8" s="242" t="str">
        <f>IF(Sheet1!E57="","",Sheet1!E57)</f>
        <v/>
      </c>
      <c r="F8" s="242">
        <f>IF(Sheet1!F57="","",Sheet1!F57)</f>
        <v>0.22663461538461549</v>
      </c>
      <c r="G8" s="242">
        <f>IF(Sheet1!G57="","",Sheet1!G57)</f>
        <v>0.20623971153092424</v>
      </c>
      <c r="H8" s="242">
        <f>IF(Sheet1!H57="","",Sheet1!H57)</f>
        <v>0.14511307512347282</v>
      </c>
      <c r="I8" s="242">
        <f>IF(Sheet1!I57="","",Sheet1!I57)</f>
        <v>0.13256909369502301</v>
      </c>
      <c r="J8" s="242">
        <f>IF(Sheet1!J57="","",Sheet1!J57)</f>
        <v>0.06</v>
      </c>
      <c r="K8" s="242">
        <f>IF(Sheet1!K57="","",Sheet1!K57)</f>
        <v>0.08</v>
      </c>
      <c r="L8" s="242">
        <f>IF(Sheet1!L57="","",Sheet1!L57)</f>
        <v>0.08</v>
      </c>
      <c r="M8" s="242">
        <f>IF(Sheet1!M57="","",Sheet1!M57)</f>
        <v>0.08</v>
      </c>
      <c r="N8" s="242">
        <f>IF(Sheet1!N57="","",Sheet1!N57)</f>
        <v>0.08</v>
      </c>
      <c r="O8" s="242">
        <f>IF(Sheet1!O57="","",Sheet1!O57)</f>
        <v>7.6999999999999999E-2</v>
      </c>
      <c r="P8" s="242">
        <f>IF(Sheet1!P57="","",Sheet1!P57)</f>
        <v>7.3999999999999996E-2</v>
      </c>
      <c r="Q8" s="242">
        <f>IF(Sheet1!Q57="","",Sheet1!Q57)</f>
        <v>7.0999999999999994E-2</v>
      </c>
      <c r="R8" s="242">
        <f>IF(Sheet1!R57="","",Sheet1!R57)</f>
        <v>6.8000000000000005E-2</v>
      </c>
      <c r="S8" s="242">
        <f>IF(Sheet1!S57="","",Sheet1!S57)</f>
        <v>6.5000000000000002E-2</v>
      </c>
    </row>
    <row r="9" spans="1:21">
      <c r="B9" t="s">
        <v>254</v>
      </c>
      <c r="D9" t="s">
        <v>1427</v>
      </c>
      <c r="E9" s="242" t="str">
        <f>IF(Sheet1!E61="","",Sheet1!E61)</f>
        <v/>
      </c>
      <c r="F9" s="242">
        <f>IF(Sheet1!F61="","",Sheet1!F61)</f>
        <v>3.202185792349721E-2</v>
      </c>
      <c r="G9" s="242">
        <f>IF(Sheet1!G61="","",Sheet1!G61)</f>
        <v>2.4144869215291687E-2</v>
      </c>
      <c r="H9" s="242">
        <f>IF(Sheet1!H61="","",Sheet1!H61)</f>
        <v>0.11844690311239781</v>
      </c>
      <c r="I9" s="242">
        <f>IF(Sheet1!I61="","",Sheet1!I61)</f>
        <v>0.13673554292053813</v>
      </c>
      <c r="J9" s="242">
        <f>IF(Sheet1!J61="","",Sheet1!J61)</f>
        <v>0.15</v>
      </c>
      <c r="K9" s="242">
        <f>IF(Sheet1!K61="","",Sheet1!K61)</f>
        <v>0.13</v>
      </c>
      <c r="L9" s="242">
        <f>IF(Sheet1!L61="","",Sheet1!L61)</f>
        <v>0.12</v>
      </c>
      <c r="M9" s="242">
        <f>IF(Sheet1!M61="","",Sheet1!M61)</f>
        <v>0.11</v>
      </c>
      <c r="N9" s="242">
        <f>IF(Sheet1!N61="","",Sheet1!N61)</f>
        <v>0.1</v>
      </c>
      <c r="O9" s="242">
        <f>IF(Sheet1!O61="","",Sheet1!O61)</f>
        <v>9.2999999999999999E-2</v>
      </c>
      <c r="P9" s="242">
        <f>IF(Sheet1!P61="","",Sheet1!P61)</f>
        <v>8.5999999999999993E-2</v>
      </c>
      <c r="Q9" s="242">
        <f>IF(Sheet1!Q61="","",Sheet1!Q61)</f>
        <v>7.9000000000000001E-2</v>
      </c>
      <c r="R9" s="242">
        <f>IF(Sheet1!R61="","",Sheet1!R61)</f>
        <v>7.1999999999999995E-2</v>
      </c>
      <c r="S9" s="242">
        <f>IF(Sheet1!S61="","",Sheet1!S61)</f>
        <v>6.5000000000000002E-2</v>
      </c>
    </row>
    <row r="10" spans="1:21">
      <c r="B10" t="s">
        <v>258</v>
      </c>
      <c r="D10" t="s">
        <v>1434</v>
      </c>
      <c r="E10" s="242" t="str">
        <f>IF(Sheet1!E65="","",Sheet1!E65)</f>
        <v/>
      </c>
      <c r="F10" s="242">
        <f>IF(Sheet1!F65="","",Sheet1!F65)</f>
        <v>0.32907801418439719</v>
      </c>
      <c r="G10" s="242">
        <f>IF(Sheet1!G65="","",Sheet1!G65)</f>
        <v>0.22262540021344712</v>
      </c>
      <c r="H10" s="242">
        <f>IF(Sheet1!H65="","",Sheet1!H65)</f>
        <v>0.21098114525139655</v>
      </c>
      <c r="I10" s="242">
        <f>IF(Sheet1!I65="","",Sheet1!I65)</f>
        <v>-2.8472572623080561E-3</v>
      </c>
      <c r="J10" s="242">
        <f>IF(Sheet1!J65="","",Sheet1!J65)</f>
        <v>0.08</v>
      </c>
      <c r="K10" s="242">
        <f>IF(Sheet1!K65="","",Sheet1!K65)</f>
        <v>0.09</v>
      </c>
      <c r="L10" s="242">
        <f>IF(Sheet1!L65="","",Sheet1!L65)</f>
        <v>0.09</v>
      </c>
      <c r="M10" s="242">
        <f>IF(Sheet1!M65="","",Sheet1!M65)</f>
        <v>0.09</v>
      </c>
      <c r="N10" s="242">
        <f>IF(Sheet1!N65="","",Sheet1!N65)</f>
        <v>0.09</v>
      </c>
      <c r="O10" s="242">
        <f>IF(Sheet1!O65="","",Sheet1!O65)</f>
        <v>8.5000000000000006E-2</v>
      </c>
      <c r="P10" s="242">
        <f>IF(Sheet1!P65="","",Sheet1!P65)</f>
        <v>0.08</v>
      </c>
      <c r="Q10" s="242">
        <f>IF(Sheet1!Q65="","",Sheet1!Q65)</f>
        <v>7.4999999999999997E-2</v>
      </c>
      <c r="R10" s="242">
        <f>IF(Sheet1!R65="","",Sheet1!R65)</f>
        <v>7.0000000000000007E-2</v>
      </c>
      <c r="S10" s="242">
        <f>IF(Sheet1!S65="","",Sheet1!S65)</f>
        <v>6.5000000000000002E-2</v>
      </c>
    </row>
    <row r="11" spans="1:21">
      <c r="B11" t="s">
        <v>262</v>
      </c>
      <c r="D11" t="s">
        <v>1441</v>
      </c>
      <c r="E11" s="242" t="str">
        <f>IF(Sheet1!E69="","",Sheet1!E69)</f>
        <v/>
      </c>
      <c r="F11" s="242">
        <f>IF(Sheet1!F69="","",Sheet1!F69)</f>
        <v>0.25989217666953146</v>
      </c>
      <c r="G11" s="242">
        <f>IF(Sheet1!G69="","",Sheet1!G69)</f>
        <v>0.15656256921373202</v>
      </c>
      <c r="H11" s="242">
        <f>IF(Sheet1!H69="","",Sheet1!H69)</f>
        <v>0.16343539108520311</v>
      </c>
      <c r="I11" s="242">
        <f>IF(Sheet1!I69="","",Sheet1!I69)</f>
        <v>0.15737771837532843</v>
      </c>
      <c r="J11" s="242">
        <f>IF(Sheet1!J69="","",Sheet1!J69)</f>
        <v>0.16</v>
      </c>
      <c r="K11" s="242">
        <f>IF(Sheet1!K69="","",Sheet1!K69)</f>
        <v>0.14000000000000001</v>
      </c>
      <c r="L11" s="242">
        <f>IF(Sheet1!L69="","",Sheet1!L69)</f>
        <v>0.12</v>
      </c>
      <c r="M11" s="242">
        <f>IF(Sheet1!M69="","",Sheet1!M69)</f>
        <v>0.11</v>
      </c>
      <c r="N11" s="242">
        <f>IF(Sheet1!N69="","",Sheet1!N69)</f>
        <v>0.1</v>
      </c>
      <c r="O11" s="242">
        <f>IF(Sheet1!O69="","",Sheet1!O69)</f>
        <v>9.2999999999999999E-2</v>
      </c>
      <c r="P11" s="242">
        <f>IF(Sheet1!P69="","",Sheet1!P69)</f>
        <v>8.5999999999999993E-2</v>
      </c>
      <c r="Q11" s="242">
        <f>IF(Sheet1!Q69="","",Sheet1!Q69)</f>
        <v>7.9000000000000001E-2</v>
      </c>
      <c r="R11" s="242">
        <f>IF(Sheet1!R69="","",Sheet1!R69)</f>
        <v>7.1999999999999995E-2</v>
      </c>
      <c r="S11" s="242">
        <f>IF(Sheet1!S69="","",Sheet1!S69)</f>
        <v>6.5000000000000002E-2</v>
      </c>
    </row>
    <row r="12" spans="1:21">
      <c r="B12" t="s">
        <v>266</v>
      </c>
      <c r="D12" t="s">
        <v>1448</v>
      </c>
      <c r="E12" s="242">
        <f>IF(Sheet1!E73="","",Sheet1!E73)</f>
        <v>0.57908272610372913</v>
      </c>
      <c r="F12" s="242">
        <f>IF(Sheet1!F73="","",Sheet1!F73)</f>
        <v>0.61571908784623564</v>
      </c>
      <c r="G12" s="242">
        <f>IF(Sheet1!G73="","",Sheet1!G73)</f>
        <v>0.60565739086035231</v>
      </c>
      <c r="H12" s="242">
        <f>IF(Sheet1!H73="","",Sheet1!H73)</f>
        <v>0.60121421634794503</v>
      </c>
      <c r="I12" s="242">
        <f>IF(Sheet1!I73="","",Sheet1!I73)</f>
        <v>0.61619652604937336</v>
      </c>
      <c r="J12" s="242">
        <f>IF(Sheet1!J73="","",Sheet1!J73)</f>
        <v>0.61</v>
      </c>
      <c r="K12" s="242">
        <f>IF(Sheet1!K73="","",Sheet1!K73)</f>
        <v>0.61</v>
      </c>
      <c r="L12" s="242">
        <f>IF(Sheet1!L73="","",Sheet1!L73)</f>
        <v>0.61</v>
      </c>
      <c r="M12" s="242">
        <f>IF(Sheet1!M73="","",Sheet1!M73)</f>
        <v>0.61</v>
      </c>
      <c r="N12" s="242">
        <f>IF(Sheet1!N73="","",Sheet1!N73)</f>
        <v>0.61</v>
      </c>
      <c r="O12" s="242">
        <f>IF(Sheet1!O73="","",Sheet1!O73)</f>
        <v>0.61</v>
      </c>
      <c r="P12" s="242">
        <f>IF(Sheet1!P73="","",Sheet1!P73)</f>
        <v>0.61</v>
      </c>
      <c r="Q12" s="242">
        <f>IF(Sheet1!Q73="","",Sheet1!Q73)</f>
        <v>0.61</v>
      </c>
      <c r="R12" s="242">
        <f>IF(Sheet1!R73="","",Sheet1!R73)</f>
        <v>0.61</v>
      </c>
      <c r="S12" s="242">
        <f>IF(Sheet1!S73="","",Sheet1!S73)</f>
        <v>0.61</v>
      </c>
    </row>
    <row r="13" spans="1:21">
      <c r="B13" t="s">
        <v>267</v>
      </c>
      <c r="D13" t="s">
        <v>1449</v>
      </c>
      <c r="E13" s="242">
        <f>IF(Sheet1!E74="","",Sheet1!E74)</f>
        <v>0.73420917273896269</v>
      </c>
      <c r="F13" s="242">
        <f>IF(Sheet1!F74="","",Sheet1!F74)</f>
        <v>0.79430649620828253</v>
      </c>
      <c r="G13" s="242">
        <f>IF(Sheet1!G74="","",Sheet1!G74)</f>
        <v>0.81802740192324053</v>
      </c>
      <c r="H13" s="242">
        <f>IF(Sheet1!H74="","",Sheet1!H74)</f>
        <v>0.85044311567426267</v>
      </c>
      <c r="I13" s="242">
        <f>IF(Sheet1!I74="","",Sheet1!I74)</f>
        <v>0.83798480376568052</v>
      </c>
      <c r="J13" s="242">
        <f>IF(Sheet1!J74="","",Sheet1!J74)</f>
        <v>0.85</v>
      </c>
      <c r="K13" s="242">
        <f>IF(Sheet1!K74="","",Sheet1!K74)</f>
        <v>0.86</v>
      </c>
      <c r="L13" s="242">
        <f>IF(Sheet1!L74="","",Sheet1!L74)</f>
        <v>0.87</v>
      </c>
      <c r="M13" s="242">
        <f>IF(Sheet1!M74="","",Sheet1!M74)</f>
        <v>0.87</v>
      </c>
      <c r="N13" s="242">
        <f>IF(Sheet1!N74="","",Sheet1!N74)</f>
        <v>0.87</v>
      </c>
      <c r="O13" s="242">
        <f>IF(Sheet1!O74="","",Sheet1!O74)</f>
        <v>0.87</v>
      </c>
      <c r="P13" s="242">
        <f>IF(Sheet1!P74="","",Sheet1!P74)</f>
        <v>0.87</v>
      </c>
      <c r="Q13" s="242">
        <f>IF(Sheet1!Q74="","",Sheet1!Q74)</f>
        <v>0.87</v>
      </c>
      <c r="R13" s="242">
        <f>IF(Sheet1!R74="","",Sheet1!R74)</f>
        <v>0.87</v>
      </c>
      <c r="S13" s="242">
        <f>IF(Sheet1!S74="","",Sheet1!S74)</f>
        <v>0.87</v>
      </c>
    </row>
    <row r="14" spans="1:21" ht="20.100000000000001" customHeight="1">
      <c r="B14" s="3" t="s">
        <v>1533</v>
      </c>
      <c r="C14" s="3"/>
      <c r="D14" s="3"/>
      <c r="E14" s="2"/>
      <c r="F14" s="2"/>
      <c r="G14" s="2"/>
      <c r="H14" s="2"/>
      <c r="I14" s="2"/>
      <c r="J14" s="2"/>
      <c r="K14" s="2"/>
      <c r="L14" s="2"/>
      <c r="M14" s="2"/>
      <c r="N14" s="2"/>
      <c r="O14" s="2"/>
      <c r="P14" s="2"/>
      <c r="Q14" s="2"/>
      <c r="R14" s="2"/>
      <c r="S14" s="2"/>
    </row>
    <row r="15" spans="1:21">
      <c r="B15" t="s">
        <v>436</v>
      </c>
      <c r="D15" t="s">
        <v>1534</v>
      </c>
      <c r="E15" s="242">
        <f>IF(Sheet1!E208="","",Sheet1!E208)</f>
        <v>10400</v>
      </c>
      <c r="F15" s="242">
        <f>IF(Sheet1!F208="","",Sheet1!F208)</f>
        <v>12757</v>
      </c>
      <c r="G15" s="242">
        <f>IF(Sheet1!G208="","",Sheet1!G208)</f>
        <v>15388</v>
      </c>
      <c r="H15" s="242">
        <f>IF(Sheet1!H208="","",Sheet1!H208)</f>
        <v>17621</v>
      </c>
      <c r="I15" s="242">
        <f>IF(Sheet1!I208="","",Sheet1!I208)</f>
        <v>19957</v>
      </c>
      <c r="J15" s="242">
        <f>IF(Sheet1!J208="","",Sheet1!J208)</f>
        <v>21154.420000000002</v>
      </c>
      <c r="K15" s="242">
        <f>IF(Sheet1!K208="","",Sheet1!K208)</f>
        <v>22846.773600000004</v>
      </c>
      <c r="L15" s="242">
        <f>IF(Sheet1!L208="","",Sheet1!L208)</f>
        <v>24674.515488000005</v>
      </c>
      <c r="M15" s="242">
        <f>IF(Sheet1!M208="","",Sheet1!M208)</f>
        <v>26648.476727040008</v>
      </c>
      <c r="N15" s="242">
        <f>IF(Sheet1!N208="","",Sheet1!N208)</f>
        <v>28780.354865203211</v>
      </c>
      <c r="O15" s="242">
        <f>IF(Sheet1!O208="","",Sheet1!O208)</f>
        <v>30996.442189823858</v>
      </c>
      <c r="P15" s="242">
        <f>IF(Sheet1!P208="","",Sheet1!P208)</f>
        <v>33290.178911870826</v>
      </c>
      <c r="Q15" s="242">
        <f>IF(Sheet1!Q208="","",Sheet1!Q208)</f>
        <v>35653.781614613654</v>
      </c>
      <c r="R15" s="242">
        <f>IF(Sheet1!R208="","",Sheet1!R208)</f>
        <v>38078.238764407382</v>
      </c>
      <c r="S15" s="242">
        <f>IF(Sheet1!S208="","",Sheet1!S208)</f>
        <v>40553.324284093862</v>
      </c>
    </row>
    <row r="16" spans="1:21">
      <c r="B16" t="s">
        <v>437</v>
      </c>
      <c r="D16" t="s">
        <v>1535</v>
      </c>
      <c r="E16" s="242">
        <f>IF(Sheet1!E209="","",Sheet1!E209)</f>
        <v>18300</v>
      </c>
      <c r="F16" s="242">
        <f>IF(Sheet1!F209="","",Sheet1!F209)</f>
        <v>18886</v>
      </c>
      <c r="G16" s="242">
        <f>IF(Sheet1!G209="","",Sheet1!G209)</f>
        <v>19342</v>
      </c>
      <c r="H16" s="242">
        <f>IF(Sheet1!H209="","",Sheet1!H209)</f>
        <v>21633</v>
      </c>
      <c r="I16" s="242">
        <f>IF(Sheet1!I209="","",Sheet1!I209)</f>
        <v>24591</v>
      </c>
      <c r="J16" s="242">
        <f>IF(Sheet1!J209="","",Sheet1!J209)</f>
        <v>28279.649999999998</v>
      </c>
      <c r="K16" s="242">
        <f>IF(Sheet1!K209="","",Sheet1!K209)</f>
        <v>31956.004499999995</v>
      </c>
      <c r="L16" s="242">
        <f>IF(Sheet1!L209="","",Sheet1!L209)</f>
        <v>35790.725039999998</v>
      </c>
      <c r="M16" s="242">
        <f>IF(Sheet1!M209="","",Sheet1!M209)</f>
        <v>39727.704794400001</v>
      </c>
      <c r="N16" s="242">
        <f>IF(Sheet1!N209="","",Sheet1!N209)</f>
        <v>43700.475273840006</v>
      </c>
      <c r="O16" s="242">
        <f>IF(Sheet1!O209="","",Sheet1!O209)</f>
        <v>47764.619474307125</v>
      </c>
      <c r="P16" s="242">
        <f>IF(Sheet1!P209="","",Sheet1!P209)</f>
        <v>51872.376749097544</v>
      </c>
      <c r="Q16" s="242">
        <f>IF(Sheet1!Q209="","",Sheet1!Q209)</f>
        <v>55970.294512276247</v>
      </c>
      <c r="R16" s="242">
        <f>IF(Sheet1!R209="","",Sheet1!R209)</f>
        <v>60000.155717160138</v>
      </c>
      <c r="S16" s="242">
        <f>IF(Sheet1!S209="","",Sheet1!S209)</f>
        <v>63900.165838775545</v>
      </c>
    </row>
    <row r="17" spans="2:19">
      <c r="B17" t="s">
        <v>438</v>
      </c>
      <c r="D17" t="s">
        <v>1536</v>
      </c>
      <c r="E17" s="242">
        <f>IF(Sheet1!E210="","",Sheet1!E210)</f>
        <v>14100</v>
      </c>
      <c r="F17" s="242">
        <f>IF(Sheet1!F210="","",Sheet1!F210)</f>
        <v>18740</v>
      </c>
      <c r="G17" s="242">
        <f>IF(Sheet1!G210="","",Sheet1!G210)</f>
        <v>22912</v>
      </c>
      <c r="H17" s="242">
        <f>IF(Sheet1!H210="","",Sheet1!H210)</f>
        <v>27746</v>
      </c>
      <c r="I17" s="242">
        <f>IF(Sheet1!I210="","",Sheet1!I210)</f>
        <v>27667</v>
      </c>
      <c r="J17" s="242">
        <f>IF(Sheet1!J210="","",Sheet1!J210)</f>
        <v>29880.36</v>
      </c>
      <c r="K17" s="242">
        <f>IF(Sheet1!K210="","",Sheet1!K210)</f>
        <v>32569.592400000001</v>
      </c>
      <c r="L17" s="242">
        <f>IF(Sheet1!L210="","",Sheet1!L210)</f>
        <v>35500.855716000005</v>
      </c>
      <c r="M17" s="242">
        <f>IF(Sheet1!M210="","",Sheet1!M210)</f>
        <v>38695.932730440007</v>
      </c>
      <c r="N17" s="242">
        <f>IF(Sheet1!N210="","",Sheet1!N210)</f>
        <v>42178.566676179609</v>
      </c>
      <c r="O17" s="242">
        <f>IF(Sheet1!O210="","",Sheet1!O210)</f>
        <v>45763.744843654873</v>
      </c>
      <c r="P17" s="242">
        <f>IF(Sheet1!P210="","",Sheet1!P210)</f>
        <v>49424.844431147263</v>
      </c>
      <c r="Q17" s="242">
        <f>IF(Sheet1!Q210="","",Sheet1!Q210)</f>
        <v>53131.707763483304</v>
      </c>
      <c r="R17" s="242">
        <f>IF(Sheet1!R210="","",Sheet1!R210)</f>
        <v>56850.927306927137</v>
      </c>
      <c r="S17" s="242">
        <f>IF(Sheet1!S210="","",Sheet1!S210)</f>
        <v>60546.237581877394</v>
      </c>
    </row>
    <row r="18" spans="2:19">
      <c r="B18" t="s">
        <v>439</v>
      </c>
      <c r="D18" t="s">
        <v>1537</v>
      </c>
      <c r="E18" s="242">
        <f>IF(Sheet1!E211="","",Sheet1!E211)</f>
        <v>89591</v>
      </c>
      <c r="F18" s="242">
        <f>IF(Sheet1!F211="","",Sheet1!F211)</f>
        <v>112875</v>
      </c>
      <c r="G18" s="242">
        <f>IF(Sheet1!G211="","",Sheet1!G211)</f>
        <v>130547</v>
      </c>
      <c r="H18" s="242">
        <f>IF(Sheet1!H211="","",Sheet1!H211)</f>
        <v>151883</v>
      </c>
      <c r="I18" s="242">
        <f>IF(Sheet1!I211="","",Sheet1!I211)</f>
        <v>175786</v>
      </c>
      <c r="J18" s="242">
        <f>IF(Sheet1!J211="","",Sheet1!J211)</f>
        <v>203911.75999999998</v>
      </c>
      <c r="K18" s="242">
        <f>IF(Sheet1!K211="","",Sheet1!K211)</f>
        <v>232459.40640000001</v>
      </c>
      <c r="L18" s="242">
        <f>IF(Sheet1!L211="","",Sheet1!L211)</f>
        <v>260354.53516800003</v>
      </c>
      <c r="M18" s="242">
        <f>IF(Sheet1!M211="","",Sheet1!M211)</f>
        <v>288993.53403648006</v>
      </c>
      <c r="N18" s="242">
        <f>IF(Sheet1!N211="","",Sheet1!N211)</f>
        <v>317892.88744012808</v>
      </c>
      <c r="O18" s="242">
        <f>IF(Sheet1!O211="","",Sheet1!O211)</f>
        <v>347456.92597205995</v>
      </c>
      <c r="P18" s="242">
        <f>IF(Sheet1!P211="","",Sheet1!P211)</f>
        <v>377338.22160565713</v>
      </c>
      <c r="Q18" s="242">
        <f>IF(Sheet1!Q211="","",Sheet1!Q211)</f>
        <v>407147.94111250405</v>
      </c>
      <c r="R18" s="242">
        <f>IF(Sheet1!R211="","",Sheet1!R211)</f>
        <v>436462.59287260438</v>
      </c>
      <c r="S18" s="242">
        <f>IF(Sheet1!S211="","",Sheet1!S211)</f>
        <v>464832.66140932363</v>
      </c>
    </row>
    <row r="19" spans="2:19">
      <c r="B19" t="s">
        <v>387</v>
      </c>
      <c r="D19" t="s">
        <v>1538</v>
      </c>
      <c r="E19" s="242">
        <f>IF(Sheet1!E212="","",Sheet1!E212)</f>
        <v>171291</v>
      </c>
      <c r="F19" s="242">
        <f>IF(Sheet1!F212="","",Sheet1!F212)</f>
        <v>207704</v>
      </c>
      <c r="G19" s="242">
        <f>IF(Sheet1!G212="","",Sheet1!G212)</f>
        <v>240316</v>
      </c>
      <c r="H19" s="242">
        <f>IF(Sheet1!H212="","",Sheet1!H212)</f>
        <v>278481</v>
      </c>
      <c r="I19" s="242">
        <f>IF(Sheet1!I212="","",Sheet1!I212)</f>
        <v>318844</v>
      </c>
      <c r="J19" s="242">
        <f>IF(Sheet1!J212="","",Sheet1!J212)</f>
        <v>364695.64</v>
      </c>
      <c r="K19" s="242">
        <f>IF(Sheet1!K212="","",Sheet1!K212)</f>
        <v>411892.25539999997</v>
      </c>
      <c r="L19" s="242">
        <f>IF(Sheet1!L212="","",Sheet1!L212)</f>
        <v>459428.36733200005</v>
      </c>
      <c r="M19" s="242">
        <f>IF(Sheet1!M212="","",Sheet1!M212)</f>
        <v>508515.23515956011</v>
      </c>
      <c r="N19" s="242">
        <f>IF(Sheet1!N212="","",Sheet1!N212)</f>
        <v>558446.82981367095</v>
      </c>
      <c r="O19" s="242">
        <f>IF(Sheet1!O212="","",Sheet1!O212)</f>
        <v>609584.47077508958</v>
      </c>
      <c r="P19" s="242">
        <f>IF(Sheet1!P212="","",Sheet1!P212)</f>
        <v>661362.19548640749</v>
      </c>
      <c r="Q19" s="242">
        <f>IF(Sheet1!Q212="","",Sheet1!Q212)</f>
        <v>713145.78812081413</v>
      </c>
      <c r="R19" s="242">
        <f>IF(Sheet1!R212="","",Sheet1!R212)</f>
        <v>764243.40632352745</v>
      </c>
      <c r="S19" s="242">
        <f>IF(Sheet1!S212="","",Sheet1!S212)</f>
        <v>813919.22773455665</v>
      </c>
    </row>
    <row r="20" spans="2:19">
      <c r="B20" t="s">
        <v>441</v>
      </c>
      <c r="D20" t="s">
        <v>1539</v>
      </c>
      <c r="E20" s="242">
        <f>IF(Sheet1!E213="","",Sheet1!E213)</f>
        <v>171291</v>
      </c>
      <c r="F20" s="242">
        <f>IF(Sheet1!F213="","",Sheet1!F213)</f>
        <v>207705</v>
      </c>
      <c r="G20" s="242">
        <f>IF(Sheet1!G213="","",Sheet1!G213)</f>
        <v>240316</v>
      </c>
      <c r="H20" s="242">
        <f>IF(Sheet1!H213="","",Sheet1!H213)</f>
        <v>278481</v>
      </c>
      <c r="I20" s="242">
        <f>IF(Sheet1!I213="","",Sheet1!I213)</f>
        <v>318844</v>
      </c>
      <c r="J20" s="242" t="str">
        <f>IF(Sheet1!J213="","",Sheet1!J213)</f>
        <v/>
      </c>
      <c r="K20" s="242" t="str">
        <f>IF(Sheet1!K213="","",Sheet1!K213)</f>
        <v/>
      </c>
      <c r="L20" s="242" t="str">
        <f>IF(Sheet1!L213="","",Sheet1!L213)</f>
        <v/>
      </c>
      <c r="M20" s="242" t="str">
        <f>IF(Sheet1!M213="","",Sheet1!M213)</f>
        <v/>
      </c>
      <c r="N20" s="242" t="str">
        <f>IF(Sheet1!N213="","",Sheet1!N213)</f>
        <v/>
      </c>
      <c r="O20" s="242" t="str">
        <f>IF(Sheet1!O213="","",Sheet1!O213)</f>
        <v/>
      </c>
      <c r="P20" s="242" t="str">
        <f>IF(Sheet1!P213="","",Sheet1!P213)</f>
        <v/>
      </c>
      <c r="Q20" s="242" t="str">
        <f>IF(Sheet1!Q213="","",Sheet1!Q213)</f>
        <v/>
      </c>
      <c r="R20" s="242" t="str">
        <f>IF(Sheet1!R213="","",Sheet1!R213)</f>
        <v/>
      </c>
      <c r="S20" s="242" t="str">
        <f>IF(Sheet1!S213="","",Sheet1!S213)</f>
        <v/>
      </c>
    </row>
    <row r="21" spans="2:19">
      <c r="B21" t="s">
        <v>442</v>
      </c>
      <c r="D21" t="s">
        <v>1540</v>
      </c>
      <c r="E21" s="242" t="str">
        <f>IF(Sheet1!E214="","",Sheet1!E214)</f>
        <v/>
      </c>
      <c r="F21" s="242">
        <f>IF(Sheet1!F214="","",Sheet1!F214)</f>
        <v>189497.5</v>
      </c>
      <c r="G21" s="242">
        <f>IF(Sheet1!G214="","",Sheet1!G214)</f>
        <v>224010</v>
      </c>
      <c r="H21" s="242">
        <f>IF(Sheet1!H214="","",Sheet1!H214)</f>
        <v>259398.5</v>
      </c>
      <c r="I21" s="242">
        <f>IF(Sheet1!I214="","",Sheet1!I214)</f>
        <v>298662.5</v>
      </c>
      <c r="J21" s="242">
        <f>IF(Sheet1!J214="","",Sheet1!J214)</f>
        <v>341769.82</v>
      </c>
      <c r="K21" s="242">
        <f>IF(Sheet1!K214="","",Sheet1!K214)</f>
        <v>388293.94770000002</v>
      </c>
      <c r="L21" s="242">
        <f>IF(Sheet1!L214="","",Sheet1!L214)</f>
        <v>435660.31136599998</v>
      </c>
      <c r="M21" s="242">
        <f>IF(Sheet1!M214="","",Sheet1!M214)</f>
        <v>483971.80124578008</v>
      </c>
      <c r="N21" s="242">
        <f>IF(Sheet1!N214="","",Sheet1!N214)</f>
        <v>533481.03248661547</v>
      </c>
      <c r="O21" s="242">
        <f>IF(Sheet1!O214="","",Sheet1!O214)</f>
        <v>584015.65029438026</v>
      </c>
      <c r="P21" s="242">
        <f>IF(Sheet1!P214="","",Sheet1!P214)</f>
        <v>635473.33313074848</v>
      </c>
      <c r="Q21" s="242">
        <f>IF(Sheet1!Q214="","",Sheet1!Q214)</f>
        <v>687253.99180361081</v>
      </c>
      <c r="R21" s="242">
        <f>IF(Sheet1!R214="","",Sheet1!R214)</f>
        <v>738694.59722217079</v>
      </c>
      <c r="S21" s="242">
        <f>IF(Sheet1!S214="","",Sheet1!S214)</f>
        <v>789081.31702904205</v>
      </c>
    </row>
    <row r="22" spans="2:19">
      <c r="B22" t="s">
        <v>443</v>
      </c>
      <c r="D22" t="s">
        <v>1541</v>
      </c>
      <c r="E22" s="242" t="str">
        <f>IF(Sheet1!E215="","",Sheet1!E215)</f>
        <v/>
      </c>
      <c r="F22" s="242">
        <f>IF(Sheet1!F215="","",Sheet1!F215)</f>
        <v>0.21257976192561201</v>
      </c>
      <c r="G22" s="242">
        <f>IF(Sheet1!G215="","",Sheet1!G215)</f>
        <v>0.1570119015522089</v>
      </c>
      <c r="H22" s="242">
        <f>IF(Sheet1!H215="","",Sheet1!H215)</f>
        <v>0.15881173122055969</v>
      </c>
      <c r="I22" s="242">
        <f>IF(Sheet1!I215="","",Sheet1!I215)</f>
        <v>0.14493987022453947</v>
      </c>
      <c r="J22" s="242">
        <f>IF(Sheet1!J215="","",Sheet1!J215)</f>
        <v>0.14380587371880926</v>
      </c>
      <c r="K22" s="242">
        <f>IF(Sheet1!K215="","",Sheet1!K215)</f>
        <v>0.12941370892177373</v>
      </c>
      <c r="L22" s="242">
        <f>IF(Sheet1!L215="","",Sheet1!L215)</f>
        <v>0.11540909378312159</v>
      </c>
      <c r="M22" s="242">
        <f>IF(Sheet1!M215="","",Sheet1!M215)</f>
        <v>0.10684335430269165</v>
      </c>
      <c r="N22" s="242">
        <f>IF(Sheet1!N215="","",Sheet1!N215)</f>
        <v>9.8190951227731693E-2</v>
      </c>
      <c r="O22" s="242">
        <f>IF(Sheet1!O215="","",Sheet1!O215)</f>
        <v>9.157119036467809E-2</v>
      </c>
      <c r="P22" s="242">
        <f>IF(Sheet1!P215="","",Sheet1!P215)</f>
        <v>8.4939376236868869E-2</v>
      </c>
      <c r="Q22" s="242">
        <f>IF(Sheet1!Q215="","",Sheet1!Q215)</f>
        <v>7.8298386251608676E-2</v>
      </c>
      <c r="R22" s="242">
        <f>IF(Sheet1!R215="","",Sheet1!R215)</f>
        <v>7.1651013094193416E-2</v>
      </c>
      <c r="S22" s="242">
        <f>IF(Sheet1!S215="","",Sheet1!S215)</f>
        <v>6.4999999999999947E-2</v>
      </c>
    </row>
    <row r="23" spans="2:19">
      <c r="B23" t="s">
        <v>444</v>
      </c>
      <c r="D23" t="s">
        <v>1542</v>
      </c>
      <c r="E23" s="242">
        <f>IF(Sheet1!E216="","",Sheet1!E216)</f>
        <v>5018.8262999999997</v>
      </c>
      <c r="F23" s="242">
        <f>IF(Sheet1!F216="","",Sheet1!F216)</f>
        <v>5026.4367999999995</v>
      </c>
      <c r="G23" s="242">
        <f>IF(Sheet1!G216="","",Sheet1!G216)</f>
        <v>4998.5727999999999</v>
      </c>
      <c r="H23" s="242">
        <f>IF(Sheet1!H216="","",Sheet1!H216)</f>
        <v>5291.1390000000001</v>
      </c>
      <c r="I23" s="242">
        <f>IF(Sheet1!I216="","",Sheet1!I216)</f>
        <v>5771.0764000000008</v>
      </c>
      <c r="J23" s="242">
        <f>IF(Sheet1!J216="","",Sheet1!J216)</f>
        <v>6746.8693400000002</v>
      </c>
      <c r="K23" s="242">
        <f>IF(Sheet1!K216="","",Sheet1!K216)</f>
        <v>7620.0067248999994</v>
      </c>
      <c r="L23" s="242">
        <f>IF(Sheet1!L216="","",Sheet1!L216)</f>
        <v>8269.710611976001</v>
      </c>
      <c r="M23" s="242">
        <f>IF(Sheet1!M216="","",Sheet1!M216)</f>
        <v>9153.2742328720815</v>
      </c>
      <c r="N23" s="242">
        <f>IF(Sheet1!N216="","",Sheet1!N216)</f>
        <v>10052.042936646076</v>
      </c>
      <c r="O23" s="242">
        <f>IF(Sheet1!O216="","",Sheet1!O216)</f>
        <v>10972.520473951612</v>
      </c>
      <c r="P23" s="242">
        <f>IF(Sheet1!P216="","",Sheet1!P216)</f>
        <v>11904.519518755335</v>
      </c>
      <c r="Q23" s="242">
        <f>IF(Sheet1!Q216="","",Sheet1!Q216)</f>
        <v>12836.624186174653</v>
      </c>
      <c r="R23" s="242">
        <f>IF(Sheet1!R216="","",Sheet1!R216)</f>
        <v>13756.381313823493</v>
      </c>
      <c r="S23" s="242">
        <f>IF(Sheet1!S216="","",Sheet1!S216)</f>
        <v>14650.546099222018</v>
      </c>
    </row>
    <row r="24" spans="2:19">
      <c r="B24" t="s">
        <v>1543</v>
      </c>
      <c r="D24" t="s">
        <v>1544</v>
      </c>
      <c r="E24" s="242" t="str">
        <f>IF(Sheet1!E217="","",Sheet1!E217)</f>
        <v/>
      </c>
      <c r="F24" s="242" t="str">
        <f>IF(Sheet1!F217="","",Sheet1!F217)</f>
        <v/>
      </c>
      <c r="G24" s="242" t="str">
        <f>IF(Sheet1!G217="","",Sheet1!G217)</f>
        <v/>
      </c>
      <c r="H24" s="242" t="str">
        <f>IF(Sheet1!H217="","",Sheet1!H217)</f>
        <v/>
      </c>
      <c r="I24" s="242" t="str">
        <f>IF(Sheet1!I217="","",Sheet1!I217)</f>
        <v/>
      </c>
      <c r="J24" s="242" t="str">
        <f>IF(Sheet1!J217="","",Sheet1!J217)</f>
        <v/>
      </c>
      <c r="K24" s="242" t="str">
        <f>IF(Sheet1!K217="","",Sheet1!K217)</f>
        <v/>
      </c>
      <c r="L24" s="242" t="str">
        <f>IF(Sheet1!L217="","",Sheet1!L217)</f>
        <v/>
      </c>
      <c r="M24" s="242" t="str">
        <f>IF(Sheet1!M217="","",Sheet1!M217)</f>
        <v/>
      </c>
      <c r="N24" s="242" t="str">
        <f>IF(Sheet1!N217="","",Sheet1!N217)</f>
        <v/>
      </c>
      <c r="O24" s="242" t="str">
        <f>IF(Sheet1!O217="","",Sheet1!O217)</f>
        <v/>
      </c>
      <c r="P24" s="242" t="str">
        <f>IF(Sheet1!P217="","",Sheet1!P217)</f>
        <v/>
      </c>
      <c r="Q24" s="242" t="str">
        <f>IF(Sheet1!Q217="","",Sheet1!Q217)</f>
        <v/>
      </c>
      <c r="R24" s="242" t="str">
        <f>IF(Sheet1!R217="","",Sheet1!R217)</f>
        <v/>
      </c>
      <c r="S24" s="242" t="str">
        <f>IF(Sheet1!S217="","",Sheet1!S217)</f>
        <v/>
      </c>
    </row>
    <row r="25" spans="2:19">
      <c r="B25" t="s">
        <v>445</v>
      </c>
      <c r="D25" t="s">
        <v>1545</v>
      </c>
      <c r="E25" s="242" t="str">
        <f>IF(Sheet1!E218="","",Sheet1!E218)</f>
        <v>FY21A</v>
      </c>
      <c r="F25" s="242" t="str">
        <f>IF(Sheet1!F218="","",Sheet1!F218)</f>
        <v>FY22A</v>
      </c>
      <c r="G25" s="242" t="str">
        <f>IF(Sheet1!G218="","",Sheet1!G218)</f>
        <v>FY23A</v>
      </c>
      <c r="H25" s="242" t="str">
        <f>IF(Sheet1!H218="","",Sheet1!H218)</f>
        <v>FY24A</v>
      </c>
      <c r="I25" s="242" t="str">
        <f>IF(Sheet1!I218="","",Sheet1!I218)</f>
        <v>FY25A</v>
      </c>
      <c r="J25" s="242" t="str">
        <f>IF(Sheet1!J218="","",Sheet1!J218)</f>
        <v>FY26E</v>
      </c>
      <c r="K25" s="242" t="str">
        <f>IF(Sheet1!K218="","",Sheet1!K218)</f>
        <v>FY27E</v>
      </c>
      <c r="L25" s="242" t="str">
        <f>IF(Sheet1!L218="","",Sheet1!L218)</f>
        <v>FY28E</v>
      </c>
      <c r="M25" s="242" t="str">
        <f>IF(Sheet1!M218="","",Sheet1!M218)</f>
        <v>FY29E</v>
      </c>
      <c r="N25" s="242" t="str">
        <f>IF(Sheet1!N218="","",Sheet1!N218)</f>
        <v>FY30E</v>
      </c>
      <c r="O25" s="242" t="str">
        <f>IF(Sheet1!O218="","",Sheet1!O218)</f>
        <v>FY31E</v>
      </c>
      <c r="P25" s="242" t="str">
        <f>IF(Sheet1!P218="","",Sheet1!P218)</f>
        <v>FY32E</v>
      </c>
      <c r="Q25" s="242" t="str">
        <f>IF(Sheet1!Q218="","",Sheet1!Q218)</f>
        <v>FY33E</v>
      </c>
      <c r="R25" s="242" t="str">
        <f>IF(Sheet1!R218="","",Sheet1!R218)</f>
        <v>FY34E</v>
      </c>
      <c r="S25" s="242" t="str">
        <f>IF(Sheet1!S218="","",Sheet1!S218)</f>
        <v>FY35E</v>
      </c>
    </row>
    <row r="26" spans="2:19">
      <c r="B26" t="s">
        <v>446</v>
      </c>
      <c r="D26" t="s">
        <v>1546</v>
      </c>
      <c r="E26" s="242">
        <f>IF(Sheet1!E219="","",Sheet1!E219)</f>
        <v>34400</v>
      </c>
      <c r="F26" s="242">
        <f>IF(Sheet1!F219="","",Sheet1!F219)</f>
        <v>44521</v>
      </c>
      <c r="G26" s="242">
        <f>IF(Sheet1!G219="","",Sheet1!G219)</f>
        <v>53201</v>
      </c>
      <c r="H26" s="242">
        <f>IF(Sheet1!H219="","",Sheet1!H219)</f>
        <v>56336</v>
      </c>
      <c r="I26" s="242">
        <f>IF(Sheet1!I219="","",Sheet1!I219)</f>
        <v>71828</v>
      </c>
      <c r="J26" s="242">
        <f>IF(Sheet1!J219="","",Sheet1!J219)</f>
        <v>80181.449534497879</v>
      </c>
      <c r="K26" s="242">
        <f>IF(Sheet1!K219="","",Sheet1!K219)</f>
        <v>89505.027976347759</v>
      </c>
      <c r="L26" s="242">
        <f>IF(Sheet1!L219="","",Sheet1!L219)</f>
        <v>98687.196602244454</v>
      </c>
      <c r="M26" s="242">
        <f>IF(Sheet1!M219="","",Sheet1!M219)</f>
        <v>109231.26771395744</v>
      </c>
      <c r="N26" s="242">
        <f>IF(Sheet1!N219="","",Sheet1!N219)</f>
        <v>119956.78979460192</v>
      </c>
      <c r="O26" s="242">
        <f>IF(Sheet1!O219="","",Sheet1!O219)</f>
        <v>130941.37582841908</v>
      </c>
      <c r="P26" s="242">
        <f>IF(Sheet1!P219="","",Sheet1!P219)</f>
        <v>142063.45461488242</v>
      </c>
      <c r="Q26" s="242">
        <f>IF(Sheet1!Q219="","",Sheet1!Q219)</f>
        <v>153186.79385655638</v>
      </c>
      <c r="R26" s="242">
        <f>IF(Sheet1!R219="","",Sheet1!R219)</f>
        <v>164162.78282903001</v>
      </c>
      <c r="S26" s="242">
        <f>IF(Sheet1!S219="","",Sheet1!S219)</f>
        <v>174833.36371291691</v>
      </c>
    </row>
    <row r="27" spans="2:19">
      <c r="B27" t="s">
        <v>447</v>
      </c>
      <c r="D27" t="s">
        <v>1547</v>
      </c>
      <c r="E27" s="242">
        <f>IF(Sheet1!E220="","",Sheet1!E220)</f>
        <v>100700</v>
      </c>
      <c r="F27" s="242">
        <f>IF(Sheet1!F220="","",Sheet1!F220)</f>
        <v>116484</v>
      </c>
      <c r="G27" s="242">
        <f>IF(Sheet1!G220="","",Sheet1!G220)</f>
        <v>124726</v>
      </c>
      <c r="H27" s="242">
        <f>IF(Sheet1!H220="","",Sheet1!H220)</f>
        <v>140534</v>
      </c>
      <c r="I27" s="242">
        <f>IF(Sheet1!I220="","",Sheet1!I220)</f>
        <v>162628</v>
      </c>
      <c r="J27" s="242">
        <f>IF(Sheet1!J220="","",Sheet1!J220)</f>
        <v>181541.30387726682</v>
      </c>
      <c r="K27" s="242">
        <f>IF(Sheet1!K220="","",Sheet1!K220)</f>
        <v>202651.10666783823</v>
      </c>
      <c r="L27" s="242">
        <f>IF(Sheet1!L220="","",Sheet1!L220)</f>
        <v>223440.7391132958</v>
      </c>
      <c r="M27" s="242">
        <f>IF(Sheet1!M220="","",Sheet1!M220)</f>
        <v>247313.89716803297</v>
      </c>
      <c r="N27" s="242">
        <f>IF(Sheet1!N220="","",Sheet1!N220)</f>
        <v>271597.88398279954</v>
      </c>
      <c r="O27" s="242">
        <f>IF(Sheet1!O220="","",Sheet1!O220)</f>
        <v>296468.42551963218</v>
      </c>
      <c r="P27" s="242">
        <f>IF(Sheet1!P220="","",Sheet1!P220)</f>
        <v>321650.26865719637</v>
      </c>
      <c r="Q27" s="242">
        <f>IF(Sheet1!Q220="","",Sheet1!Q220)</f>
        <v>346834.96563045128</v>
      </c>
      <c r="R27" s="242">
        <f>IF(Sheet1!R220="","",Sheet1!R220)</f>
        <v>371686.04229436285</v>
      </c>
      <c r="S27" s="242">
        <f>IF(Sheet1!S220="","",Sheet1!S220)</f>
        <v>395845.63504349632</v>
      </c>
    </row>
    <row r="28" spans="2:19">
      <c r="B28" t="s">
        <v>448</v>
      </c>
      <c r="D28" t="s">
        <v>1548</v>
      </c>
      <c r="E28" s="242">
        <f>IF(Sheet1!E221="","",Sheet1!E221)</f>
        <v>98200</v>
      </c>
      <c r="F28" s="242">
        <f>IF(Sheet1!F221="","",Sheet1!F221)</f>
        <v>100486</v>
      </c>
      <c r="G28" s="242">
        <f>IF(Sheet1!G221="","",Sheet1!G221)</f>
        <v>115848</v>
      </c>
      <c r="H28" s="242">
        <f>IF(Sheet1!H221="","",Sheet1!H221)</f>
        <v>130584</v>
      </c>
      <c r="I28" s="242">
        <f>IF(Sheet1!I221="","",Sheet1!I221)</f>
        <v>146033</v>
      </c>
      <c r="J28" s="242">
        <f>IF(Sheet1!J221="","",Sheet1!J221)</f>
        <v>167330.94070588236</v>
      </c>
      <c r="K28" s="242">
        <f>IF(Sheet1!K221="","",Sheet1!K221)</f>
        <v>186788.34837906976</v>
      </c>
      <c r="L28" s="242">
        <f>IF(Sheet1!L221="","",Sheet1!L221)</f>
        <v>205950.64742468967</v>
      </c>
      <c r="M28" s="242">
        <f>IF(Sheet1!M221="","",Sheet1!M221)</f>
        <v>227955.10541635452</v>
      </c>
      <c r="N28" s="242">
        <f>IF(Sheet1!N221="","",Sheet1!N221)</f>
        <v>250338.23405440419</v>
      </c>
      <c r="O28" s="242">
        <f>IF(Sheet1!O221="","",Sheet1!O221)</f>
        <v>273262.00414055737</v>
      </c>
      <c r="P28" s="242">
        <f>IF(Sheet1!P221="","",Sheet1!P221)</f>
        <v>296472.708321493</v>
      </c>
      <c r="Q28" s="242">
        <f>IF(Sheet1!Q221="","",Sheet1!Q221)</f>
        <v>319686.04295070982</v>
      </c>
      <c r="R28" s="242">
        <f>IF(Sheet1!R221="","",Sheet1!R221)</f>
        <v>342591.871800202</v>
      </c>
      <c r="S28" s="242">
        <f>IF(Sheet1!S221="","",Sheet1!S221)</f>
        <v>364860.34346721508</v>
      </c>
    </row>
    <row r="29" spans="2:19">
      <c r="B29" t="s">
        <v>449</v>
      </c>
      <c r="D29" t="s">
        <v>1549</v>
      </c>
      <c r="E29" s="242">
        <f>IF(Sheet1!E222="","",Sheet1!E222)</f>
        <v>233300</v>
      </c>
      <c r="F29" s="242">
        <f>IF(Sheet1!F222="","",Sheet1!F222)</f>
        <v>261491</v>
      </c>
      <c r="G29" s="242">
        <f>IF(Sheet1!G222="","",Sheet1!G222)</f>
        <v>293775</v>
      </c>
      <c r="H29" s="242">
        <f>IF(Sheet1!H222="","",Sheet1!H222)</f>
        <v>327454</v>
      </c>
      <c r="I29" s="242">
        <f>IF(Sheet1!I222="","",Sheet1!I222)</f>
        <v>380489</v>
      </c>
      <c r="J29" s="242">
        <f>IF(Sheet1!J222="","",Sheet1!J222)</f>
        <v>429053.69411764707</v>
      </c>
      <c r="K29" s="242">
        <f>IF(Sheet1!K222="","",Sheet1!K222)</f>
        <v>478944.48302325577</v>
      </c>
      <c r="L29" s="242">
        <f>IF(Sheet1!L222="","",Sheet1!L222)</f>
        <v>528078.58314022992</v>
      </c>
      <c r="M29" s="242">
        <f>IF(Sheet1!M222="","",Sheet1!M222)</f>
        <v>584500.2702983449</v>
      </c>
      <c r="N29" s="242">
        <f>IF(Sheet1!N222="","",Sheet1!N222)</f>
        <v>641892.90783180564</v>
      </c>
      <c r="O29" s="242">
        <f>IF(Sheet1!O222="","",Sheet1!O222)</f>
        <v>700671.80548860866</v>
      </c>
      <c r="P29" s="242">
        <f>IF(Sheet1!P222="","",Sheet1!P222)</f>
        <v>760186.43159357179</v>
      </c>
      <c r="Q29" s="242">
        <f>IF(Sheet1!Q222="","",Sheet1!Q222)</f>
        <v>819707.80243771744</v>
      </c>
      <c r="R29" s="242">
        <f>IF(Sheet1!R222="","",Sheet1!R222)</f>
        <v>878440.69692359481</v>
      </c>
      <c r="S29" s="242">
        <f>IF(Sheet1!S222="","",Sheet1!S222)</f>
        <v>935539.34222362831</v>
      </c>
    </row>
    <row r="30" spans="2:19">
      <c r="B30" t="s">
        <v>450</v>
      </c>
      <c r="D30" t="s">
        <v>1550</v>
      </c>
      <c r="E30" s="242">
        <f>IF(Sheet1!E223="","",Sheet1!E223)</f>
        <v>135100</v>
      </c>
      <c r="F30" s="242">
        <f>IF(Sheet1!F223="","",Sheet1!F223)</f>
        <v>161005</v>
      </c>
      <c r="G30" s="242">
        <f>IF(Sheet1!G223="","",Sheet1!G223)</f>
        <v>177927</v>
      </c>
      <c r="H30" s="242">
        <f>IF(Sheet1!H223="","",Sheet1!H223)</f>
        <v>196870</v>
      </c>
      <c r="I30" s="242">
        <f>IF(Sheet1!I223="","",Sheet1!I223)</f>
        <v>234456</v>
      </c>
      <c r="J30" s="242">
        <f>IF(Sheet1!J223="","",Sheet1!J223)</f>
        <v>261722.75341176469</v>
      </c>
      <c r="K30" s="242">
        <f>IF(Sheet1!K223="","",Sheet1!K223)</f>
        <v>292156.13464418601</v>
      </c>
      <c r="L30" s="242">
        <f>IF(Sheet1!L223="","",Sheet1!L223)</f>
        <v>322127.93571554025</v>
      </c>
      <c r="M30" s="242">
        <f>IF(Sheet1!M223="","",Sheet1!M223)</f>
        <v>356545.16488199041</v>
      </c>
      <c r="N30" s="242">
        <f>IF(Sheet1!N223="","",Sheet1!N223)</f>
        <v>391554.67377740145</v>
      </c>
      <c r="O30" s="242">
        <f>IF(Sheet1!O223="","",Sheet1!O223)</f>
        <v>427409.80134805129</v>
      </c>
      <c r="P30" s="242">
        <f>IF(Sheet1!P223="","",Sheet1!P223)</f>
        <v>463713.72327207879</v>
      </c>
      <c r="Q30" s="242">
        <f>IF(Sheet1!Q223="","",Sheet1!Q223)</f>
        <v>500021.75948700763</v>
      </c>
      <c r="R30" s="242">
        <f>IF(Sheet1!R223="","",Sheet1!R223)</f>
        <v>535848.82512339286</v>
      </c>
      <c r="S30" s="242">
        <f>IF(Sheet1!S223="","",Sheet1!S223)</f>
        <v>570678.99875641323</v>
      </c>
    </row>
    <row r="31" spans="2:19">
      <c r="B31" t="s">
        <v>451</v>
      </c>
      <c r="D31" t="s">
        <v>1551</v>
      </c>
      <c r="E31" s="242">
        <f>IF(Sheet1!E224="","",Sheet1!E224)</f>
        <v>0.25462620281273129</v>
      </c>
      <c r="F31" s="242">
        <f>IF(Sheet1!F224="","",Sheet1!F224)</f>
        <v>0.27651936275270955</v>
      </c>
      <c r="G31" s="242">
        <f>IF(Sheet1!G224="","",Sheet1!G224)</f>
        <v>0.29900464797360715</v>
      </c>
      <c r="H31" s="242">
        <f>IF(Sheet1!H224="","",Sheet1!H224)</f>
        <v>0.28615837862548887</v>
      </c>
      <c r="I31" s="242">
        <f>IF(Sheet1!I224="","",Sheet1!I224)</f>
        <v>0.30636025522912613</v>
      </c>
      <c r="J31" s="242">
        <f>IF(Sheet1!J224="","",Sheet1!J224)</f>
        <v>0.30636025522912613</v>
      </c>
      <c r="K31" s="242">
        <f>IF(Sheet1!K224="","",Sheet1!K224)</f>
        <v>0.30636025522912613</v>
      </c>
      <c r="L31" s="242">
        <f>IF(Sheet1!L224="","",Sheet1!L224)</f>
        <v>0.30636025522912613</v>
      </c>
      <c r="M31" s="242">
        <f>IF(Sheet1!M224="","",Sheet1!M224)</f>
        <v>0.30636025522912613</v>
      </c>
      <c r="N31" s="242">
        <f>IF(Sheet1!N224="","",Sheet1!N224)</f>
        <v>0.30636025522912613</v>
      </c>
      <c r="O31" s="242">
        <f>IF(Sheet1!O224="","",Sheet1!O224)</f>
        <v>0.30636025522912613</v>
      </c>
      <c r="P31" s="242">
        <f>IF(Sheet1!P224="","",Sheet1!P224)</f>
        <v>0.30636025522912613</v>
      </c>
      <c r="Q31" s="242">
        <f>IF(Sheet1!Q224="","",Sheet1!Q224)</f>
        <v>0.30636025522912613</v>
      </c>
      <c r="R31" s="242">
        <f>IF(Sheet1!R224="","",Sheet1!R224)</f>
        <v>0.30636025522912613</v>
      </c>
      <c r="S31" s="242">
        <f>IF(Sheet1!S224="","",Sheet1!S224)</f>
        <v>0.30636025522912613</v>
      </c>
    </row>
    <row r="32" spans="2:19">
      <c r="B32" t="s">
        <v>452</v>
      </c>
      <c r="D32" t="s">
        <v>1552</v>
      </c>
      <c r="E32" s="242" t="str">
        <f>IF(Sheet1!E225="","",Sheet1!E225)</f>
        <v/>
      </c>
      <c r="F32" s="242">
        <f>IF(Sheet1!F225="","",Sheet1!F225)</f>
        <v>0.12083583369052731</v>
      </c>
      <c r="G32" s="242">
        <f>IF(Sheet1!G225="","",Sheet1!G225)</f>
        <v>0.12346122811110138</v>
      </c>
      <c r="H32" s="242">
        <f>IF(Sheet1!H225="","",Sheet1!H225)</f>
        <v>0.11464215811420297</v>
      </c>
      <c r="I32" s="242">
        <f>IF(Sheet1!I225="","",Sheet1!I225)</f>
        <v>0.16196168011384815</v>
      </c>
      <c r="J32" s="242">
        <f>IF(Sheet1!J225="","",Sheet1!J225)</f>
        <v>0.12763757721681057</v>
      </c>
      <c r="K32" s="242">
        <f>IF(Sheet1!K225="","",Sheet1!K225)</f>
        <v>0.11628099137617154</v>
      </c>
      <c r="L32" s="242">
        <f>IF(Sheet1!L225="","",Sheet1!L225)</f>
        <v>0.10258829960170646</v>
      </c>
      <c r="M32" s="242">
        <f>IF(Sheet1!M225="","",Sheet1!M225)</f>
        <v>0.10684335430269165</v>
      </c>
      <c r="N32" s="242">
        <f>IF(Sheet1!N225="","",Sheet1!N225)</f>
        <v>9.8190951227731693E-2</v>
      </c>
      <c r="O32" s="242">
        <f>IF(Sheet1!O225="","",Sheet1!O225)</f>
        <v>9.157119036467809E-2</v>
      </c>
      <c r="P32" s="242">
        <f>IF(Sheet1!P225="","",Sheet1!P225)</f>
        <v>8.4939376236868869E-2</v>
      </c>
      <c r="Q32" s="242">
        <f>IF(Sheet1!Q225="","",Sheet1!Q225)</f>
        <v>7.8298386251608676E-2</v>
      </c>
      <c r="R32" s="242">
        <f>IF(Sheet1!R225="","",Sheet1!R225)</f>
        <v>7.1651013094193416E-2</v>
      </c>
      <c r="S32" s="242">
        <f>IF(Sheet1!S225="","",Sheet1!S225)</f>
        <v>6.4999999999999725E-2</v>
      </c>
    </row>
    <row r="33" spans="2:19">
      <c r="B33" t="s">
        <v>453</v>
      </c>
      <c r="D33" t="s">
        <v>1553</v>
      </c>
      <c r="E33" s="242">
        <f>IF(Sheet1!E226="","",Sheet1!E226)</f>
        <v>0.04</v>
      </c>
      <c r="F33" s="242">
        <f>IF(Sheet1!F226="","",Sheet1!F226)</f>
        <v>3.4000000000000002E-2</v>
      </c>
      <c r="G33" s="242">
        <f>IF(Sheet1!G226="","",Sheet1!G226)</f>
        <v>4.7E-2</v>
      </c>
      <c r="H33" s="242">
        <f>IF(Sheet1!H226="","",Sheet1!H226)</f>
        <v>5.0999999999999997E-2</v>
      </c>
      <c r="I33" s="242">
        <f>IF(Sheet1!I226="","",Sheet1!I226)</f>
        <v>0.05</v>
      </c>
      <c r="J33" s="242">
        <f>IF(Sheet1!J226="","",Sheet1!J226)</f>
        <v>4.5999999999999999E-2</v>
      </c>
      <c r="K33" s="242">
        <f>IF(Sheet1!K226="","",Sheet1!K226)</f>
        <v>4.2999999999999997E-2</v>
      </c>
      <c r="L33" s="242">
        <f>IF(Sheet1!L226="","",Sheet1!L226)</f>
        <v>0.04</v>
      </c>
      <c r="M33" s="242">
        <f>IF(Sheet1!M226="","",Sheet1!M226)</f>
        <v>3.85E-2</v>
      </c>
      <c r="N33" s="242">
        <f>IF(Sheet1!N226="","",Sheet1!N226)</f>
        <v>3.85E-2</v>
      </c>
      <c r="O33" s="242">
        <f>IF(Sheet1!O226="","",Sheet1!O226)</f>
        <v>3.85E-2</v>
      </c>
      <c r="P33" s="242">
        <f>IF(Sheet1!P226="","",Sheet1!P226)</f>
        <v>3.85E-2</v>
      </c>
      <c r="Q33" s="242">
        <f>IF(Sheet1!Q226="","",Sheet1!Q226)</f>
        <v>3.85E-2</v>
      </c>
      <c r="R33" s="242">
        <f>IF(Sheet1!R226="","",Sheet1!R226)</f>
        <v>3.85E-2</v>
      </c>
      <c r="S33" s="242">
        <f>IF(Sheet1!S226="","",Sheet1!S226)</f>
        <v>3.85E-2</v>
      </c>
    </row>
    <row r="34" spans="2:19">
      <c r="B34" t="s">
        <v>455</v>
      </c>
      <c r="D34" t="s">
        <v>1554</v>
      </c>
      <c r="E34" s="242" t="str">
        <f>IF(Sheet1!E227="","",Sheet1!E227)</f>
        <v/>
      </c>
      <c r="F34" s="242">
        <f>IF(Sheet1!F227="","",Sheet1!F227)</f>
        <v>3.1073740733861283E-3</v>
      </c>
      <c r="G34" s="242">
        <f>IF(Sheet1!G227="","",Sheet1!G227)</f>
        <v>1.9607104079874395E-3</v>
      </c>
      <c r="H34" s="242">
        <f>IF(Sheet1!H227="","",Sheet1!H227)</f>
        <v>1.9121951349663987E-3</v>
      </c>
      <c r="I34" s="242">
        <f>IF(Sheet1!I227="","",Sheet1!I227)</f>
        <v>4.7829530332045844E-3</v>
      </c>
      <c r="J34" s="242">
        <f>IF(Sheet1!J227="","",Sheet1!J227)</f>
        <v>2.7829530332045844E-3</v>
      </c>
      <c r="K34" s="242">
        <f>IF(Sheet1!K227="","",Sheet1!K227)</f>
        <v>2.2829530332045839E-3</v>
      </c>
      <c r="L34" s="242">
        <f>IF(Sheet1!L227="","",Sheet1!L227)</f>
        <v>1.7829530332045841E-3</v>
      </c>
      <c r="M34" s="242">
        <f>IF(Sheet1!M227="","",Sheet1!M227)</f>
        <v>1.5329530332045839E-3</v>
      </c>
      <c r="N34" s="242">
        <f>IF(Sheet1!N227="","",Sheet1!N227)</f>
        <v>1.5329530332045839E-3</v>
      </c>
      <c r="O34" s="242">
        <f>IF(Sheet1!O227="","",Sheet1!O227)</f>
        <v>1.5329530332045839E-3</v>
      </c>
      <c r="P34" s="242">
        <f>IF(Sheet1!P227="","",Sheet1!P227)</f>
        <v>1.5329530332045839E-3</v>
      </c>
      <c r="Q34" s="242">
        <f>IF(Sheet1!Q227="","",Sheet1!Q227)</f>
        <v>1.5329530332045839E-3</v>
      </c>
      <c r="R34" s="242">
        <f>IF(Sheet1!R227="","",Sheet1!R227)</f>
        <v>1.5329530332045839E-3</v>
      </c>
      <c r="S34" s="242">
        <f>IF(Sheet1!S227="","",Sheet1!S227)</f>
        <v>1.5329530332045839E-3</v>
      </c>
    </row>
    <row r="35" spans="2:19">
      <c r="B35" t="s">
        <v>457</v>
      </c>
      <c r="D35" t="s">
        <v>1555</v>
      </c>
      <c r="E35" s="242" t="str">
        <f>IF(Sheet1!E228="","",Sheet1!E228)</f>
        <v/>
      </c>
      <c r="F35" s="242">
        <f>IF(Sheet1!F228="","",Sheet1!F228)</f>
        <v>3837.7165</v>
      </c>
      <c r="G35" s="242">
        <f>IF(Sheet1!G228="","",Sheet1!G228)</f>
        <v>5416.1227499999995</v>
      </c>
      <c r="H35" s="242">
        <f>IF(Sheet1!H228="","",Sheet1!H228)</f>
        <v>6642.3585000000003</v>
      </c>
      <c r="I35" s="242">
        <f>IF(Sheet1!I228="","",Sheet1!I228)</f>
        <v>7946.9310000000005</v>
      </c>
      <c r="J35" s="242">
        <f>IF(Sheet1!J228="","",Sheet1!J228)</f>
        <v>7897.7917196447652</v>
      </c>
      <c r="K35" s="242">
        <f>IF(Sheet1!K228="","",Sheet1!K228)</f>
        <v>8245.8044590841273</v>
      </c>
      <c r="L35" s="242">
        <f>IF(Sheet1!L228="","",Sheet1!L228)</f>
        <v>8402.3997393237551</v>
      </c>
      <c r="M35" s="242">
        <f>IF(Sheet1!M228="","",Sheet1!M228)</f>
        <v>8872.872736247773</v>
      </c>
      <c r="N35" s="242">
        <f>IF(Sheet1!N228="","",Sheet1!N228)</f>
        <v>9780.5477432184925</v>
      </c>
      <c r="O35" s="242">
        <f>IF(Sheet1!O228="","",Sheet1!O228)</f>
        <v>10707.021623368191</v>
      </c>
      <c r="P35" s="242">
        <f>IF(Sheet1!P228="","",Sheet1!P228)</f>
        <v>11650.418469907663</v>
      </c>
      <c r="Q35" s="242">
        <f>IF(Sheet1!Q228="","",Sheet1!Q228)</f>
        <v>12599.736577741118</v>
      </c>
      <c r="R35" s="242">
        <f>IF(Sheet1!R228="","",Sheet1!R228)</f>
        <v>13542.820336298011</v>
      </c>
      <c r="S35" s="242">
        <f>IF(Sheet1!S228="","",Sheet1!S228)</f>
        <v>14466.582735868686</v>
      </c>
    </row>
    <row r="36" spans="2:19">
      <c r="B36" t="s">
        <v>458</v>
      </c>
      <c r="D36" t="s">
        <v>1556</v>
      </c>
      <c r="E36" s="242" t="str">
        <f>IF(Sheet1!E229="","",Sheet1!E229)</f>
        <v/>
      </c>
      <c r="F36" s="242">
        <f>IF(Sheet1!F229="","",Sheet1!F229)</f>
        <v>1.6298473496890606E-2</v>
      </c>
      <c r="G36" s="242">
        <f>IF(Sheet1!G229="","",Sheet1!G229)</f>
        <v>2.1586655764984707E-2</v>
      </c>
      <c r="H36" s="242">
        <f>IF(Sheet1!H229="","",Sheet1!H229)</f>
        <v>2.5398134987259128E-2</v>
      </c>
      <c r="I36" s="242">
        <f>IF(Sheet1!I229="","",Sheet1!I229)</f>
        <v>2.5811131687155608E-2</v>
      </c>
      <c r="J36" s="242">
        <f>IF(Sheet1!J229="","",Sheet1!J229)</f>
        <v>2.1382389545441263E-2</v>
      </c>
      <c r="K36" s="242">
        <f>IF(Sheet1!K229="","",Sheet1!K229)</f>
        <v>1.9955592394715185E-2</v>
      </c>
      <c r="L36" s="242">
        <f>IF(Sheet1!L229="","",Sheet1!L229)</f>
        <v>1.8507803549776634E-2</v>
      </c>
      <c r="M36" s="242">
        <f>IF(Sheet1!M229="","",Sheet1!M229)</f>
        <v>1.7797182654783167E-2</v>
      </c>
      <c r="N36" s="242">
        <f>IF(Sheet1!N229="","",Sheet1!N229)</f>
        <v>1.7844292904338498E-2</v>
      </c>
      <c r="O36" s="242">
        <f>IF(Sheet1!O229="","",Sheet1!O229)</f>
        <v>1.77801983099189E-2</v>
      </c>
      <c r="P36" s="242">
        <f>IF(Sheet1!P229="","",Sheet1!P229)</f>
        <v>1.7632005547138053E-2</v>
      </c>
      <c r="Q36" s="242">
        <f>IF(Sheet1!Q229="","",Sheet1!Q229)</f>
        <v>1.7505283682764872E-2</v>
      </c>
      <c r="R36" s="242">
        <f>IF(Sheet1!R229="","",Sheet1!R229)</f>
        <v>1.7396985177507894E-2</v>
      </c>
      <c r="S36" s="242">
        <f>IF(Sheet1!S229="","",Sheet1!S229)</f>
        <v>1.730459453484082E-2</v>
      </c>
    </row>
    <row r="37" spans="2:19">
      <c r="B37" t="s">
        <v>459</v>
      </c>
      <c r="D37" t="s">
        <v>1557</v>
      </c>
      <c r="E37" s="242" t="str">
        <f>IF(Sheet1!E230="","",Sheet1!E230)</f>
        <v/>
      </c>
      <c r="F37" s="242">
        <f>IF(Sheet1!F230="","",Sheet1!F230)</f>
        <v>1.6199999999999999E-2</v>
      </c>
      <c r="G37" s="242">
        <f>IF(Sheet1!G230="","",Sheet1!G230)</f>
        <v>2.1299999999999999E-2</v>
      </c>
      <c r="H37" s="242">
        <f>IF(Sheet1!H230="","",Sheet1!H230)</f>
        <v>2.4899999999999999E-2</v>
      </c>
      <c r="I37" s="242">
        <f>IF(Sheet1!I230="","",Sheet1!I230)</f>
        <v>2.58E-2</v>
      </c>
      <c r="J37" s="242" t="str">
        <f>IF(Sheet1!J230="","",Sheet1!J230)</f>
        <v/>
      </c>
      <c r="K37" s="242" t="str">
        <f>IF(Sheet1!K230="","",Sheet1!K230)</f>
        <v/>
      </c>
      <c r="L37" s="242" t="str">
        <f>IF(Sheet1!L230="","",Sheet1!L230)</f>
        <v/>
      </c>
      <c r="M37" s="242" t="str">
        <f>IF(Sheet1!M230="","",Sheet1!M230)</f>
        <v/>
      </c>
      <c r="N37" s="242" t="str">
        <f>IF(Sheet1!N230="","",Sheet1!N230)</f>
        <v/>
      </c>
      <c r="O37" s="242" t="str">
        <f>IF(Sheet1!O230="","",Sheet1!O230)</f>
        <v/>
      </c>
      <c r="P37" s="242" t="str">
        <f>IF(Sheet1!P230="","",Sheet1!P230)</f>
        <v/>
      </c>
      <c r="Q37" s="242" t="str">
        <f>IF(Sheet1!Q230="","",Sheet1!Q230)</f>
        <v/>
      </c>
      <c r="R37" s="242" t="str">
        <f>IF(Sheet1!R230="","",Sheet1!R230)</f>
        <v/>
      </c>
      <c r="S37" s="242" t="str">
        <f>IF(Sheet1!S230="","",Sheet1!S230)</f>
        <v/>
      </c>
    </row>
    <row r="38" spans="2:19">
      <c r="B38" t="s">
        <v>460</v>
      </c>
      <c r="D38" t="s">
        <v>1558</v>
      </c>
      <c r="E38" s="242">
        <f>IF(Sheet1!E231="","",Sheet1!E231)</f>
        <v>0.73420917273896269</v>
      </c>
      <c r="F38" s="242">
        <f>IF(Sheet1!F231="","",Sheet1!F231)</f>
        <v>0.79430649620828253</v>
      </c>
      <c r="G38" s="242">
        <f>IF(Sheet1!G231="","",Sheet1!G231)</f>
        <v>0.81802740192324053</v>
      </c>
      <c r="H38" s="242">
        <f>IF(Sheet1!H231="","",Sheet1!H231)</f>
        <v>0.85044311567426267</v>
      </c>
      <c r="I38" s="242">
        <f>IF(Sheet1!I231="","",Sheet1!I231)</f>
        <v>0.83798480376568052</v>
      </c>
      <c r="J38" s="242">
        <f>IF(Sheet1!J231="","",Sheet1!J231)</f>
        <v>0.85</v>
      </c>
      <c r="K38" s="242">
        <f>IF(Sheet1!K231="","",Sheet1!K231)</f>
        <v>0.86</v>
      </c>
      <c r="L38" s="242">
        <f>IF(Sheet1!L231="","",Sheet1!L231)</f>
        <v>0.87</v>
      </c>
      <c r="M38" s="242">
        <f>IF(Sheet1!M231="","",Sheet1!M231)</f>
        <v>0.87000000000000011</v>
      </c>
      <c r="N38" s="242">
        <f>IF(Sheet1!N231="","",Sheet1!N231)</f>
        <v>0.87000000000000011</v>
      </c>
      <c r="O38" s="242">
        <f>IF(Sheet1!O231="","",Sheet1!O231)</f>
        <v>0.87000000000000011</v>
      </c>
      <c r="P38" s="242">
        <f>IF(Sheet1!P231="","",Sheet1!P231)</f>
        <v>0.87</v>
      </c>
      <c r="Q38" s="242">
        <f>IF(Sheet1!Q231="","",Sheet1!Q231)</f>
        <v>0.87</v>
      </c>
      <c r="R38" s="242">
        <f>IF(Sheet1!R231="","",Sheet1!R231)</f>
        <v>0.87</v>
      </c>
      <c r="S38" s="242">
        <f>IF(Sheet1!S231="","",Sheet1!S231)</f>
        <v>0.87</v>
      </c>
    </row>
    <row r="39" spans="2:19">
      <c r="B39" t="s">
        <v>461</v>
      </c>
      <c r="D39" t="s">
        <v>1559</v>
      </c>
      <c r="E39" s="242">
        <f>IF(Sheet1!E232="","",Sheet1!E232)</f>
        <v>176374.8</v>
      </c>
      <c r="F39" s="242">
        <f>IF(Sheet1!F232="","",Sheet1!F232)</f>
        <v>195595.26800000001</v>
      </c>
      <c r="G39" s="242">
        <f>IF(Sheet1!G232="","",Sheet1!G232)</f>
        <v>226794.30000000002</v>
      </c>
      <c r="H39" s="242">
        <f>IF(Sheet1!H232="","",Sheet1!H232)</f>
        <v>253776.85</v>
      </c>
      <c r="I39" s="242">
        <f>IF(Sheet1!I232="","",Sheet1!I232)</f>
        <v>290313.10700000002</v>
      </c>
      <c r="J39" s="242">
        <f>IF(Sheet1!J232="","",Sheet1!J232)</f>
        <v>327367.96861176472</v>
      </c>
      <c r="K39" s="242">
        <f>IF(Sheet1!K232="","",Sheet1!K232)</f>
        <v>365434.64054674417</v>
      </c>
      <c r="L39" s="242">
        <f>IF(Sheet1!L232="","",Sheet1!L232)</f>
        <v>402923.95893599541</v>
      </c>
      <c r="M39" s="242">
        <f>IF(Sheet1!M232="","",Sheet1!M232)</f>
        <v>445973.70623763715</v>
      </c>
      <c r="N39" s="242">
        <f>IF(Sheet1!N232="","",Sheet1!N232)</f>
        <v>489764.28867566772</v>
      </c>
      <c r="O39" s="242">
        <f>IF(Sheet1!O232="","",Sheet1!O232)</f>
        <v>534612.58758780838</v>
      </c>
      <c r="P39" s="242">
        <f>IF(Sheet1!P232="","",Sheet1!P232)</f>
        <v>580022.24730589532</v>
      </c>
      <c r="Q39" s="242">
        <f>IF(Sheet1!Q232="","",Sheet1!Q232)</f>
        <v>625437.05325997842</v>
      </c>
      <c r="R39" s="242">
        <f>IF(Sheet1!R232="","",Sheet1!R232)</f>
        <v>670250.25175270287</v>
      </c>
      <c r="S39" s="242">
        <f>IF(Sheet1!S232="","",Sheet1!S232)</f>
        <v>713816.5181166284</v>
      </c>
    </row>
    <row r="40" spans="2:19">
      <c r="B40" t="s">
        <v>1560</v>
      </c>
      <c r="D40" t="s">
        <v>1561</v>
      </c>
      <c r="E40" s="242" t="str">
        <f>IF(Sheet1!E233="","",Sheet1!E233)</f>
        <v/>
      </c>
      <c r="F40" s="242" t="str">
        <f>IF(Sheet1!F233="","",Sheet1!F233)</f>
        <v/>
      </c>
      <c r="G40" s="242" t="str">
        <f>IF(Sheet1!G233="","",Sheet1!G233)</f>
        <v/>
      </c>
      <c r="H40" s="242" t="str">
        <f>IF(Sheet1!H233="","",Sheet1!H233)</f>
        <v/>
      </c>
      <c r="I40" s="242" t="str">
        <f>IF(Sheet1!I233="","",Sheet1!I233)</f>
        <v/>
      </c>
      <c r="J40" s="242" t="str">
        <f>IF(Sheet1!J233="","",Sheet1!J233)</f>
        <v/>
      </c>
      <c r="K40" s="242" t="str">
        <f>IF(Sheet1!K233="","",Sheet1!K233)</f>
        <v/>
      </c>
      <c r="L40" s="242" t="str">
        <f>IF(Sheet1!L233="","",Sheet1!L233)</f>
        <v/>
      </c>
      <c r="M40" s="242" t="str">
        <f>IF(Sheet1!M233="","",Sheet1!M233)</f>
        <v/>
      </c>
      <c r="N40" s="242" t="str">
        <f>IF(Sheet1!N233="","",Sheet1!N233)</f>
        <v/>
      </c>
      <c r="O40" s="242" t="str">
        <f>IF(Sheet1!O233="","",Sheet1!O233)</f>
        <v/>
      </c>
      <c r="P40" s="242" t="str">
        <f>IF(Sheet1!P233="","",Sheet1!P233)</f>
        <v/>
      </c>
      <c r="Q40" s="242" t="str">
        <f>IF(Sheet1!Q233="","",Sheet1!Q233)</f>
        <v/>
      </c>
      <c r="R40" s="242" t="str">
        <f>IF(Sheet1!R233="","",Sheet1!R233)</f>
        <v/>
      </c>
      <c r="S40" s="242" t="str">
        <f>IF(Sheet1!S233="","",Sheet1!S233)</f>
        <v/>
      </c>
    </row>
    <row r="41" spans="2:19">
      <c r="B41" t="s">
        <v>462</v>
      </c>
      <c r="D41" t="s">
        <v>1562</v>
      </c>
      <c r="E41" s="242" t="str">
        <f>IF(Sheet1!E234="","",Sheet1!E234)</f>
        <v>FY21A</v>
      </c>
      <c r="F41" s="242" t="str">
        <f>IF(Sheet1!F234="","",Sheet1!F234)</f>
        <v>FY22A</v>
      </c>
      <c r="G41" s="242" t="str">
        <f>IF(Sheet1!G234="","",Sheet1!G234)</f>
        <v>FY23A</v>
      </c>
      <c r="H41" s="242" t="str">
        <f>IF(Sheet1!H234="","",Sheet1!H234)</f>
        <v>FY24A</v>
      </c>
      <c r="I41" s="242" t="str">
        <f>IF(Sheet1!I234="","",Sheet1!I234)</f>
        <v>FY25A</v>
      </c>
      <c r="J41" s="242" t="str">
        <f>IF(Sheet1!J234="","",Sheet1!J234)</f>
        <v>FY26E</v>
      </c>
      <c r="K41" s="242" t="str">
        <f>IF(Sheet1!K234="","",Sheet1!K234)</f>
        <v>FY27E</v>
      </c>
      <c r="L41" s="242" t="str">
        <f>IF(Sheet1!L234="","",Sheet1!L234)</f>
        <v>FY28E</v>
      </c>
      <c r="M41" s="242" t="str">
        <f>IF(Sheet1!M234="","",Sheet1!M234)</f>
        <v>FY29E</v>
      </c>
      <c r="N41" s="242" t="str">
        <f>IF(Sheet1!N234="","",Sheet1!N234)</f>
        <v>FY30E</v>
      </c>
      <c r="O41" s="242" t="str">
        <f>IF(Sheet1!O234="","",Sheet1!O234)</f>
        <v>FY31E</v>
      </c>
      <c r="P41" s="242" t="str">
        <f>IF(Sheet1!P234="","",Sheet1!P234)</f>
        <v>FY32E</v>
      </c>
      <c r="Q41" s="242" t="str">
        <f>IF(Sheet1!Q234="","",Sheet1!Q234)</f>
        <v>FY33E</v>
      </c>
      <c r="R41" s="242" t="str">
        <f>IF(Sheet1!R234="","",Sheet1!R234)</f>
        <v>FY34E</v>
      </c>
      <c r="S41" s="242" t="str">
        <f>IF(Sheet1!S234="","",Sheet1!S234)</f>
        <v>FY35E</v>
      </c>
    </row>
    <row r="42" spans="2:19">
      <c r="B42" t="s">
        <v>463</v>
      </c>
      <c r="D42" t="s">
        <v>1563</v>
      </c>
      <c r="E42" s="242" t="str">
        <f>IF(Sheet1!E235="","",Sheet1!E235)</f>
        <v/>
      </c>
      <c r="F42" s="242">
        <f>IF(Sheet1!F235="","",Sheet1!F235)</f>
        <v>0.10355210490903574</v>
      </c>
      <c r="G42" s="242">
        <f>IF(Sheet1!G235="","",Sheet1!G235)</f>
        <v>9.9333703852506575E-2</v>
      </c>
      <c r="H42" s="242">
        <f>IF(Sheet1!H235="","",Sheet1!H235)</f>
        <v>9.7526404354689802E-2</v>
      </c>
      <c r="I42" s="242">
        <f>IF(Sheet1!I235="","",Sheet1!I235)</f>
        <v>9.4640241074791784E-2</v>
      </c>
      <c r="J42" s="242">
        <f>IF(Sheet1!J235="","",Sheet1!J235)</f>
        <v>8.7140241074791791E-2</v>
      </c>
      <c r="K42" s="242">
        <f>IF(Sheet1!K235="","",Sheet1!K235)</f>
        <v>8.639024107479179E-2</v>
      </c>
      <c r="L42" s="242">
        <f>IF(Sheet1!L235="","",Sheet1!L235)</f>
        <v>8.564024107479179E-2</v>
      </c>
      <c r="M42" s="242">
        <f>IF(Sheet1!M235="","",Sheet1!M235)</f>
        <v>8.5265241074791789E-2</v>
      </c>
      <c r="N42" s="242">
        <f>IF(Sheet1!N235="","",Sheet1!N235)</f>
        <v>8.5265241074791789E-2</v>
      </c>
      <c r="O42" s="242">
        <f>IF(Sheet1!O235="","",Sheet1!O235)</f>
        <v>8.5265241074791789E-2</v>
      </c>
      <c r="P42" s="242">
        <f>IF(Sheet1!P235="","",Sheet1!P235)</f>
        <v>8.5265241074791789E-2</v>
      </c>
      <c r="Q42" s="242">
        <f>IF(Sheet1!Q235="","",Sheet1!Q235)</f>
        <v>8.5265241074791789E-2</v>
      </c>
      <c r="R42" s="242">
        <f>IF(Sheet1!R235="","",Sheet1!R235)</f>
        <v>8.5265241074791789E-2</v>
      </c>
      <c r="S42" s="242">
        <f>IF(Sheet1!S235="","",Sheet1!S235)</f>
        <v>8.5265241074791789E-2</v>
      </c>
    </row>
    <row r="43" spans="2:19">
      <c r="B43" t="s">
        <v>465</v>
      </c>
      <c r="D43" t="s">
        <v>1564</v>
      </c>
      <c r="E43" s="242" t="str">
        <f>IF(Sheet1!E236="","",Sheet1!E236)</f>
        <v/>
      </c>
      <c r="F43" s="242">
        <f>IF(Sheet1!F236="","",Sheet1!F236)</f>
        <v>9.1499999999999998E-2</v>
      </c>
      <c r="G43" s="242">
        <f>IF(Sheet1!G236="","",Sheet1!G236)</f>
        <v>8.9399999999999993E-2</v>
      </c>
      <c r="H43" s="242">
        <f>IF(Sheet1!H236="","",Sheet1!H236)</f>
        <v>8.9499999999999996E-2</v>
      </c>
      <c r="I43" s="242">
        <f>IF(Sheet1!I236="","",Sheet1!I236)</f>
        <v>9.0499999999999997E-2</v>
      </c>
      <c r="J43" s="242" t="str">
        <f>IF(Sheet1!J236="","",Sheet1!J236)</f>
        <v/>
      </c>
      <c r="K43" s="242" t="str">
        <f>IF(Sheet1!K236="","",Sheet1!K236)</f>
        <v/>
      </c>
      <c r="L43" s="242" t="str">
        <f>IF(Sheet1!L236="","",Sheet1!L236)</f>
        <v/>
      </c>
      <c r="M43" s="242" t="str">
        <f>IF(Sheet1!M236="","",Sheet1!M236)</f>
        <v/>
      </c>
      <c r="N43" s="242" t="str">
        <f>IF(Sheet1!N236="","",Sheet1!N236)</f>
        <v/>
      </c>
      <c r="O43" s="242" t="str">
        <f>IF(Sheet1!O236="","",Sheet1!O236)</f>
        <v/>
      </c>
      <c r="P43" s="242" t="str">
        <f>IF(Sheet1!P236="","",Sheet1!P236)</f>
        <v/>
      </c>
      <c r="Q43" s="242" t="str">
        <f>IF(Sheet1!Q236="","",Sheet1!Q236)</f>
        <v/>
      </c>
      <c r="R43" s="242" t="str">
        <f>IF(Sheet1!R236="","",Sheet1!R236)</f>
        <v/>
      </c>
      <c r="S43" s="242" t="str">
        <f>IF(Sheet1!S236="","",Sheet1!S236)</f>
        <v/>
      </c>
    </row>
    <row r="44" spans="2:19">
      <c r="B44" t="s">
        <v>466</v>
      </c>
      <c r="D44" t="s">
        <v>1565</v>
      </c>
      <c r="E44" s="242">
        <f>IF(Sheet1!E237="","",Sheet1!E237)</f>
        <v>20820.678</v>
      </c>
      <c r="F44" s="242">
        <f>IF(Sheet1!F237="","",Sheet1!F237)</f>
        <v>23323.976000000002</v>
      </c>
      <c r="G44" s="242">
        <f>IF(Sheet1!G237="","",Sheet1!G237)</f>
        <v>26456.208999999999</v>
      </c>
      <c r="H44" s="242">
        <f>IF(Sheet1!H237="","",Sheet1!H237)</f>
        <v>30854.682000000001</v>
      </c>
      <c r="I44" s="242">
        <f>IF(Sheet1!I237="","",Sheet1!I237)</f>
        <v>35202.087</v>
      </c>
      <c r="J44" s="242">
        <f>IF(Sheet1!J237="","",Sheet1!J237)</f>
        <v>38452.649506888192</v>
      </c>
      <c r="K44" s="242">
        <f>IF(Sheet1!K237="","",Sheet1!K237)</f>
        <v>43803.804499685597</v>
      </c>
      <c r="L44" s="242">
        <f>IF(Sheet1!L237="","",Sheet1!L237)</f>
        <v>49053.253652103085</v>
      </c>
      <c r="M44" s="242">
        <f>IF(Sheet1!M237="","",Sheet1!M237)</f>
        <v>54125.963822622653</v>
      </c>
      <c r="N44" s="242">
        <f>IF(Sheet1!N237="","",Sheet1!N237)</f>
        <v>59575.851511400098</v>
      </c>
      <c r="O44" s="242">
        <f>IF(Sheet1!O237="","",Sheet1!O237)</f>
        <v>65154.937052156027</v>
      </c>
      <c r="P44" s="242">
        <f>IF(Sheet1!P237="","",Sheet1!P237)</f>
        <v>70843.429906124322</v>
      </c>
      <c r="Q44" s="242">
        <f>IF(Sheet1!Q237="","",Sheet1!Q237)</f>
        <v>76577.438013608073</v>
      </c>
      <c r="R44" s="242">
        <f>IF(Sheet1!R237="","",Sheet1!R237)</f>
        <v>82286.182970592199</v>
      </c>
      <c r="S44" s="242">
        <f>IF(Sheet1!S237="","",Sheet1!S237)</f>
        <v>87893.233885938898</v>
      </c>
    </row>
    <row r="45" spans="2:19">
      <c r="B45" t="s">
        <v>467</v>
      </c>
      <c r="D45" t="s">
        <v>1566</v>
      </c>
      <c r="E45" s="242" t="str">
        <f>IF(Sheet1!E238="","",Sheet1!E238)</f>
        <v/>
      </c>
      <c r="F45" s="242">
        <f>IF(Sheet1!F238="","",Sheet1!F238)</f>
        <v>0.12023133924841467</v>
      </c>
      <c r="G45" s="242">
        <f>IF(Sheet1!G238="","",Sheet1!G238)</f>
        <v>0.1342924122370901</v>
      </c>
      <c r="H45" s="242">
        <f>IF(Sheet1!H238="","",Sheet1!H238)</f>
        <v>0.16625484777505362</v>
      </c>
      <c r="I45" s="242">
        <f>IF(Sheet1!I238="","",Sheet1!I238)</f>
        <v>0.14089936172409745</v>
      </c>
      <c r="J45" s="242">
        <f>IF(Sheet1!J238="","",Sheet1!J238)</f>
        <v>9.2340050943235052E-2</v>
      </c>
      <c r="K45" s="242">
        <f>IF(Sheet1!K238="","",Sheet1!K238)</f>
        <v>0.13916219197948454</v>
      </c>
      <c r="L45" s="242">
        <f>IF(Sheet1!L238="","",Sheet1!L238)</f>
        <v>0.11984002787829007</v>
      </c>
      <c r="M45" s="242">
        <f>IF(Sheet1!M238="","",Sheet1!M238)</f>
        <v>0.10341230790716538</v>
      </c>
      <c r="N45" s="242">
        <f>IF(Sheet1!N238="","",Sheet1!N238)</f>
        <v>0.1006889726091047</v>
      </c>
      <c r="O45" s="242">
        <f>IF(Sheet1!O238="","",Sheet1!O238)</f>
        <v>9.3646761216469532E-2</v>
      </c>
      <c r="P45" s="242">
        <f>IF(Sheet1!P238="","",Sheet1!P238)</f>
        <v>8.730716521780546E-2</v>
      </c>
      <c r="Q45" s="242">
        <f>IF(Sheet1!Q238="","",Sheet1!Q238)</f>
        <v>8.0939165637264665E-2</v>
      </c>
      <c r="R45" s="242">
        <f>IF(Sheet1!R238="","",Sheet1!R238)</f>
        <v>7.4548654343459031E-2</v>
      </c>
      <c r="S45" s="242">
        <f>IF(Sheet1!S238="","",Sheet1!S238)</f>
        <v>6.8140855644629461E-2</v>
      </c>
    </row>
    <row r="46" spans="2:19">
      <c r="B46" t="s">
        <v>468</v>
      </c>
      <c r="D46" t="s">
        <v>1567</v>
      </c>
      <c r="E46" s="242">
        <f>IF(Sheet1!E239="","",Sheet1!E239)</f>
        <v>0.14467569211723078</v>
      </c>
      <c r="F46" s="242">
        <f>IF(Sheet1!F239="","",Sheet1!F239)</f>
        <v>0.15868267914527093</v>
      </c>
      <c r="G46" s="242">
        <f>IF(Sheet1!G239="","",Sheet1!G239)</f>
        <v>0.15892171096773541</v>
      </c>
      <c r="H46" s="242">
        <f>IF(Sheet1!H239="","",Sheet1!H239)</f>
        <v>0.18008544051758499</v>
      </c>
      <c r="I46" s="242">
        <f>IF(Sheet1!I239="","",Sheet1!I239)</f>
        <v>0.1970507032722236</v>
      </c>
      <c r="J46" s="242">
        <f>IF(Sheet1!J239="","",Sheet1!J239)</f>
        <v>0.22549148397295146</v>
      </c>
      <c r="K46" s="242">
        <f>IF(Sheet1!K239="","",Sheet1!K239)</f>
        <v>0.22763677410877786</v>
      </c>
      <c r="L46" s="242">
        <f>IF(Sheet1!L239="","",Sheet1!L239)</f>
        <v>0.22766929262644722</v>
      </c>
      <c r="M46" s="242">
        <f>IF(Sheet1!M239="","",Sheet1!M239)</f>
        <v>0.22696522423616305</v>
      </c>
      <c r="N46" s="242">
        <f>IF(Sheet1!N239="","",Sheet1!N239)</f>
        <v>0.22682315610737336</v>
      </c>
      <c r="O46" s="242">
        <f>IF(Sheet1!O239="","",Sheet1!O239)</f>
        <v>0.22689641809523023</v>
      </c>
      <c r="P46" s="242">
        <f>IF(Sheet1!P239="","",Sheet1!P239)</f>
        <v>0.22704099704719571</v>
      </c>
      <c r="Q46" s="242">
        <f>IF(Sheet1!Q239="","",Sheet1!Q239)</f>
        <v>0.22726381522149638</v>
      </c>
      <c r="R46" s="242">
        <f>IF(Sheet1!R239="","",Sheet1!R239)</f>
        <v>0.2275707704717565</v>
      </c>
      <c r="S46" s="242">
        <f>IF(Sheet1!S239="","",Sheet1!S239)</f>
        <v>0.22796686702693839</v>
      </c>
    </row>
    <row r="47" spans="2:19">
      <c r="B47" t="s">
        <v>469</v>
      </c>
      <c r="D47" t="s">
        <v>1568</v>
      </c>
      <c r="E47" s="242" t="str">
        <f>IF(Sheet1!E240="","",Sheet1!E240)</f>
        <v/>
      </c>
      <c r="F47" s="242">
        <f>IF(Sheet1!F240="","",Sheet1!F240)</f>
        <v>0</v>
      </c>
      <c r="G47" s="242">
        <f>IF(Sheet1!G240="","",Sheet1!G240)</f>
        <v>3573.8420206730962</v>
      </c>
      <c r="H47" s="242">
        <f>IF(Sheet1!H240="","",Sheet1!H240)</f>
        <v>3515.2707787844288</v>
      </c>
      <c r="I47" s="242">
        <f>IF(Sheet1!I240="","",Sheet1!I240)</f>
        <v>3829.2767405825402</v>
      </c>
      <c r="J47" s="242">
        <f>IF(Sheet1!J240="","",Sheet1!J240)</f>
        <v>4079.6871568881938</v>
      </c>
      <c r="K47" s="242">
        <f>IF(Sheet1!K240="","",Sheet1!K240)</f>
        <v>4054.1237035723998</v>
      </c>
      <c r="L47" s="242">
        <f>IF(Sheet1!L240="","",Sheet1!L240)</f>
        <v>4091.9915759419955</v>
      </c>
      <c r="M47" s="242">
        <f>IF(Sheet1!M240="","",Sheet1!M240)</f>
        <v>4137.4076399867317</v>
      </c>
      <c r="N47" s="242">
        <f>IF(Sheet1!N240="","",Sheet1!N240)</f>
        <v>4221.4165371774425</v>
      </c>
      <c r="O47" s="242">
        <f>IF(Sheet1!O240="","",Sheet1!O240)</f>
        <v>4308.8463700015309</v>
      </c>
      <c r="P47" s="242">
        <f>IF(Sheet1!P240="","",Sheet1!P240)</f>
        <v>4387.5517321931111</v>
      </c>
      <c r="Q47" s="242">
        <f>IF(Sheet1!Q240="","",Sheet1!Q240)</f>
        <v>4415.0903447531155</v>
      </c>
      <c r="R47" s="242">
        <f>IF(Sheet1!R240="","",Sheet1!R240)</f>
        <v>4386.0956220467569</v>
      </c>
      <c r="S47" s="242">
        <f>IF(Sheet1!S240="","",Sheet1!S240)</f>
        <v>4296.235811300864</v>
      </c>
    </row>
    <row r="48" spans="2:19">
      <c r="B48" t="s">
        <v>470</v>
      </c>
      <c r="D48" t="s">
        <v>1569</v>
      </c>
      <c r="E48" s="242" t="str">
        <f>IF(Sheet1!E241="","",Sheet1!E241)</f>
        <v/>
      </c>
      <c r="F48" s="242">
        <f>IF(Sheet1!F241="","",Sheet1!F241)</f>
        <v>19622.865000000002</v>
      </c>
      <c r="G48" s="242">
        <f>IF(Sheet1!G241="","",Sheet1!G241)</f>
        <v>-944.96402067309862</v>
      </c>
      <c r="H48" s="242">
        <f>IF(Sheet1!H241="","",Sheet1!H241)</f>
        <v>-468.81077878442397</v>
      </c>
      <c r="I48" s="242">
        <f>IF(Sheet1!I241="","",Sheet1!I241)</f>
        <v>-861.98874058254194</v>
      </c>
      <c r="J48" s="242">
        <f>IF(Sheet1!J241="","",Sheet1!J241)</f>
        <v>-2563.2736499999974</v>
      </c>
      <c r="K48" s="242">
        <f>IF(Sheet1!K241="","",Sheet1!K241)</f>
        <v>-291.22046077500028</v>
      </c>
      <c r="L48" s="242">
        <f>IF(Sheet1!L241="","",Sheet1!L241)</f>
        <v>-326.74523352450029</v>
      </c>
      <c r="M48" s="242">
        <f>IF(Sheet1!M241="","",Sheet1!M241)</f>
        <v>-181.48942546716768</v>
      </c>
      <c r="N48" s="242">
        <f>IF(Sheet1!N241="","",Sheet1!N241)</f>
        <v>0</v>
      </c>
      <c r="O48" s="242">
        <f>IF(Sheet1!O241="","",Sheet1!O241)</f>
        <v>0</v>
      </c>
      <c r="P48" s="242">
        <f>IF(Sheet1!P241="","",Sheet1!P241)</f>
        <v>0</v>
      </c>
      <c r="Q48" s="242">
        <f>IF(Sheet1!Q241="","",Sheet1!Q241)</f>
        <v>0</v>
      </c>
      <c r="R48" s="242">
        <f>IF(Sheet1!R241="","",Sheet1!R241)</f>
        <v>0</v>
      </c>
      <c r="S48" s="242">
        <f>IF(Sheet1!S241="","",Sheet1!S241)</f>
        <v>0</v>
      </c>
    </row>
    <row r="49" spans="2:19">
      <c r="B49" t="s">
        <v>1570</v>
      </c>
      <c r="D49" t="s">
        <v>1571</v>
      </c>
      <c r="E49" s="242" t="str">
        <f>IF(Sheet1!E242="","",Sheet1!E242)</f>
        <v/>
      </c>
      <c r="F49" s="242" t="str">
        <f>IF(Sheet1!F242="","",Sheet1!F242)</f>
        <v/>
      </c>
      <c r="G49" s="242" t="str">
        <f>IF(Sheet1!G242="","",Sheet1!G242)</f>
        <v/>
      </c>
      <c r="H49" s="242" t="str">
        <f>IF(Sheet1!H242="","",Sheet1!H242)</f>
        <v/>
      </c>
      <c r="I49" s="242" t="str">
        <f>IF(Sheet1!I242="","",Sheet1!I242)</f>
        <v/>
      </c>
      <c r="J49" s="242" t="str">
        <f>IF(Sheet1!J242="","",Sheet1!J242)</f>
        <v/>
      </c>
      <c r="K49" s="242" t="str">
        <f>IF(Sheet1!K242="","",Sheet1!K242)</f>
        <v/>
      </c>
      <c r="L49" s="242" t="str">
        <f>IF(Sheet1!L242="","",Sheet1!L242)</f>
        <v/>
      </c>
      <c r="M49" s="242" t="str">
        <f>IF(Sheet1!M242="","",Sheet1!M242)</f>
        <v/>
      </c>
      <c r="N49" s="242" t="str">
        <f>IF(Sheet1!N242="","",Sheet1!N242)</f>
        <v/>
      </c>
      <c r="O49" s="242" t="str">
        <f>IF(Sheet1!O242="","",Sheet1!O242)</f>
        <v/>
      </c>
      <c r="P49" s="242" t="str">
        <f>IF(Sheet1!P242="","",Sheet1!P242)</f>
        <v/>
      </c>
      <c r="Q49" s="242" t="str">
        <f>IF(Sheet1!Q242="","",Sheet1!Q242)</f>
        <v/>
      </c>
      <c r="R49" s="242" t="str">
        <f>IF(Sheet1!R242="","",Sheet1!R242)</f>
        <v/>
      </c>
      <c r="S49" s="242" t="str">
        <f>IF(Sheet1!S242="","",Sheet1!S242)</f>
        <v/>
      </c>
    </row>
    <row r="50" spans="2:19">
      <c r="B50" t="s">
        <v>471</v>
      </c>
      <c r="D50" t="s">
        <v>1572</v>
      </c>
      <c r="E50" s="242" t="str">
        <f>IF(Sheet1!E243="","",Sheet1!E243)</f>
        <v>FY21A</v>
      </c>
      <c r="F50" s="242" t="str">
        <f>IF(Sheet1!F243="","",Sheet1!F243)</f>
        <v>FY22A</v>
      </c>
      <c r="G50" s="242" t="str">
        <f>IF(Sheet1!G243="","",Sheet1!G243)</f>
        <v>FY23A</v>
      </c>
      <c r="H50" s="242" t="str">
        <f>IF(Sheet1!H243="","",Sheet1!H243)</f>
        <v>FY24A</v>
      </c>
      <c r="I50" s="242" t="str">
        <f>IF(Sheet1!I243="","",Sheet1!I243)</f>
        <v>FY25A</v>
      </c>
      <c r="J50" s="242" t="str">
        <f>IF(Sheet1!J243="","",Sheet1!J243)</f>
        <v>FY26E</v>
      </c>
      <c r="K50" s="242" t="str">
        <f>IF(Sheet1!K243="","",Sheet1!K243)</f>
        <v>FY27E</v>
      </c>
      <c r="L50" s="242" t="str">
        <f>IF(Sheet1!L243="","",Sheet1!L243)</f>
        <v>FY28E</v>
      </c>
      <c r="M50" s="242" t="str">
        <f>IF(Sheet1!M243="","",Sheet1!M243)</f>
        <v>FY29E</v>
      </c>
      <c r="N50" s="242" t="str">
        <f>IF(Sheet1!N243="","",Sheet1!N243)</f>
        <v>FY30E</v>
      </c>
      <c r="O50" s="242" t="str">
        <f>IF(Sheet1!O243="","",Sheet1!O243)</f>
        <v>FY31E</v>
      </c>
      <c r="P50" s="242" t="str">
        <f>IF(Sheet1!P243="","",Sheet1!P243)</f>
        <v>FY32E</v>
      </c>
      <c r="Q50" s="242" t="str">
        <f>IF(Sheet1!Q243="","",Sheet1!Q243)</f>
        <v>FY33E</v>
      </c>
      <c r="R50" s="242" t="str">
        <f>IF(Sheet1!R243="","",Sheet1!R243)</f>
        <v>FY34E</v>
      </c>
      <c r="S50" s="242" t="str">
        <f>IF(Sheet1!S243="","",Sheet1!S243)</f>
        <v>FY35E</v>
      </c>
    </row>
    <row r="51" spans="2:19">
      <c r="B51" t="s">
        <v>472</v>
      </c>
      <c r="D51" t="s">
        <v>1573</v>
      </c>
      <c r="E51" s="242">
        <f>IF(Sheet1!E244="","",Sheet1!E244)</f>
        <v>239025.52671281001</v>
      </c>
      <c r="F51" s="242">
        <f>IF(Sheet1!F244="","",Sheet1!F244)</f>
        <v>266027.41106815997</v>
      </c>
      <c r="G51" s="242">
        <f>IF(Sheet1!G244="","",Sheet1!G244)</f>
        <v>311937.72623679996</v>
      </c>
      <c r="H51" s="242">
        <f>IF(Sheet1!H244="","",Sheet1!H244)</f>
        <v>340907.25016390003</v>
      </c>
      <c r="I51" s="242">
        <f>IF(Sheet1!I244="","",Sheet1!I244)</f>
        <v>379213.83063232002</v>
      </c>
      <c r="J51" s="242">
        <f>IF(Sheet1!J244="","",Sheet1!J244)</f>
        <v>432770.92955121858</v>
      </c>
      <c r="K51" s="242">
        <f>IF(Sheet1!K244="","",Sheet1!K244)</f>
        <v>487883.40710845415</v>
      </c>
      <c r="L51" s="242">
        <f>IF(Sheet1!L244="","",Sheet1!L244)</f>
        <v>543215.32207899983</v>
      </c>
      <c r="M51" s="242">
        <f>IF(Sheet1!M244="","",Sheet1!M244)</f>
        <v>601254.26919853722</v>
      </c>
      <c r="N51" s="242">
        <f>IF(Sheet1!N244="","",Sheet1!N244)</f>
        <v>660291.99782087619</v>
      </c>
      <c r="O51" s="242">
        <f>IF(Sheet1!O244="","",Sheet1!O244)</f>
        <v>720755.72204960522</v>
      </c>
      <c r="P51" s="242">
        <f>IF(Sheet1!P244="","",Sheet1!P244)</f>
        <v>781976.26349965273</v>
      </c>
      <c r="Q51" s="242">
        <f>IF(Sheet1!Q244="","",Sheet1!Q244)</f>
        <v>843203.74301873823</v>
      </c>
      <c r="R51" s="242">
        <f>IF(Sheet1!R244="","",Sheet1!R244)</f>
        <v>903620.14545084676</v>
      </c>
      <c r="S51" s="242">
        <f>IF(Sheet1!S244="","",Sheet1!S244)</f>
        <v>962355.45490515162</v>
      </c>
    </row>
    <row r="52" spans="2:19">
      <c r="B52" t="s">
        <v>473</v>
      </c>
      <c r="D52" t="s">
        <v>1574</v>
      </c>
      <c r="E52" s="242" t="str">
        <f>IF(Sheet1!E245="","",Sheet1!E245)</f>
        <v/>
      </c>
      <c r="F52" s="242">
        <f>IF(Sheet1!F245="","",Sheet1!F245)</f>
        <v>6.173885877587483E-2</v>
      </c>
      <c r="G52" s="242">
        <f>IF(Sheet1!G245="","",Sheet1!G245)</f>
        <v>5.6261438452199435E-2</v>
      </c>
      <c r="H52" s="242">
        <f>IF(Sheet1!H245="","",Sheet1!H245)</f>
        <v>5.333325560987294E-2</v>
      </c>
      <c r="I52" s="242">
        <f>IF(Sheet1!I245="","",Sheet1!I245)</f>
        <v>5.3127415680844794E-2</v>
      </c>
      <c r="J52" s="242">
        <f>IF(Sheet1!J245="","",Sheet1!J245)</f>
        <v>5.2037739926222175E-2</v>
      </c>
      <c r="K52" s="242">
        <f>IF(Sheet1!K245="","",Sheet1!K245)</f>
        <v>5.3815261611609336E-2</v>
      </c>
      <c r="L52" s="242">
        <f>IF(Sheet1!L245="","",Sheet1!L245)</f>
        <v>5.5409711493468343E-2</v>
      </c>
      <c r="M52" s="242">
        <f>IF(Sheet1!M245="","",Sheet1!M245)</f>
        <v>5.5817765738485466E-2</v>
      </c>
      <c r="N52" s="242">
        <f>IF(Sheet1!N245="","",Sheet1!N245)</f>
        <v>5.5678670245775698E-2</v>
      </c>
      <c r="O52" s="242">
        <f>IF(Sheet1!O245="","",Sheet1!O245)</f>
        <v>5.5662061835253698E-2</v>
      </c>
      <c r="P52" s="242">
        <f>IF(Sheet1!P245="","",Sheet1!P245)</f>
        <v>5.5738664084906159E-2</v>
      </c>
      <c r="Q52" s="242">
        <f>IF(Sheet1!Q245="","",Sheet1!Q245)</f>
        <v>5.5804167822801225E-2</v>
      </c>
      <c r="R52" s="242">
        <f>IF(Sheet1!R245="","",Sheet1!R245)</f>
        <v>5.5860148351006583E-2</v>
      </c>
      <c r="S52" s="242">
        <f>IF(Sheet1!S245="","",Sheet1!S245)</f>
        <v>5.5907905953620426E-2</v>
      </c>
    </row>
    <row r="53" spans="2:19">
      <c r="B53" t="s">
        <v>474</v>
      </c>
      <c r="D53" t="s">
        <v>1575</v>
      </c>
      <c r="E53" s="242" t="str">
        <f>IF(Sheet1!E246="","",Sheet1!E246)</f>
        <v/>
      </c>
      <c r="F53" s="242">
        <f>IF(Sheet1!F246="","",Sheet1!F246)</f>
        <v>6.3100000000000003E-2</v>
      </c>
      <c r="G53" s="242">
        <f>IF(Sheet1!G246="","",Sheet1!G246)</f>
        <v>5.8200000000000002E-2</v>
      </c>
      <c r="H53" s="242">
        <f>IF(Sheet1!H246="","",Sheet1!H246)</f>
        <v>5.6599999999999998E-2</v>
      </c>
      <c r="I53" s="242">
        <f>IF(Sheet1!I246="","",Sheet1!I246)</f>
        <v>5.5899999999999998E-2</v>
      </c>
      <c r="J53" s="242" t="str">
        <f>IF(Sheet1!J246="","",Sheet1!J246)</f>
        <v/>
      </c>
      <c r="K53" s="242" t="str">
        <f>IF(Sheet1!K246="","",Sheet1!K246)</f>
        <v/>
      </c>
      <c r="L53" s="242" t="str">
        <f>IF(Sheet1!L246="","",Sheet1!L246)</f>
        <v/>
      </c>
      <c r="M53" s="242" t="str">
        <f>IF(Sheet1!M246="","",Sheet1!M246)</f>
        <v/>
      </c>
      <c r="N53" s="242" t="str">
        <f>IF(Sheet1!N246="","",Sheet1!N246)</f>
        <v/>
      </c>
      <c r="O53" s="242" t="str">
        <f>IF(Sheet1!O246="","",Sheet1!O246)</f>
        <v/>
      </c>
      <c r="P53" s="242" t="str">
        <f>IF(Sheet1!P246="","",Sheet1!P246)</f>
        <v/>
      </c>
      <c r="Q53" s="242" t="str">
        <f>IF(Sheet1!Q246="","",Sheet1!Q246)</f>
        <v/>
      </c>
      <c r="R53" s="242" t="str">
        <f>IF(Sheet1!R246="","",Sheet1!R246)</f>
        <v/>
      </c>
      <c r="S53" s="242" t="str">
        <f>IF(Sheet1!S246="","",Sheet1!S246)</f>
        <v/>
      </c>
    </row>
    <row r="54" spans="2:19">
      <c r="E54" s="242"/>
      <c r="F54" s="242"/>
      <c r="G54" s="242"/>
      <c r="H54" s="242"/>
      <c r="I54" s="242"/>
      <c r="J54" s="242"/>
      <c r="K54" s="242"/>
      <c r="L54" s="242"/>
      <c r="M54" s="242"/>
      <c r="N54" s="242"/>
      <c r="O54" s="242"/>
      <c r="P54" s="242"/>
      <c r="Q54" s="242"/>
      <c r="R54" s="242"/>
      <c r="S54" s="242"/>
    </row>
  </sheetData>
  <mergeCells count="4">
    <mergeCell ref="A1:U2"/>
    <mergeCell ref="A3:U3"/>
    <mergeCell ref="B6:S6"/>
    <mergeCell ref="B14:S14"/>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56"/>
  <sheetViews>
    <sheetView workbookViewId="0">
      <pane ySplit="5" topLeftCell="A6" activePane="bottomLeft" state="frozen"/>
      <selection pane="bottomLeft"/>
    </sheetView>
  </sheetViews>
  <sheetFormatPr defaultRowHeight="12.75"/>
  <cols>
    <col min="1" max="1" width="6" customWidth="1"/>
    <col min="2" max="2" width="53" customWidth="1"/>
    <col min="3" max="3" width="13" customWidth="1"/>
    <col min="4" max="4" width="14" customWidth="1"/>
    <col min="5" max="21" width="13" customWidth="1"/>
  </cols>
  <sheetData>
    <row r="1" spans="1:21" ht="23.1" customHeight="1">
      <c r="A1" s="5" t="s">
        <v>1576</v>
      </c>
      <c r="B1" s="5"/>
      <c r="C1" s="5"/>
      <c r="D1" s="5"/>
      <c r="E1" s="5"/>
      <c r="F1" s="5"/>
      <c r="G1" s="5"/>
      <c r="H1" s="5"/>
      <c r="I1" s="5"/>
      <c r="J1" s="5"/>
      <c r="K1" s="5"/>
      <c r="L1" s="5"/>
      <c r="M1" s="5"/>
      <c r="N1" s="5"/>
      <c r="O1" s="5"/>
      <c r="P1" s="5"/>
      <c r="Q1" s="5"/>
      <c r="R1" s="5"/>
      <c r="S1" s="5"/>
      <c r="T1" s="5"/>
      <c r="U1" s="5"/>
    </row>
    <row r="2" spans="1:21" ht="23.1" customHeight="1">
      <c r="A2" s="5"/>
      <c r="B2" s="5"/>
      <c r="C2" s="5"/>
      <c r="D2" s="5"/>
      <c r="E2" s="5"/>
      <c r="F2" s="5"/>
      <c r="G2" s="5"/>
      <c r="H2" s="5"/>
      <c r="I2" s="5"/>
      <c r="J2" s="5"/>
      <c r="K2" s="5"/>
      <c r="L2" s="5"/>
      <c r="M2" s="5"/>
      <c r="N2" s="5"/>
      <c r="O2" s="5"/>
      <c r="P2" s="5"/>
      <c r="Q2" s="5"/>
      <c r="R2" s="5"/>
      <c r="S2" s="5"/>
      <c r="T2" s="5"/>
      <c r="U2" s="5"/>
    </row>
    <row r="3" spans="1:21" ht="24" customHeight="1">
      <c r="A3" s="4" t="s">
        <v>1577</v>
      </c>
      <c r="B3" s="4"/>
      <c r="C3" s="4"/>
      <c r="D3" s="4"/>
      <c r="E3" s="4"/>
      <c r="F3" s="4"/>
      <c r="G3" s="4"/>
      <c r="H3" s="4"/>
      <c r="I3" s="4"/>
      <c r="J3" s="4"/>
      <c r="K3" s="4"/>
      <c r="L3" s="4"/>
      <c r="M3" s="4"/>
      <c r="N3" s="4"/>
      <c r="O3" s="4"/>
      <c r="P3" s="4"/>
      <c r="Q3" s="4"/>
      <c r="R3" s="4"/>
      <c r="S3" s="4"/>
      <c r="T3" s="4"/>
      <c r="U3" s="4"/>
    </row>
    <row r="5" spans="1:21" ht="26.1" customHeight="1">
      <c r="B5" s="241" t="s">
        <v>1233</v>
      </c>
      <c r="C5" s="241" t="s">
        <v>1234</v>
      </c>
      <c r="D5" s="241" t="s">
        <v>1235</v>
      </c>
      <c r="E5" s="241" t="str">
        <f>Sheet1!E40</f>
        <v>FY21A</v>
      </c>
      <c r="F5" s="241" t="str">
        <f>Sheet1!F40</f>
        <v>FY22A</v>
      </c>
      <c r="G5" s="241" t="str">
        <f>Sheet1!G40</f>
        <v>FY23A</v>
      </c>
      <c r="H5" s="241" t="str">
        <f>Sheet1!H40</f>
        <v>FY24A</v>
      </c>
      <c r="I5" s="241" t="str">
        <f>Sheet1!I40</f>
        <v>FY25A</v>
      </c>
      <c r="J5" s="241" t="str">
        <f>Sheet1!J40</f>
        <v>FY26E</v>
      </c>
      <c r="K5" s="241" t="str">
        <f>Sheet1!K40</f>
        <v>FY27E</v>
      </c>
      <c r="L5" s="241" t="str">
        <f>Sheet1!L40</f>
        <v>FY28E</v>
      </c>
      <c r="M5" s="241" t="str">
        <f>Sheet1!M40</f>
        <v>FY29E</v>
      </c>
      <c r="N5" s="241" t="str">
        <f>Sheet1!N40</f>
        <v>FY30E</v>
      </c>
      <c r="O5" s="241" t="str">
        <f>Sheet1!O40</f>
        <v>FY31E</v>
      </c>
      <c r="P5" s="241" t="str">
        <f>Sheet1!P40</f>
        <v>FY32E</v>
      </c>
      <c r="Q5" s="241" t="str">
        <f>Sheet1!Q40</f>
        <v>FY33E</v>
      </c>
      <c r="R5" s="241" t="str">
        <f>Sheet1!R40</f>
        <v>FY34E</v>
      </c>
      <c r="S5" s="241" t="str">
        <f>Sheet1!S40</f>
        <v>FY35E</v>
      </c>
    </row>
    <row r="6" spans="1:21" ht="20.100000000000001" customHeight="1">
      <c r="B6" s="3" t="s">
        <v>1578</v>
      </c>
      <c r="C6" s="3"/>
      <c r="D6" s="3"/>
      <c r="E6" s="2"/>
      <c r="F6" s="2"/>
      <c r="G6" s="2"/>
      <c r="H6" s="2"/>
      <c r="I6" s="2"/>
      <c r="J6" s="2"/>
      <c r="K6" s="2"/>
      <c r="L6" s="2"/>
      <c r="M6" s="2"/>
      <c r="N6" s="2"/>
      <c r="O6" s="2"/>
      <c r="P6" s="2"/>
      <c r="Q6" s="2"/>
      <c r="R6" s="2"/>
      <c r="S6" s="2"/>
    </row>
    <row r="7" spans="1:21">
      <c r="B7" t="s">
        <v>1483</v>
      </c>
      <c r="D7" t="s">
        <v>1484</v>
      </c>
      <c r="E7" s="242" t="str">
        <f>IF(Sheet1!E96="","",Sheet1!E96)</f>
        <v/>
      </c>
      <c r="F7" s="242" t="str">
        <f>IF(Sheet1!F96="","",Sheet1!F96)</f>
        <v/>
      </c>
      <c r="G7" s="242" t="str">
        <f>IF(Sheet1!G96="","",Sheet1!G96)</f>
        <v/>
      </c>
      <c r="H7" s="242" t="str">
        <f>IF(Sheet1!H96="","",Sheet1!H96)</f>
        <v/>
      </c>
      <c r="I7" s="242" t="str">
        <f>IF(Sheet1!I96="","",Sheet1!I96)</f>
        <v/>
      </c>
      <c r="J7" s="242">
        <f>IF(Sheet1!J96="","",Sheet1!J96)</f>
        <v>8.9999999999999993E-3</v>
      </c>
      <c r="K7" s="242">
        <f>IF(Sheet1!K96="","",Sheet1!K96)</f>
        <v>0.01</v>
      </c>
      <c r="L7" s="242">
        <f>IF(Sheet1!L96="","",Sheet1!L96)</f>
        <v>0.01</v>
      </c>
      <c r="M7" s="242">
        <f>IF(Sheet1!M96="","",Sheet1!M96)</f>
        <v>8.9999999999999993E-3</v>
      </c>
      <c r="N7" s="242">
        <f>IF(Sheet1!N96="","",Sheet1!N96)</f>
        <v>8.9999999999999993E-3</v>
      </c>
      <c r="O7" s="242">
        <f>IF(Sheet1!O96="","",Sheet1!O96)</f>
        <v>8.9999999999999993E-3</v>
      </c>
      <c r="P7" s="242">
        <f>IF(Sheet1!P96="","",Sheet1!P96)</f>
        <v>8.9999999999999993E-3</v>
      </c>
      <c r="Q7" s="242">
        <f>IF(Sheet1!Q96="","",Sheet1!Q96)</f>
        <v>8.9999999999999993E-3</v>
      </c>
      <c r="R7" s="242">
        <f>IF(Sheet1!R96="","",Sheet1!R96)</f>
        <v>8.9999999999999993E-3</v>
      </c>
      <c r="S7" s="242">
        <f>IF(Sheet1!S96="","",Sheet1!S96)</f>
        <v>8.9999999999999993E-3</v>
      </c>
    </row>
    <row r="8" spans="1:21">
      <c r="B8" t="s">
        <v>1485</v>
      </c>
      <c r="D8" t="s">
        <v>1486</v>
      </c>
      <c r="E8" s="242" t="str">
        <f>IF(Sheet1!E97="","",Sheet1!E97)</f>
        <v/>
      </c>
      <c r="F8" s="242" t="str">
        <f>IF(Sheet1!F97="","",Sheet1!F97)</f>
        <v/>
      </c>
      <c r="G8" s="242" t="str">
        <f>IF(Sheet1!G97="","",Sheet1!G97)</f>
        <v/>
      </c>
      <c r="H8" s="242" t="str">
        <f>IF(Sheet1!H97="","",Sheet1!H97)</f>
        <v/>
      </c>
      <c r="I8" s="242" t="str">
        <f>IF(Sheet1!I97="","",Sheet1!I97)</f>
        <v/>
      </c>
      <c r="J8" s="242">
        <f>IF(Sheet1!J97="","",Sheet1!J97)</f>
        <v>7.0000000000000001E-3</v>
      </c>
      <c r="K8" s="242">
        <f>IF(Sheet1!K97="","",Sheet1!K97)</f>
        <v>7.4999999999999997E-3</v>
      </c>
      <c r="L8" s="242">
        <f>IF(Sheet1!L97="","",Sheet1!L97)</f>
        <v>7.4999999999999997E-3</v>
      </c>
      <c r="M8" s="242">
        <f>IF(Sheet1!M97="","",Sheet1!M97)</f>
        <v>7.4999999999999997E-3</v>
      </c>
      <c r="N8" s="242">
        <f>IF(Sheet1!N97="","",Sheet1!N97)</f>
        <v>7.4999999999999997E-3</v>
      </c>
      <c r="O8" s="242">
        <f>IF(Sheet1!O97="","",Sheet1!O97)</f>
        <v>7.4999999999999997E-3</v>
      </c>
      <c r="P8" s="242">
        <f>IF(Sheet1!P97="","",Sheet1!P97)</f>
        <v>7.4999999999999997E-3</v>
      </c>
      <c r="Q8" s="242">
        <f>IF(Sheet1!Q97="","",Sheet1!Q97)</f>
        <v>7.4999999999999997E-3</v>
      </c>
      <c r="R8" s="242">
        <f>IF(Sheet1!R97="","",Sheet1!R97)</f>
        <v>7.4999999999999997E-3</v>
      </c>
      <c r="S8" s="242">
        <f>IF(Sheet1!S97="","",Sheet1!S97)</f>
        <v>7.4999999999999997E-3</v>
      </c>
    </row>
    <row r="9" spans="1:21">
      <c r="B9" t="s">
        <v>1487</v>
      </c>
      <c r="D9" t="s">
        <v>1488</v>
      </c>
      <c r="E9" s="242" t="str">
        <f>IF(Sheet1!E98="","",Sheet1!E98)</f>
        <v/>
      </c>
      <c r="F9" s="242" t="str">
        <f>IF(Sheet1!F98="","",Sheet1!F98)</f>
        <v/>
      </c>
      <c r="G9" s="242" t="str">
        <f>IF(Sheet1!G98="","",Sheet1!G98)</f>
        <v/>
      </c>
      <c r="H9" s="242" t="str">
        <f>IF(Sheet1!H98="","",Sheet1!H98)</f>
        <v/>
      </c>
      <c r="I9" s="242" t="str">
        <f>IF(Sheet1!I98="","",Sheet1!I98)</f>
        <v/>
      </c>
      <c r="J9" s="242">
        <f>IF(Sheet1!J98="","",Sheet1!J98)</f>
        <v>6.0000000000000001E-3</v>
      </c>
      <c r="K9" s="242">
        <f>IF(Sheet1!K98="","",Sheet1!K98)</f>
        <v>6.0000000000000001E-3</v>
      </c>
      <c r="L9" s="242">
        <f>IF(Sheet1!L98="","",Sheet1!L98)</f>
        <v>6.4999999999999997E-3</v>
      </c>
      <c r="M9" s="242">
        <f>IF(Sheet1!M98="","",Sheet1!M98)</f>
        <v>6.4999999999999997E-3</v>
      </c>
      <c r="N9" s="242">
        <f>IF(Sheet1!N98="","",Sheet1!N98)</f>
        <v>6.4999999999999997E-3</v>
      </c>
      <c r="O9" s="242">
        <f>IF(Sheet1!O98="","",Sheet1!O98)</f>
        <v>6.4999999999999997E-3</v>
      </c>
      <c r="P9" s="242">
        <f>IF(Sheet1!P98="","",Sheet1!P98)</f>
        <v>6.4999999999999997E-3</v>
      </c>
      <c r="Q9" s="242">
        <f>IF(Sheet1!Q98="","",Sheet1!Q98)</f>
        <v>6.4999999999999997E-3</v>
      </c>
      <c r="R9" s="242">
        <f>IF(Sheet1!R98="","",Sheet1!R98)</f>
        <v>6.4999999999999997E-3</v>
      </c>
      <c r="S9" s="242">
        <f>IF(Sheet1!S98="","",Sheet1!S98)</f>
        <v>6.4999999999999997E-3</v>
      </c>
    </row>
    <row r="10" spans="1:21">
      <c r="B10" t="s">
        <v>295</v>
      </c>
      <c r="D10" t="s">
        <v>1489</v>
      </c>
      <c r="E10" s="242" t="str">
        <f>IF(Sheet1!E99="","",Sheet1!E99)</f>
        <v/>
      </c>
      <c r="F10" s="242">
        <f>IF(Sheet1!F99="","",Sheet1!F99)</f>
        <v>1.9782830908059473E-2</v>
      </c>
      <c r="G10" s="242">
        <f>IF(Sheet1!G99="","",Sheet1!G99)</f>
        <v>1.1706972902995402E-2</v>
      </c>
      <c r="H10" s="242">
        <f>IF(Sheet1!H99="","",Sheet1!H99)</f>
        <v>7.3009944159276169E-3</v>
      </c>
      <c r="I10" s="242">
        <f>IF(Sheet1!I99="","",Sheet1!I99)</f>
        <v>7.8916871050098356E-3</v>
      </c>
      <c r="J10" s="242">
        <f>IF(Sheet1!J99="","",Sheet1!J99)</f>
        <v>7.0000000000000001E-3</v>
      </c>
      <c r="K10" s="242">
        <f>IF(Sheet1!K99="","",Sheet1!K99)</f>
        <v>7.4999999999999997E-3</v>
      </c>
      <c r="L10" s="242">
        <f>IF(Sheet1!L99="","",Sheet1!L99)</f>
        <v>7.4999999999999997E-3</v>
      </c>
      <c r="M10" s="242">
        <f>IF(Sheet1!M99="","",Sheet1!M99)</f>
        <v>7.4999999999999997E-3</v>
      </c>
      <c r="N10" s="242">
        <f>IF(Sheet1!N99="","",Sheet1!N99)</f>
        <v>7.4999999999999997E-3</v>
      </c>
      <c r="O10" s="242">
        <f>IF(Sheet1!O99="","",Sheet1!O99)</f>
        <v>7.4999999999999997E-3</v>
      </c>
      <c r="P10" s="242">
        <f>IF(Sheet1!P99="","",Sheet1!P99)</f>
        <v>7.4999999999999997E-3</v>
      </c>
      <c r="Q10" s="242">
        <f>IF(Sheet1!Q99="","",Sheet1!Q99)</f>
        <v>7.4999999999999997E-3</v>
      </c>
      <c r="R10" s="242">
        <f>IF(Sheet1!R99="","",Sheet1!R99)</f>
        <v>7.4999999999999997E-3</v>
      </c>
      <c r="S10" s="242">
        <f>IF(Sheet1!S99="","",Sheet1!S99)</f>
        <v>7.4999999999999997E-3</v>
      </c>
    </row>
    <row r="11" spans="1:21">
      <c r="B11" t="s">
        <v>1490</v>
      </c>
      <c r="D11" t="s">
        <v>1491</v>
      </c>
      <c r="E11" s="242" t="str">
        <f>IF(Sheet1!E100="","",Sheet1!E100)</f>
        <v/>
      </c>
      <c r="F11" s="242" t="str">
        <f>IF(Sheet1!F100="","",Sheet1!F100)</f>
        <v/>
      </c>
      <c r="G11" s="242" t="str">
        <f>IF(Sheet1!G100="","",Sheet1!G100)</f>
        <v/>
      </c>
      <c r="H11" s="242" t="str">
        <f>IF(Sheet1!H100="","",Sheet1!H100)</f>
        <v/>
      </c>
      <c r="I11" s="242" t="str">
        <f>IF(Sheet1!I100="","",Sheet1!I100)</f>
        <v/>
      </c>
      <c r="J11" s="242">
        <f>IF(Sheet1!J100="","",Sheet1!J100)</f>
        <v>2.1000000000000001E-2</v>
      </c>
      <c r="K11" s="242">
        <f>IF(Sheet1!K100="","",Sheet1!K100)</f>
        <v>2.4E-2</v>
      </c>
      <c r="L11" s="242">
        <f>IF(Sheet1!L100="","",Sheet1!L100)</f>
        <v>2.3E-2</v>
      </c>
      <c r="M11" s="242">
        <f>IF(Sheet1!M100="","",Sheet1!M100)</f>
        <v>2.1999999999999999E-2</v>
      </c>
      <c r="N11" s="242">
        <f>IF(Sheet1!N100="","",Sheet1!N100)</f>
        <v>2.1000000000000001E-2</v>
      </c>
      <c r="O11" s="242">
        <f>IF(Sheet1!O100="","",Sheet1!O100)</f>
        <v>2.1000000000000001E-2</v>
      </c>
      <c r="P11" s="242">
        <f>IF(Sheet1!P100="","",Sheet1!P100)</f>
        <v>2.1000000000000001E-2</v>
      </c>
      <c r="Q11" s="242">
        <f>IF(Sheet1!Q100="","",Sheet1!Q100)</f>
        <v>2.1000000000000001E-2</v>
      </c>
      <c r="R11" s="242">
        <f>IF(Sheet1!R100="","",Sheet1!R100)</f>
        <v>2.1000000000000001E-2</v>
      </c>
      <c r="S11" s="242">
        <f>IF(Sheet1!S100="","",Sheet1!S100)</f>
        <v>2.1000000000000001E-2</v>
      </c>
    </row>
    <row r="12" spans="1:21">
      <c r="B12" t="s">
        <v>1492</v>
      </c>
      <c r="D12" t="s">
        <v>1493</v>
      </c>
      <c r="E12" s="242" t="str">
        <f>IF(Sheet1!E101="","",Sheet1!E101)</f>
        <v/>
      </c>
      <c r="F12" s="242" t="str">
        <f>IF(Sheet1!F101="","",Sheet1!F101)</f>
        <v/>
      </c>
      <c r="G12" s="242" t="str">
        <f>IF(Sheet1!G101="","",Sheet1!G101)</f>
        <v/>
      </c>
      <c r="H12" s="242" t="str">
        <f>IF(Sheet1!H101="","",Sheet1!H101)</f>
        <v/>
      </c>
      <c r="I12" s="242" t="str">
        <f>IF(Sheet1!I101="","",Sheet1!I101)</f>
        <v/>
      </c>
      <c r="J12" s="242">
        <f>IF(Sheet1!J101="","",Sheet1!J101)</f>
        <v>1.8499999999999999E-2</v>
      </c>
      <c r="K12" s="242">
        <f>IF(Sheet1!K101="","",Sheet1!K101)</f>
        <v>1.8499999999999999E-2</v>
      </c>
      <c r="L12" s="242">
        <f>IF(Sheet1!L101="","",Sheet1!L101)</f>
        <v>1.7999999999999999E-2</v>
      </c>
      <c r="M12" s="242">
        <f>IF(Sheet1!M101="","",Sheet1!M101)</f>
        <v>1.7999999999999999E-2</v>
      </c>
      <c r="N12" s="242">
        <f>IF(Sheet1!N101="","",Sheet1!N101)</f>
        <v>1.7999999999999999E-2</v>
      </c>
      <c r="O12" s="242">
        <f>IF(Sheet1!O101="","",Sheet1!O101)</f>
        <v>1.7999999999999999E-2</v>
      </c>
      <c r="P12" s="242">
        <f>IF(Sheet1!P101="","",Sheet1!P101)</f>
        <v>1.7999999999999999E-2</v>
      </c>
      <c r="Q12" s="242">
        <f>IF(Sheet1!Q101="","",Sheet1!Q101)</f>
        <v>1.7999999999999999E-2</v>
      </c>
      <c r="R12" s="242">
        <f>IF(Sheet1!R101="","",Sheet1!R101)</f>
        <v>1.7999999999999999E-2</v>
      </c>
      <c r="S12" s="242">
        <f>IF(Sheet1!S101="","",Sheet1!S101)</f>
        <v>1.7999999999999999E-2</v>
      </c>
    </row>
    <row r="13" spans="1:21">
      <c r="B13" t="s">
        <v>1494</v>
      </c>
      <c r="D13" t="s">
        <v>1495</v>
      </c>
      <c r="E13" s="242" t="str">
        <f>IF(Sheet1!E102="","",Sheet1!E102)</f>
        <v/>
      </c>
      <c r="F13" s="242" t="str">
        <f>IF(Sheet1!F102="","",Sheet1!F102)</f>
        <v/>
      </c>
      <c r="G13" s="242" t="str">
        <f>IF(Sheet1!G102="","",Sheet1!G102)</f>
        <v/>
      </c>
      <c r="H13" s="242" t="str">
        <f>IF(Sheet1!H102="","",Sheet1!H102)</f>
        <v/>
      </c>
      <c r="I13" s="242" t="str">
        <f>IF(Sheet1!I102="","",Sheet1!I102)</f>
        <v/>
      </c>
      <c r="J13" s="242">
        <f>IF(Sheet1!J102="","",Sheet1!J102)</f>
        <v>1.7500000000000002E-2</v>
      </c>
      <c r="K13" s="242">
        <f>IF(Sheet1!K102="","",Sheet1!K102)</f>
        <v>1.6500000000000001E-2</v>
      </c>
      <c r="L13" s="242">
        <f>IF(Sheet1!L102="","",Sheet1!L102)</f>
        <v>1.6E-2</v>
      </c>
      <c r="M13" s="242">
        <f>IF(Sheet1!M102="","",Sheet1!M102)</f>
        <v>1.6E-2</v>
      </c>
      <c r="N13" s="242">
        <f>IF(Sheet1!N102="","",Sheet1!N102)</f>
        <v>1.6E-2</v>
      </c>
      <c r="O13" s="242">
        <f>IF(Sheet1!O102="","",Sheet1!O102)</f>
        <v>1.6E-2</v>
      </c>
      <c r="P13" s="242">
        <f>IF(Sheet1!P102="","",Sheet1!P102)</f>
        <v>1.6E-2</v>
      </c>
      <c r="Q13" s="242">
        <f>IF(Sheet1!Q102="","",Sheet1!Q102)</f>
        <v>1.6E-2</v>
      </c>
      <c r="R13" s="242">
        <f>IF(Sheet1!R102="","",Sheet1!R102)</f>
        <v>1.6E-2</v>
      </c>
      <c r="S13" s="242">
        <f>IF(Sheet1!S102="","",Sheet1!S102)</f>
        <v>1.6E-2</v>
      </c>
    </row>
    <row r="14" spans="1:21">
      <c r="B14" t="s">
        <v>300</v>
      </c>
      <c r="D14" t="s">
        <v>1496</v>
      </c>
      <c r="E14" s="242">
        <f>IF(Sheet1!E103="","",Sheet1!E103)</f>
        <v>2.93E-2</v>
      </c>
      <c r="F14" s="242">
        <f>IF(Sheet1!F103="","",Sheet1!F103)</f>
        <v>2.4199999999999999E-2</v>
      </c>
      <c r="G14" s="242">
        <f>IF(Sheet1!G103="","",Sheet1!G103)</f>
        <v>2.0799999999999999E-2</v>
      </c>
      <c r="H14" s="242">
        <f>IF(Sheet1!H103="","",Sheet1!H103)</f>
        <v>1.9E-2</v>
      </c>
      <c r="I14" s="242">
        <f>IF(Sheet1!I103="","",Sheet1!I103)</f>
        <v>1.8100000000000002E-2</v>
      </c>
      <c r="J14" s="242">
        <f>IF(Sheet1!J103="","",Sheet1!J103)</f>
        <v>1.8499999999999999E-2</v>
      </c>
      <c r="K14" s="242">
        <f>IF(Sheet1!K103="","",Sheet1!K103)</f>
        <v>1.8499999999999999E-2</v>
      </c>
      <c r="L14" s="242">
        <f>IF(Sheet1!L103="","",Sheet1!L103)</f>
        <v>1.7999999999999999E-2</v>
      </c>
      <c r="M14" s="242">
        <f>IF(Sheet1!M103="","",Sheet1!M103)</f>
        <v>1.7999999999999999E-2</v>
      </c>
      <c r="N14" s="242">
        <f>IF(Sheet1!N103="","",Sheet1!N103)</f>
        <v>1.7999999999999999E-2</v>
      </c>
      <c r="O14" s="242">
        <f>IF(Sheet1!O103="","",Sheet1!O103)</f>
        <v>1.7999999999999999E-2</v>
      </c>
      <c r="P14" s="242">
        <f>IF(Sheet1!P103="","",Sheet1!P103)</f>
        <v>1.7999999999999999E-2</v>
      </c>
      <c r="Q14" s="242">
        <f>IF(Sheet1!Q103="","",Sheet1!Q103)</f>
        <v>1.7999999999999999E-2</v>
      </c>
      <c r="R14" s="242">
        <f>IF(Sheet1!R103="","",Sheet1!R103)</f>
        <v>1.7999999999999999E-2</v>
      </c>
      <c r="S14" s="242">
        <f>IF(Sheet1!S103="","",Sheet1!S103)</f>
        <v>1.7999999999999999E-2</v>
      </c>
    </row>
    <row r="15" spans="1:21">
      <c r="B15" t="s">
        <v>302</v>
      </c>
      <c r="D15" t="s">
        <v>1497</v>
      </c>
      <c r="E15" s="242">
        <f>IF(Sheet1!E104="","",Sheet1!E104)</f>
        <v>1.4886999999999999</v>
      </c>
      <c r="F15" s="242">
        <f>IF(Sheet1!F104="","",Sheet1!F104)</f>
        <v>1.8311999999999999</v>
      </c>
      <c r="G15" s="242">
        <f>IF(Sheet1!G104="","",Sheet1!G104)</f>
        <v>1.9435</v>
      </c>
      <c r="H15" s="242">
        <f>IF(Sheet1!H104="","",Sheet1!H104)</f>
        <v>1.9500999999999999</v>
      </c>
      <c r="I15" s="242">
        <f>IF(Sheet1!I104="","",Sheet1!I104)</f>
        <v>1.9088000000000001</v>
      </c>
      <c r="J15" s="242">
        <f>IF(Sheet1!J104="","",Sheet1!J104)</f>
        <v>1.9</v>
      </c>
      <c r="K15" s="242">
        <f>IF(Sheet1!K104="","",Sheet1!K104)</f>
        <v>1.9</v>
      </c>
      <c r="L15" s="242">
        <f>IF(Sheet1!L104="","",Sheet1!L104)</f>
        <v>1.9</v>
      </c>
      <c r="M15" s="242">
        <f>IF(Sheet1!M104="","",Sheet1!M104)</f>
        <v>1.9</v>
      </c>
      <c r="N15" s="242">
        <f>IF(Sheet1!N104="","",Sheet1!N104)</f>
        <v>1.9</v>
      </c>
      <c r="O15" s="242">
        <f>IF(Sheet1!O104="","",Sheet1!O104)</f>
        <v>1.9</v>
      </c>
      <c r="P15" s="242">
        <f>IF(Sheet1!P104="","",Sheet1!P104)</f>
        <v>1.9</v>
      </c>
      <c r="Q15" s="242">
        <f>IF(Sheet1!Q104="","",Sheet1!Q104)</f>
        <v>1.9</v>
      </c>
      <c r="R15" s="242">
        <f>IF(Sheet1!R104="","",Sheet1!R104)</f>
        <v>1.9</v>
      </c>
      <c r="S15" s="242">
        <f>IF(Sheet1!S104="","",Sheet1!S104)</f>
        <v>1.9</v>
      </c>
    </row>
    <row r="16" spans="1:21" ht="20.100000000000001" customHeight="1">
      <c r="B16" s="3" t="s">
        <v>1579</v>
      </c>
      <c r="C16" s="3"/>
      <c r="D16" s="3"/>
      <c r="E16" s="2"/>
      <c r="F16" s="2"/>
      <c r="G16" s="2"/>
      <c r="H16" s="2"/>
      <c r="I16" s="2"/>
      <c r="J16" s="2"/>
      <c r="K16" s="2"/>
      <c r="L16" s="2"/>
      <c r="M16" s="2"/>
      <c r="N16" s="2"/>
      <c r="O16" s="2"/>
      <c r="P16" s="2"/>
      <c r="Q16" s="2"/>
      <c r="R16" s="2"/>
      <c r="S16" s="2"/>
    </row>
    <row r="17" spans="2:19">
      <c r="B17" t="s">
        <v>524</v>
      </c>
      <c r="D17" t="s">
        <v>1580</v>
      </c>
      <c r="E17" s="242" t="str">
        <f>IF(Sheet1!E297="","",Sheet1!E297)</f>
        <v>FY21A</v>
      </c>
      <c r="F17" s="242" t="str">
        <f>IF(Sheet1!F297="","",Sheet1!F297)</f>
        <v>FY22A</v>
      </c>
      <c r="G17" s="242" t="str">
        <f>IF(Sheet1!G297="","",Sheet1!G297)</f>
        <v>FY23A</v>
      </c>
      <c r="H17" s="242" t="str">
        <f>IF(Sheet1!H297="","",Sheet1!H297)</f>
        <v>FY24A</v>
      </c>
      <c r="I17" s="242" t="str">
        <f>IF(Sheet1!I297="","",Sheet1!I297)</f>
        <v>FY25A</v>
      </c>
      <c r="J17" s="242" t="str">
        <f>IF(Sheet1!J297="","",Sheet1!J297)</f>
        <v>FY26E</v>
      </c>
      <c r="K17" s="242" t="str">
        <f>IF(Sheet1!K297="","",Sheet1!K297)</f>
        <v>FY27E</v>
      </c>
      <c r="L17" s="242" t="str">
        <f>IF(Sheet1!L297="","",Sheet1!L297)</f>
        <v>FY28E</v>
      </c>
      <c r="M17" s="242" t="str">
        <f>IF(Sheet1!M297="","",Sheet1!M297)</f>
        <v>FY29E</v>
      </c>
      <c r="N17" s="242" t="str">
        <f>IF(Sheet1!N297="","",Sheet1!N297)</f>
        <v>FY30E</v>
      </c>
      <c r="O17" s="242" t="str">
        <f>IF(Sheet1!O297="","",Sheet1!O297)</f>
        <v>FY31E</v>
      </c>
      <c r="P17" s="242" t="str">
        <f>IF(Sheet1!P297="","",Sheet1!P297)</f>
        <v>FY32E</v>
      </c>
      <c r="Q17" s="242" t="str">
        <f>IF(Sheet1!Q297="","",Sheet1!Q297)</f>
        <v>FY33E</v>
      </c>
      <c r="R17" s="242" t="str">
        <f>IF(Sheet1!R297="","",Sheet1!R297)</f>
        <v>FY34E</v>
      </c>
      <c r="S17" s="242" t="str">
        <f>IF(Sheet1!S297="","",Sheet1!S297)</f>
        <v>FY35E</v>
      </c>
    </row>
    <row r="18" spans="2:19">
      <c r="B18" t="s">
        <v>525</v>
      </c>
      <c r="D18" t="s">
        <v>1367</v>
      </c>
      <c r="E18" s="242">
        <f>IF(Sheet1!E298="","",Sheet1!E298)</f>
        <v>7471.5267128099995</v>
      </c>
      <c r="F18" s="242">
        <f>IF(Sheet1!F298="","",Sheet1!F298)</f>
        <v>9204.4110681599996</v>
      </c>
      <c r="G18" s="242">
        <f>IF(Sheet1!G298="","",Sheet1!G298)</f>
        <v>9714.7262367999992</v>
      </c>
      <c r="H18" s="242">
        <f>IF(Sheet1!H298="","",Sheet1!H298)</f>
        <v>10318.2501639</v>
      </c>
      <c r="I18" s="242">
        <f>IF(Sheet1!I298="","",Sheet1!I298)</f>
        <v>11015.830632320001</v>
      </c>
      <c r="J18" s="242">
        <f>IF(Sheet1!J298="","",Sheet1!J298)</f>
        <v>12819.051745999999</v>
      </c>
      <c r="K18" s="242">
        <f>IF(Sheet1!K298="","",Sheet1!K298)</f>
        <v>14478.012777309998</v>
      </c>
      <c r="L18" s="242">
        <f>IF(Sheet1!L298="","",Sheet1!L298)</f>
        <v>15712.450162754401</v>
      </c>
      <c r="M18" s="242">
        <f>IF(Sheet1!M298="","",Sheet1!M298)</f>
        <v>17391.221042456953</v>
      </c>
      <c r="N18" s="242">
        <f>IF(Sheet1!N298="","",Sheet1!N298)</f>
        <v>19098.881579627545</v>
      </c>
      <c r="O18" s="242">
        <f>IF(Sheet1!O298="","",Sheet1!O298)</f>
        <v>20847.788900508061</v>
      </c>
      <c r="P18" s="242">
        <f>IF(Sheet1!P298="","",Sheet1!P298)</f>
        <v>22618.587085635136</v>
      </c>
      <c r="Q18" s="242">
        <f>IF(Sheet1!Q298="","",Sheet1!Q298)</f>
        <v>24389.585953731839</v>
      </c>
      <c r="R18" s="242">
        <f>IF(Sheet1!R298="","",Sheet1!R298)</f>
        <v>26137.124496264634</v>
      </c>
      <c r="S18" s="242">
        <f>IF(Sheet1!S298="","",Sheet1!S298)</f>
        <v>27836.037588521831</v>
      </c>
    </row>
    <row r="19" spans="2:19">
      <c r="B19" t="s">
        <v>526</v>
      </c>
      <c r="D19" t="s">
        <v>1581</v>
      </c>
      <c r="E19" s="242" t="str">
        <f>IF(Sheet1!E299="","",Sheet1!E299)</f>
        <v/>
      </c>
      <c r="F19" s="242">
        <f>IF(Sheet1!F299="","",Sheet1!F299)</f>
        <v>3748.797</v>
      </c>
      <c r="G19" s="242">
        <f>IF(Sheet1!G299="","",Sheet1!G299)</f>
        <v>2622.4789999999998</v>
      </c>
      <c r="H19" s="242">
        <f>IF(Sheet1!H299="","",Sheet1!H299)</f>
        <v>1893.867</v>
      </c>
      <c r="I19" s="242">
        <f>IF(Sheet1!I299="","",Sheet1!I299)</f>
        <v>2356.951</v>
      </c>
      <c r="J19" s="242">
        <f>IF(Sheet1!J299="","",Sheet1!J299)</f>
        <v>2392.3887400000003</v>
      </c>
      <c r="K19" s="242">
        <f>IF(Sheet1!K299="","",Sheet1!K299)</f>
        <v>2912.2046077499999</v>
      </c>
      <c r="L19" s="242">
        <f>IF(Sheet1!L299="","",Sheet1!L299)</f>
        <v>3267.4523352449996</v>
      </c>
      <c r="M19" s="242">
        <f>IF(Sheet1!M299="","",Sheet1!M299)</f>
        <v>3629.7885093433506</v>
      </c>
      <c r="N19" s="242">
        <f>IF(Sheet1!N299="","",Sheet1!N299)</f>
        <v>4001.1077436496157</v>
      </c>
      <c r="O19" s="242">
        <f>IF(Sheet1!O299="","",Sheet1!O299)</f>
        <v>4380.1173772078519</v>
      </c>
      <c r="P19" s="242">
        <f>IF(Sheet1!P299="","",Sheet1!P299)</f>
        <v>4766.0499984806138</v>
      </c>
      <c r="Q19" s="242">
        <f>IF(Sheet1!Q299="","",Sheet1!Q299)</f>
        <v>5154.404938527081</v>
      </c>
      <c r="R19" s="242">
        <f>IF(Sheet1!R299="","",Sheet1!R299)</f>
        <v>5540.2094791662803</v>
      </c>
      <c r="S19" s="242">
        <f>IF(Sheet1!S299="","",Sheet1!S299)</f>
        <v>5918.1098777178149</v>
      </c>
    </row>
    <row r="20" spans="2:19">
      <c r="B20" t="s">
        <v>527</v>
      </c>
      <c r="D20" t="s">
        <v>1582</v>
      </c>
      <c r="E20" s="242" t="str">
        <f>IF(Sheet1!E300="","",Sheet1!E300)</f>
        <v/>
      </c>
      <c r="F20" s="242">
        <f>IF(Sheet1!F300="","",Sheet1!F300)</f>
        <v>2015.9126446499995</v>
      </c>
      <c r="G20" s="242">
        <f>IF(Sheet1!G300="","",Sheet1!G300)</f>
        <v>2112.1638313599997</v>
      </c>
      <c r="H20" s="242">
        <f>IF(Sheet1!H300="","",Sheet1!H300)</f>
        <v>1290.3430728999992</v>
      </c>
      <c r="I20" s="242">
        <f>IF(Sheet1!I300="","",Sheet1!I300)</f>
        <v>1659.3705315799998</v>
      </c>
      <c r="J20" s="242">
        <f>IF(Sheet1!J300="","",Sheet1!J300)</f>
        <v>589.16762632000246</v>
      </c>
      <c r="K20" s="242">
        <f>IF(Sheet1!K300="","",Sheet1!K300)</f>
        <v>1253.2435764400016</v>
      </c>
      <c r="L20" s="242">
        <f>IF(Sheet1!L300="","",Sheet1!L300)</f>
        <v>2033.0149498005958</v>
      </c>
      <c r="M20" s="242">
        <f>IF(Sheet1!M300="","",Sheet1!M300)</f>
        <v>1951.017629640799</v>
      </c>
      <c r="N20" s="242">
        <f>IF(Sheet1!N300="","",Sheet1!N300)</f>
        <v>2293.4472064790243</v>
      </c>
      <c r="O20" s="242">
        <f>IF(Sheet1!O300="","",Sheet1!O300)</f>
        <v>2631.2100563273343</v>
      </c>
      <c r="P20" s="242">
        <f>IF(Sheet1!P300="","",Sheet1!P300)</f>
        <v>2995.2518133535377</v>
      </c>
      <c r="Q20" s="242">
        <f>IF(Sheet1!Q300="","",Sheet1!Q300)</f>
        <v>3383.4060704303774</v>
      </c>
      <c r="R20" s="242">
        <f>IF(Sheet1!R300="","",Sheet1!R300)</f>
        <v>3792.6709366334871</v>
      </c>
      <c r="S20" s="242">
        <f>IF(Sheet1!S300="","",Sheet1!S300)</f>
        <v>4219.1967854606191</v>
      </c>
    </row>
    <row r="21" spans="2:19">
      <c r="B21" t="s">
        <v>529</v>
      </c>
      <c r="D21" t="s">
        <v>1368</v>
      </c>
      <c r="E21" s="242" t="str">
        <f>IF(Sheet1!E301="","",Sheet1!E301)</f>
        <v/>
      </c>
      <c r="F21" s="242">
        <f>IF(Sheet1!F301="","",Sheet1!F301)</f>
        <v>1.0638201795010486E-2</v>
      </c>
      <c r="G21" s="242">
        <f>IF(Sheet1!G301="","",Sheet1!G301)</f>
        <v>9.4288818863443574E-3</v>
      </c>
      <c r="H21" s="242">
        <f>IF(Sheet1!H301="","",Sheet1!H301)</f>
        <v>4.9743659770584616E-3</v>
      </c>
      <c r="I21" s="242">
        <f>IF(Sheet1!I301="","",Sheet1!I301)</f>
        <v>5.556005630368727E-3</v>
      </c>
      <c r="J21" s="242">
        <f>IF(Sheet1!J301="","",Sheet1!J301)</f>
        <v>1.7238725944847982E-3</v>
      </c>
      <c r="K21" s="242">
        <f>IF(Sheet1!K301="","",Sheet1!K301)</f>
        <v>3.2275640242743898E-3</v>
      </c>
      <c r="L21" s="242">
        <f>IF(Sheet1!L301="","",Sheet1!L301)</f>
        <v>4.6665140173685728E-3</v>
      </c>
      <c r="M21" s="242">
        <f>IF(Sheet1!M301="","",Sheet1!M301)</f>
        <v>4.031263029413556E-3</v>
      </c>
      <c r="N21" s="242">
        <f>IF(Sheet1!N301="","",Sheet1!N301)</f>
        <v>4.2990229583027674E-3</v>
      </c>
      <c r="O21" s="242">
        <f>IF(Sheet1!O301="","",Sheet1!O301)</f>
        <v>4.5053759347049019E-3</v>
      </c>
      <c r="P21" s="242">
        <f>IF(Sheet1!P301="","",Sheet1!P301)</f>
        <v>4.7134185766647511E-3</v>
      </c>
      <c r="Q21" s="242">
        <f>IF(Sheet1!Q301="","",Sheet1!Q301)</f>
        <v>4.9230795466914026E-3</v>
      </c>
      <c r="R21" s="242">
        <f>IF(Sheet1!R301="","",Sheet1!R301)</f>
        <v>5.1342881765964752E-3</v>
      </c>
      <c r="S21" s="242">
        <f>IF(Sheet1!S301="","",Sheet1!S301)</f>
        <v>5.3469733656174396E-3</v>
      </c>
    </row>
    <row r="22" spans="2:19">
      <c r="B22" t="s">
        <v>530</v>
      </c>
      <c r="D22" t="s">
        <v>1583</v>
      </c>
      <c r="E22" s="242">
        <f>IF(Sheet1!E302="","",Sheet1!E302)</f>
        <v>163819.47328718999</v>
      </c>
      <c r="F22" s="242">
        <f>IF(Sheet1!F302="","",Sheet1!F302)</f>
        <v>198499.58893184</v>
      </c>
      <c r="G22" s="242">
        <f>IF(Sheet1!G302="","",Sheet1!G302)</f>
        <v>230601.27376320001</v>
      </c>
      <c r="H22" s="242">
        <f>IF(Sheet1!H302="","",Sheet1!H302)</f>
        <v>268162.74983609997</v>
      </c>
      <c r="I22" s="242">
        <f>IF(Sheet1!I302="","",Sheet1!I302)</f>
        <v>307828.16936767998</v>
      </c>
      <c r="J22" s="242">
        <f>IF(Sheet1!J302="","",Sheet1!J302)</f>
        <v>351876.588254</v>
      </c>
      <c r="K22" s="242">
        <f>IF(Sheet1!K302="","",Sheet1!K302)</f>
        <v>397414.24262268998</v>
      </c>
      <c r="L22" s="242">
        <f>IF(Sheet1!L302="","",Sheet1!L302)</f>
        <v>443715.91716924566</v>
      </c>
      <c r="M22" s="242">
        <f>IF(Sheet1!M302="","",Sheet1!M302)</f>
        <v>491124.01411710313</v>
      </c>
      <c r="N22" s="242">
        <f>IF(Sheet1!N302="","",Sheet1!N302)</f>
        <v>539347.94823404343</v>
      </c>
      <c r="O22" s="242">
        <f>IF(Sheet1!O302="","",Sheet1!O302)</f>
        <v>588736.6818745815</v>
      </c>
      <c r="P22" s="242">
        <f>IF(Sheet1!P302="","",Sheet1!P302)</f>
        <v>638743.60840077233</v>
      </c>
      <c r="Q22" s="242">
        <f>IF(Sheet1!Q302="","",Sheet1!Q302)</f>
        <v>688756.20216708235</v>
      </c>
      <c r="R22" s="242">
        <f>IF(Sheet1!R302="","",Sheet1!R302)</f>
        <v>738106.28182726284</v>
      </c>
      <c r="S22" s="242">
        <f>IF(Sheet1!S302="","",Sheet1!S302)</f>
        <v>786083.19014603482</v>
      </c>
    </row>
    <row r="23" spans="2:19">
      <c r="B23" t="s">
        <v>531</v>
      </c>
      <c r="D23" t="s">
        <v>1369</v>
      </c>
      <c r="E23" s="242" t="str">
        <f>IF(Sheet1!E303="","",Sheet1!E303)</f>
        <v/>
      </c>
      <c r="F23" s="242">
        <f>IF(Sheet1!F303="","",Sheet1!F303)</f>
        <v>1.9699999999999999E-2</v>
      </c>
      <c r="G23" s="242">
        <f>IF(Sheet1!G303="","",Sheet1!G303)</f>
        <v>1.14E-2</v>
      </c>
      <c r="H23" s="242">
        <f>IF(Sheet1!H303="","",Sheet1!H303)</f>
        <v>8.3000000000000001E-3</v>
      </c>
      <c r="I23" s="242">
        <f>IF(Sheet1!I303="","",Sheet1!I303)</f>
        <v>8.3999999999999995E-3</v>
      </c>
      <c r="J23" s="242" t="str">
        <f>IF(Sheet1!J303="","",Sheet1!J303)</f>
        <v/>
      </c>
      <c r="K23" s="242" t="str">
        <f>IF(Sheet1!K303="","",Sheet1!K303)</f>
        <v/>
      </c>
      <c r="L23" s="242" t="str">
        <f>IF(Sheet1!L303="","",Sheet1!L303)</f>
        <v/>
      </c>
      <c r="M23" s="242" t="str">
        <f>IF(Sheet1!M303="","",Sheet1!M303)</f>
        <v/>
      </c>
      <c r="N23" s="242" t="str">
        <f>IF(Sheet1!N303="","",Sheet1!N303)</f>
        <v/>
      </c>
      <c r="O23" s="242" t="str">
        <f>IF(Sheet1!O303="","",Sheet1!O303)</f>
        <v/>
      </c>
      <c r="P23" s="242" t="str">
        <f>IF(Sheet1!P303="","",Sheet1!P303)</f>
        <v/>
      </c>
      <c r="Q23" s="242" t="str">
        <f>IF(Sheet1!Q303="","",Sheet1!Q303)</f>
        <v/>
      </c>
      <c r="R23" s="242" t="str">
        <f>IF(Sheet1!R303="","",Sheet1!R303)</f>
        <v/>
      </c>
      <c r="S23" s="242" t="str">
        <f>IF(Sheet1!S303="","",Sheet1!S303)</f>
        <v/>
      </c>
    </row>
    <row r="24" spans="2:19">
      <c r="B24" t="s">
        <v>532</v>
      </c>
      <c r="D24" t="s">
        <v>1370</v>
      </c>
      <c r="E24" s="242" t="str">
        <f>IF(Sheet1!E304="","",Sheet1!E304)</f>
        <v/>
      </c>
      <c r="F24" s="242">
        <f>IF(Sheet1!F304="","",Sheet1!F304)</f>
        <v>5.7000000000000002E-3</v>
      </c>
      <c r="G24" s="242">
        <f>IF(Sheet1!G304="","",Sheet1!G304)</f>
        <v>5.4999999999999997E-3</v>
      </c>
      <c r="H24" s="242">
        <f>IF(Sheet1!H304="","",Sheet1!H304)</f>
        <v>5.0000000000000001E-3</v>
      </c>
      <c r="I24" s="242">
        <f>IF(Sheet1!I304="","",Sheet1!I304)</f>
        <v>4.7000000000000002E-3</v>
      </c>
      <c r="J24" s="242" t="str">
        <f>IF(Sheet1!J304="","",Sheet1!J304)</f>
        <v/>
      </c>
      <c r="K24" s="242" t="str">
        <f>IF(Sheet1!K304="","",Sheet1!K304)</f>
        <v/>
      </c>
      <c r="L24" s="242" t="str">
        <f>IF(Sheet1!L304="","",Sheet1!L304)</f>
        <v/>
      </c>
      <c r="M24" s="242" t="str">
        <f>IF(Sheet1!M304="","",Sheet1!M304)</f>
        <v/>
      </c>
      <c r="N24" s="242" t="str">
        <f>IF(Sheet1!N304="","",Sheet1!N304)</f>
        <v/>
      </c>
      <c r="O24" s="242" t="str">
        <f>IF(Sheet1!O304="","",Sheet1!O304)</f>
        <v/>
      </c>
      <c r="P24" s="242" t="str">
        <f>IF(Sheet1!P304="","",Sheet1!P304)</f>
        <v/>
      </c>
      <c r="Q24" s="242" t="str">
        <f>IF(Sheet1!Q304="","",Sheet1!Q304)</f>
        <v/>
      </c>
      <c r="R24" s="242" t="str">
        <f>IF(Sheet1!R304="","",Sheet1!R304)</f>
        <v/>
      </c>
      <c r="S24" s="242" t="str">
        <f>IF(Sheet1!S304="","",Sheet1!S304)</f>
        <v/>
      </c>
    </row>
    <row r="25" spans="2:19" ht="20.100000000000001" customHeight="1">
      <c r="B25" s="3" t="s">
        <v>1584</v>
      </c>
      <c r="C25" s="3"/>
      <c r="D25" s="3"/>
      <c r="E25" s="2"/>
      <c r="F25" s="2"/>
      <c r="G25" s="2"/>
      <c r="H25" s="2"/>
      <c r="I25" s="2"/>
      <c r="J25" s="2"/>
      <c r="K25" s="2"/>
      <c r="L25" s="2"/>
      <c r="M25" s="2"/>
      <c r="N25" s="2"/>
      <c r="O25" s="2"/>
      <c r="P25" s="2"/>
      <c r="Q25" s="2"/>
      <c r="R25" s="2"/>
      <c r="S25" s="2"/>
    </row>
    <row r="26" spans="2:19">
      <c r="B26" t="s">
        <v>539</v>
      </c>
      <c r="D26" t="s">
        <v>1585</v>
      </c>
      <c r="E26" s="242" t="str">
        <f>IF(Sheet1!E314="","",Sheet1!E314)</f>
        <v>FY21A</v>
      </c>
      <c r="F26" s="242" t="str">
        <f>IF(Sheet1!F314="","",Sheet1!F314)</f>
        <v>FY22A</v>
      </c>
      <c r="G26" s="242" t="str">
        <f>IF(Sheet1!G314="","",Sheet1!G314)</f>
        <v>FY23A</v>
      </c>
      <c r="H26" s="242" t="str">
        <f>IF(Sheet1!H314="","",Sheet1!H314)</f>
        <v>FY24A</v>
      </c>
      <c r="I26" s="242" t="str">
        <f>IF(Sheet1!I314="","",Sheet1!I314)</f>
        <v>FY25A</v>
      </c>
      <c r="J26" s="242" t="str">
        <f>IF(Sheet1!J314="","",Sheet1!J314)</f>
        <v>FY26E</v>
      </c>
      <c r="K26" s="242" t="str">
        <f>IF(Sheet1!K314="","",Sheet1!K314)</f>
        <v>FY27E</v>
      </c>
      <c r="L26" s="242" t="str">
        <f>IF(Sheet1!L314="","",Sheet1!L314)</f>
        <v>FY28E</v>
      </c>
      <c r="M26" s="242" t="str">
        <f>IF(Sheet1!M314="","",Sheet1!M314)</f>
        <v>FY29E</v>
      </c>
      <c r="N26" s="242" t="str">
        <f>IF(Sheet1!N314="","",Sheet1!N314)</f>
        <v>FY30E</v>
      </c>
      <c r="O26" s="242" t="str">
        <f>IF(Sheet1!O314="","",Sheet1!O314)</f>
        <v>FY31E</v>
      </c>
      <c r="P26" s="242" t="str">
        <f>IF(Sheet1!P314="","",Sheet1!P314)</f>
        <v>FY32E</v>
      </c>
      <c r="Q26" s="242" t="str">
        <f>IF(Sheet1!Q314="","",Sheet1!Q314)</f>
        <v>FY33E</v>
      </c>
      <c r="R26" s="242" t="str">
        <f>IF(Sheet1!R314="","",Sheet1!R314)</f>
        <v>FY34E</v>
      </c>
      <c r="S26" s="242" t="str">
        <f>IF(Sheet1!S314="","",Sheet1!S314)</f>
        <v>FY35E</v>
      </c>
    </row>
    <row r="27" spans="2:19">
      <c r="B27" t="s">
        <v>540</v>
      </c>
      <c r="D27" t="s">
        <v>1258</v>
      </c>
      <c r="E27" s="242">
        <f>IF(Sheet1!E315="","",Sheet1!E315)</f>
        <v>0.22090000000000001</v>
      </c>
      <c r="F27" s="242">
        <f>IF(Sheet1!F315="","",Sheet1!F315)</f>
        <v>0.2029</v>
      </c>
      <c r="G27" s="242">
        <f>IF(Sheet1!G315="","",Sheet1!G315)</f>
        <v>0.2104</v>
      </c>
      <c r="H27" s="242">
        <f>IF(Sheet1!H315="","",Sheet1!H315)</f>
        <v>0.214</v>
      </c>
      <c r="I27" s="242">
        <f>IF(Sheet1!I315="","",Sheet1!I315)</f>
        <v>0.22</v>
      </c>
      <c r="J27" s="242" t="str">
        <f>IF(Sheet1!J315="","",Sheet1!J315)</f>
        <v/>
      </c>
      <c r="K27" s="242" t="str">
        <f>IF(Sheet1!K315="","",Sheet1!K315)</f>
        <v/>
      </c>
      <c r="L27" s="242" t="str">
        <f>IF(Sheet1!L315="","",Sheet1!L315)</f>
        <v/>
      </c>
      <c r="M27" s="242" t="str">
        <f>IF(Sheet1!M315="","",Sheet1!M315)</f>
        <v/>
      </c>
      <c r="N27" s="242" t="str">
        <f>IF(Sheet1!N315="","",Sheet1!N315)</f>
        <v/>
      </c>
      <c r="O27" s="242" t="str">
        <f>IF(Sheet1!O315="","",Sheet1!O315)</f>
        <v/>
      </c>
      <c r="P27" s="242" t="str">
        <f>IF(Sheet1!P315="","",Sheet1!P315)</f>
        <v/>
      </c>
      <c r="Q27" s="242" t="str">
        <f>IF(Sheet1!Q315="","",Sheet1!Q315)</f>
        <v/>
      </c>
      <c r="R27" s="242" t="str">
        <f>IF(Sheet1!R315="","",Sheet1!R315)</f>
        <v/>
      </c>
      <c r="S27" s="242" t="str">
        <f>IF(Sheet1!S315="","",Sheet1!S315)</f>
        <v/>
      </c>
    </row>
    <row r="28" spans="2:19">
      <c r="B28" t="s">
        <v>542</v>
      </c>
      <c r="D28" t="s">
        <v>1586</v>
      </c>
      <c r="E28" s="242">
        <f>IF(Sheet1!E316="","",Sheet1!E316)</f>
        <v>25122.769</v>
      </c>
      <c r="F28" s="242">
        <f>IF(Sheet1!F316="","",Sheet1!F316)</f>
        <v>33109.949000000001</v>
      </c>
      <c r="G28" s="242">
        <f>IF(Sheet1!G316="","",Sheet1!G316)</f>
        <v>38115.228000000003</v>
      </c>
      <c r="H28" s="242">
        <f>IF(Sheet1!H316="","",Sheet1!H316)</f>
        <v>43951.330999999998</v>
      </c>
      <c r="I28" s="242">
        <f>IF(Sheet1!I316="","",Sheet1!I316)</f>
        <v>50573.14</v>
      </c>
      <c r="J28" s="242">
        <f>IF(Sheet1!J316="","",Sheet1!J316)</f>
        <v>57497.469389564503</v>
      </c>
      <c r="K28" s="242">
        <f>IF(Sheet1!K316="","",Sheet1!K316)</f>
        <v>65800.049905734297</v>
      </c>
      <c r="L28" s="242">
        <f>IF(Sheet1!L316="","",Sheet1!L316)</f>
        <v>81245.549766519674</v>
      </c>
      <c r="M28" s="242">
        <f>IF(Sheet1!M316="","",Sheet1!M316)</f>
        <v>91318.45142531718</v>
      </c>
      <c r="N28" s="242">
        <f>IF(Sheet1!N316="","",Sheet1!N316)</f>
        <v>102081.9712082749</v>
      </c>
      <c r="O28" s="242">
        <f>IF(Sheet1!O316="","",Sheet1!O316)</f>
        <v>113786.21335057645</v>
      </c>
      <c r="P28" s="242">
        <f>IF(Sheet1!P316="","",Sheet1!P316)</f>
        <v>124902.57519202505</v>
      </c>
      <c r="Q28" s="242">
        <f>IF(Sheet1!Q316="","",Sheet1!Q316)</f>
        <v>135139.57746918569</v>
      </c>
      <c r="R28" s="242">
        <f>IF(Sheet1!R316="","",Sheet1!R316)</f>
        <v>145147.39656609084</v>
      </c>
      <c r="S28" s="242">
        <f>IF(Sheet1!S316="","",Sheet1!S316)</f>
        <v>154759.55066820636</v>
      </c>
    </row>
    <row r="29" spans="2:19">
      <c r="B29" t="s">
        <v>544</v>
      </c>
      <c r="D29" t="s">
        <v>1587</v>
      </c>
      <c r="E29" s="242">
        <f>IF(Sheet1!E317="","",Sheet1!E317)</f>
        <v>171029.47328718999</v>
      </c>
      <c r="F29" s="242">
        <f>IF(Sheet1!F317="","",Sheet1!F317)</f>
        <v>208197.58893184</v>
      </c>
      <c r="G29" s="242">
        <f>IF(Sheet1!G317="","",Sheet1!G317)</f>
        <v>242001.27376320001</v>
      </c>
      <c r="H29" s="242">
        <f>IF(Sheet1!H317="","",Sheet1!H317)</f>
        <v>284273.74983609997</v>
      </c>
      <c r="I29" s="242">
        <f>IF(Sheet1!I317="","",Sheet1!I317)</f>
        <v>330978.16936767998</v>
      </c>
      <c r="J29" s="242">
        <f>IF(Sheet1!J317="","",Sheet1!J317)</f>
        <v>376220.19872953329</v>
      </c>
      <c r="K29" s="242">
        <f>IF(Sheet1!K317="","",Sheet1!K317)</f>
        <v>423765.3245362537</v>
      </c>
      <c r="L29" s="242">
        <f>IF(Sheet1!L317="","",Sheet1!L317)</f>
        <v>472397.87200694199</v>
      </c>
      <c r="M29" s="242">
        <f>IF(Sheet1!M317="","",Sheet1!M317)</f>
        <v>522170.15457277733</v>
      </c>
      <c r="N29" s="242">
        <f>IF(Sheet1!N317="","",Sheet1!N317)</f>
        <v>572893.66079123539</v>
      </c>
      <c r="O29" s="242">
        <f>IF(Sheet1!O317="","",Sheet1!O317)</f>
        <v>624992.30763481196</v>
      </c>
      <c r="P29" s="242">
        <f>IF(Sheet1!P317="","",Sheet1!P317)</f>
        <v>677897.72164081119</v>
      </c>
      <c r="Q29" s="242">
        <f>IF(Sheet1!Q317="","",Sheet1!Q317)</f>
        <v>730933.88579828385</v>
      </c>
      <c r="R29" s="242">
        <f>IF(Sheet1!R317="","",Sheet1!R317)</f>
        <v>783391.05677355058</v>
      </c>
      <c r="S29" s="242">
        <f>IF(Sheet1!S317="","",Sheet1!S317)</f>
        <v>834515.00627577503</v>
      </c>
    </row>
    <row r="30" spans="2:19">
      <c r="B30" t="s">
        <v>545</v>
      </c>
      <c r="D30" t="s">
        <v>1588</v>
      </c>
      <c r="E30" s="242">
        <f>IF(Sheet1!E318="","",Sheet1!E318)</f>
        <v>0.66507284863701666</v>
      </c>
      <c r="F30" s="242">
        <f>IF(Sheet1!F318="","",Sheet1!F318)</f>
        <v>0.78366807145598039</v>
      </c>
      <c r="G30" s="242">
        <f>IF(Sheet1!G318="","",Sheet1!G318)</f>
        <v>0.74842352762666309</v>
      </c>
      <c r="H30" s="242">
        <f>IF(Sheet1!H318="","",Sheet1!H318)</f>
        <v>0.72234910581224276</v>
      </c>
      <c r="I30" s="242">
        <f>IF(Sheet1!I318="","",Sheet1!I318)</f>
        <v>0.69465073312612002</v>
      </c>
      <c r="J30" s="242">
        <f>IF(Sheet1!J318="","",Sheet1!J318)</f>
        <v>0.69465073312612002</v>
      </c>
      <c r="K30" s="242">
        <f>IF(Sheet1!K318="","",Sheet1!K318)</f>
        <v>0.69465073312612002</v>
      </c>
      <c r="L30" s="242">
        <f>IF(Sheet1!L318="","",Sheet1!L318)</f>
        <v>0.69465073312612002</v>
      </c>
      <c r="M30" s="242">
        <f>IF(Sheet1!M318="","",Sheet1!M318)</f>
        <v>0.69465073312612002</v>
      </c>
      <c r="N30" s="242">
        <f>IF(Sheet1!N318="","",Sheet1!N318)</f>
        <v>0.69465073312612002</v>
      </c>
      <c r="O30" s="242">
        <f>IF(Sheet1!O318="","",Sheet1!O318)</f>
        <v>0.69465073312612002</v>
      </c>
      <c r="P30" s="242">
        <f>IF(Sheet1!P318="","",Sheet1!P318)</f>
        <v>0.69465073312612002</v>
      </c>
      <c r="Q30" s="242">
        <f>IF(Sheet1!Q318="","",Sheet1!Q318)</f>
        <v>0.69465073312612002</v>
      </c>
      <c r="R30" s="242">
        <f>IF(Sheet1!R318="","",Sheet1!R318)</f>
        <v>0.69465073312612002</v>
      </c>
      <c r="S30" s="242">
        <f>IF(Sheet1!S318="","",Sheet1!S318)</f>
        <v>0.69465073312612002</v>
      </c>
    </row>
    <row r="31" spans="2:19">
      <c r="B31" t="s">
        <v>546</v>
      </c>
      <c r="D31" t="s">
        <v>1589</v>
      </c>
      <c r="E31" s="242">
        <f>IF(Sheet1!E319="","",Sheet1!E319)</f>
        <v>113747.05899999999</v>
      </c>
      <c r="F31" s="242">
        <f>IF(Sheet1!F319="","",Sheet1!F319)</f>
        <v>163157.80300000001</v>
      </c>
      <c r="G31" s="242">
        <f>IF(Sheet1!G319="","",Sheet1!G319)</f>
        <v>181119.44699999999</v>
      </c>
      <c r="H31" s="242">
        <f>IF(Sheet1!H319="","",Sheet1!H319)</f>
        <v>205344.889</v>
      </c>
      <c r="I31" s="242">
        <f>IF(Sheet1!I319="","",Sheet1!I319)</f>
        <v>229914.228</v>
      </c>
      <c r="J31" s="242">
        <f>IF(Sheet1!J319="","",Sheet1!J319)</f>
        <v>261341.63686432489</v>
      </c>
      <c r="K31" s="242">
        <f>IF(Sheet1!K319="","",Sheet1!K319)</f>
        <v>294368.89336253679</v>
      </c>
      <c r="L31" s="242">
        <f>IF(Sheet1!L319="","",Sheet1!L319)</f>
        <v>328151.52811684128</v>
      </c>
      <c r="M31" s="242">
        <f>IF(Sheet1!M319="","",Sheet1!M319)</f>
        <v>362725.88069055916</v>
      </c>
      <c r="N31" s="242">
        <f>IF(Sheet1!N319="","",Sheet1!N319)</f>
        <v>397961.00147193839</v>
      </c>
      <c r="O31" s="242">
        <f>IF(Sheet1!O319="","",Sheet1!O319)</f>
        <v>434151.36469670769</v>
      </c>
      <c r="P31" s="242">
        <f>IF(Sheet1!P319="","",Sheet1!P319)</f>
        <v>470902.14932231593</v>
      </c>
      <c r="Q31" s="242">
        <f>IF(Sheet1!Q319="","",Sheet1!Q319)</f>
        <v>507743.75963650155</v>
      </c>
      <c r="R31" s="242">
        <f>IF(Sheet1!R319="","",Sheet1!R319)</f>
        <v>544183.17191219283</v>
      </c>
      <c r="S31" s="242">
        <f>IF(Sheet1!S319="","",Sheet1!S319)</f>
        <v>579696.46091421577</v>
      </c>
    </row>
    <row r="32" spans="2:19">
      <c r="B32" t="s">
        <v>548</v>
      </c>
      <c r="D32" t="s">
        <v>1590</v>
      </c>
      <c r="E32" s="242" t="str">
        <f>IF(Sheet1!E320="","",Sheet1!E320)</f>
        <v/>
      </c>
      <c r="F32" s="242" t="str">
        <f>IF(Sheet1!F320="","",Sheet1!F320)</f>
        <v/>
      </c>
      <c r="G32" s="242" t="str">
        <f>IF(Sheet1!G320="","",Sheet1!G320)</f>
        <v/>
      </c>
      <c r="H32" s="242" t="str">
        <f>IF(Sheet1!H320="","",Sheet1!H320)</f>
        <v/>
      </c>
      <c r="I32" s="242" t="str">
        <f>IF(Sheet1!I320="","",Sheet1!I320)</f>
        <v/>
      </c>
      <c r="J32" s="242">
        <f>IF(Sheet1!J320="","",Sheet1!J320)</f>
        <v>0</v>
      </c>
      <c r="K32" s="242">
        <f>IF(Sheet1!K320="","",Sheet1!K320)</f>
        <v>0</v>
      </c>
      <c r="L32" s="242">
        <f>IF(Sheet1!L320="","",Sheet1!L320)</f>
        <v>0</v>
      </c>
      <c r="M32" s="242">
        <f>IF(Sheet1!M320="","",Sheet1!M320)</f>
        <v>0</v>
      </c>
      <c r="N32" s="242">
        <f>IF(Sheet1!N320="","",Sheet1!N320)</f>
        <v>0</v>
      </c>
      <c r="O32" s="242">
        <f>IF(Sheet1!O320="","",Sheet1!O320)</f>
        <v>0</v>
      </c>
      <c r="P32" s="242">
        <f>IF(Sheet1!P320="","",Sheet1!P320)</f>
        <v>0</v>
      </c>
      <c r="Q32" s="242">
        <f>IF(Sheet1!Q320="","",Sheet1!Q320)</f>
        <v>0</v>
      </c>
      <c r="R32" s="242">
        <f>IF(Sheet1!R320="","",Sheet1!R320)</f>
        <v>0</v>
      </c>
      <c r="S32" s="242">
        <f>IF(Sheet1!S320="","",Sheet1!S320)</f>
        <v>0</v>
      </c>
    </row>
    <row r="33" spans="2:19">
      <c r="B33" t="s">
        <v>549</v>
      </c>
      <c r="D33" t="s">
        <v>1591</v>
      </c>
      <c r="E33" s="242" t="str">
        <f>IF(Sheet1!E321="","",Sheet1!E321)</f>
        <v/>
      </c>
      <c r="F33" s="242" t="str">
        <f>IF(Sheet1!F321="","",Sheet1!F321)</f>
        <v/>
      </c>
      <c r="G33" s="242" t="str">
        <f>IF(Sheet1!G321="","",Sheet1!G321)</f>
        <v/>
      </c>
      <c r="H33" s="242" t="str">
        <f>IF(Sheet1!H321="","",Sheet1!H321)</f>
        <v/>
      </c>
      <c r="I33" s="242" t="str">
        <f>IF(Sheet1!I321="","",Sheet1!I321)</f>
        <v/>
      </c>
      <c r="J33" s="242">
        <f>IF(Sheet1!J321="","",Sheet1!J321)</f>
        <v>0</v>
      </c>
      <c r="K33" s="242">
        <f>IF(Sheet1!K321="","",Sheet1!K321)</f>
        <v>6392</v>
      </c>
      <c r="L33" s="242">
        <f>IF(Sheet1!L321="","",Sheet1!L321)</f>
        <v>0</v>
      </c>
      <c r="M33" s="242">
        <f>IF(Sheet1!M321="","",Sheet1!M321)</f>
        <v>0</v>
      </c>
      <c r="N33" s="242">
        <f>IF(Sheet1!N321="","",Sheet1!N321)</f>
        <v>0</v>
      </c>
      <c r="O33" s="242">
        <f>IF(Sheet1!O321="","",Sheet1!O321)</f>
        <v>0</v>
      </c>
      <c r="P33" s="242">
        <f>IF(Sheet1!P321="","",Sheet1!P321)</f>
        <v>0</v>
      </c>
      <c r="Q33" s="242">
        <f>IF(Sheet1!Q321="","",Sheet1!Q321)</f>
        <v>0</v>
      </c>
      <c r="R33" s="242">
        <f>IF(Sheet1!R321="","",Sheet1!R321)</f>
        <v>0</v>
      </c>
      <c r="S33" s="242">
        <f>IF(Sheet1!S321="","",Sheet1!S321)</f>
        <v>0</v>
      </c>
    </row>
    <row r="34" spans="2:19">
      <c r="B34" t="s">
        <v>550</v>
      </c>
      <c r="D34" t="s">
        <v>1592</v>
      </c>
      <c r="E34" s="242" t="str">
        <f>IF(Sheet1!E322="","",Sheet1!E322)</f>
        <v/>
      </c>
      <c r="F34" s="242" t="str">
        <f>IF(Sheet1!F322="","",Sheet1!F322)</f>
        <v/>
      </c>
      <c r="G34" s="242" t="str">
        <f>IF(Sheet1!G322="","",Sheet1!G322)</f>
        <v/>
      </c>
      <c r="H34" s="242" t="str">
        <f>IF(Sheet1!H322="","",Sheet1!H322)</f>
        <v/>
      </c>
      <c r="I34" s="242" t="str">
        <f>IF(Sheet1!I322="","",Sheet1!I322)</f>
        <v/>
      </c>
      <c r="J34" s="242">
        <f>IF(Sheet1!J322="","",Sheet1!J322)</f>
        <v>0</v>
      </c>
      <c r="K34" s="242">
        <f>IF(Sheet1!K322="","",Sheet1!K322)</f>
        <v>6800</v>
      </c>
      <c r="L34" s="242">
        <f>IF(Sheet1!L322="","",Sheet1!L322)</f>
        <v>0</v>
      </c>
      <c r="M34" s="242">
        <f>IF(Sheet1!M322="","",Sheet1!M322)</f>
        <v>0</v>
      </c>
      <c r="N34" s="242">
        <f>IF(Sheet1!N322="","",Sheet1!N322)</f>
        <v>0</v>
      </c>
      <c r="O34" s="242">
        <f>IF(Sheet1!O322="","",Sheet1!O322)</f>
        <v>0</v>
      </c>
      <c r="P34" s="242">
        <f>IF(Sheet1!P322="","",Sheet1!P322)</f>
        <v>0</v>
      </c>
      <c r="Q34" s="242">
        <f>IF(Sheet1!Q322="","",Sheet1!Q322)</f>
        <v>0</v>
      </c>
      <c r="R34" s="242">
        <f>IF(Sheet1!R322="","",Sheet1!R322)</f>
        <v>0</v>
      </c>
      <c r="S34" s="242">
        <f>IF(Sheet1!S322="","",Sheet1!S322)</f>
        <v>0</v>
      </c>
    </row>
    <row r="35" spans="2:19">
      <c r="B35" t="s">
        <v>551</v>
      </c>
      <c r="D35" t="s">
        <v>1593</v>
      </c>
      <c r="E35" s="242">
        <f>IF(Sheet1!E323="","",Sheet1!E323)</f>
        <v>41129.307000000001</v>
      </c>
      <c r="F35" s="242">
        <f>IF(Sheet1!F323="","",Sheet1!F323)</f>
        <v>46129.26</v>
      </c>
      <c r="G35" s="242">
        <f>IF(Sheet1!G323="","",Sheet1!G323)</f>
        <v>46129.26</v>
      </c>
      <c r="H35" s="242">
        <f>IF(Sheet1!H323="","",Sheet1!H323)</f>
        <v>46129.26</v>
      </c>
      <c r="I35" s="242">
        <f>IF(Sheet1!I323="","",Sheet1!I323)</f>
        <v>46129.26</v>
      </c>
      <c r="J35" s="242">
        <f>IF(Sheet1!J323="","",Sheet1!J323)</f>
        <v>46129.26</v>
      </c>
      <c r="K35" s="242">
        <f>IF(Sheet1!K323="","",Sheet1!K323)</f>
        <v>52929.26</v>
      </c>
      <c r="L35" s="242">
        <f>IF(Sheet1!L323="","",Sheet1!L323)</f>
        <v>52929.26</v>
      </c>
      <c r="M35" s="242">
        <f>IF(Sheet1!M323="","",Sheet1!M323)</f>
        <v>52929.26</v>
      </c>
      <c r="N35" s="242">
        <f>IF(Sheet1!N323="","",Sheet1!N323)</f>
        <v>52929.26</v>
      </c>
      <c r="O35" s="242">
        <f>IF(Sheet1!O323="","",Sheet1!O323)</f>
        <v>52929.26</v>
      </c>
      <c r="P35" s="242">
        <f>IF(Sheet1!P323="","",Sheet1!P323)</f>
        <v>52929.26</v>
      </c>
      <c r="Q35" s="242">
        <f>IF(Sheet1!Q323="","",Sheet1!Q323)</f>
        <v>52929.26</v>
      </c>
      <c r="R35" s="242">
        <f>IF(Sheet1!R323="","",Sheet1!R323)</f>
        <v>52929.26</v>
      </c>
      <c r="S35" s="242">
        <f>IF(Sheet1!S323="","",Sheet1!S323)</f>
        <v>52929.26</v>
      </c>
    </row>
    <row r="36" spans="2:19">
      <c r="B36" t="s">
        <v>552</v>
      </c>
      <c r="D36" t="s">
        <v>1594</v>
      </c>
      <c r="E36" s="242">
        <f>IF(Sheet1!E324="","",Sheet1!E324)</f>
        <v>41129.307000000001</v>
      </c>
      <c r="F36" s="242">
        <f>IF(Sheet1!F324="","",Sheet1!F324)</f>
        <v>46129.26</v>
      </c>
      <c r="G36" s="242">
        <f>IF(Sheet1!G324="","",Sheet1!G324)</f>
        <v>46129.26</v>
      </c>
      <c r="H36" s="242">
        <f>IF(Sheet1!H324="","",Sheet1!H324)</f>
        <v>46129.26</v>
      </c>
      <c r="I36" s="242">
        <f>IF(Sheet1!I324="","",Sheet1!I324)</f>
        <v>46129.26</v>
      </c>
      <c r="J36" s="242">
        <f>IF(Sheet1!J324="","",Sheet1!J324)</f>
        <v>46129.26</v>
      </c>
      <c r="K36" s="242">
        <f>IF(Sheet1!K324="","",Sheet1!K324)</f>
        <v>49529.26</v>
      </c>
      <c r="L36" s="242">
        <f>IF(Sheet1!L324="","",Sheet1!L324)</f>
        <v>52929.26</v>
      </c>
      <c r="M36" s="242">
        <f>IF(Sheet1!M324="","",Sheet1!M324)</f>
        <v>52929.26</v>
      </c>
      <c r="N36" s="242">
        <f>IF(Sheet1!N324="","",Sheet1!N324)</f>
        <v>52929.26</v>
      </c>
      <c r="O36" s="242">
        <f>IF(Sheet1!O324="","",Sheet1!O324)</f>
        <v>52929.26</v>
      </c>
      <c r="P36" s="242">
        <f>IF(Sheet1!P324="","",Sheet1!P324)</f>
        <v>52929.26</v>
      </c>
      <c r="Q36" s="242">
        <f>IF(Sheet1!Q324="","",Sheet1!Q324)</f>
        <v>52929.26</v>
      </c>
      <c r="R36" s="242">
        <f>IF(Sheet1!R324="","",Sheet1!R324)</f>
        <v>52929.26</v>
      </c>
      <c r="S36" s="242">
        <f>IF(Sheet1!S324="","",Sheet1!S324)</f>
        <v>52929.26</v>
      </c>
    </row>
    <row r="37" spans="2:19">
      <c r="B37" t="s">
        <v>553</v>
      </c>
      <c r="D37" t="s">
        <v>1595</v>
      </c>
      <c r="E37" s="242">
        <f>IF(Sheet1!E325="","",Sheet1!E325)</f>
        <v>0</v>
      </c>
      <c r="F37" s="242">
        <f>IF(Sheet1!F325="","",Sheet1!F325)</f>
        <v>0</v>
      </c>
      <c r="G37" s="242">
        <f>IF(Sheet1!G325="","",Sheet1!G325)</f>
        <v>0</v>
      </c>
      <c r="H37" s="242">
        <f>IF(Sheet1!H325="","",Sheet1!H325)</f>
        <v>0</v>
      </c>
      <c r="I37" s="242">
        <f>IF(Sheet1!I325="","",Sheet1!I325)</f>
        <v>0</v>
      </c>
      <c r="J37" s="242">
        <f>IF(Sheet1!J325="","",Sheet1!J325)</f>
        <v>0</v>
      </c>
      <c r="K37" s="242">
        <f>IF(Sheet1!K325="","",Sheet1!K325)</f>
        <v>6392</v>
      </c>
      <c r="L37" s="242">
        <f>IF(Sheet1!L325="","",Sheet1!L325)</f>
        <v>6392</v>
      </c>
      <c r="M37" s="242">
        <f>IF(Sheet1!M325="","",Sheet1!M325)</f>
        <v>6392</v>
      </c>
      <c r="N37" s="242">
        <f>IF(Sheet1!N325="","",Sheet1!N325)</f>
        <v>6392</v>
      </c>
      <c r="O37" s="242">
        <f>IF(Sheet1!O325="","",Sheet1!O325)</f>
        <v>6392</v>
      </c>
      <c r="P37" s="242">
        <f>IF(Sheet1!P325="","",Sheet1!P325)</f>
        <v>6392</v>
      </c>
      <c r="Q37" s="242">
        <f>IF(Sheet1!Q325="","",Sheet1!Q325)</f>
        <v>6392</v>
      </c>
      <c r="R37" s="242">
        <f>IF(Sheet1!R325="","",Sheet1!R325)</f>
        <v>6392</v>
      </c>
      <c r="S37" s="242">
        <f>IF(Sheet1!S325="","",Sheet1!S325)</f>
        <v>6392</v>
      </c>
    </row>
    <row r="38" spans="2:19">
      <c r="B38" t="s">
        <v>554</v>
      </c>
      <c r="D38" t="s">
        <v>1596</v>
      </c>
      <c r="E38" s="242" t="str">
        <f>IF(Sheet1!E326="","",Sheet1!E326)</f>
        <v/>
      </c>
      <c r="F38" s="242" t="str">
        <f>IF(Sheet1!F326="","",Sheet1!F326)</f>
        <v/>
      </c>
      <c r="G38" s="242" t="str">
        <f>IF(Sheet1!G326="","",Sheet1!G326)</f>
        <v/>
      </c>
      <c r="H38" s="242" t="str">
        <f>IF(Sheet1!H326="","",Sheet1!H326)</f>
        <v/>
      </c>
      <c r="I38" s="242" t="str">
        <f>IF(Sheet1!I326="","",Sheet1!I326)</f>
        <v/>
      </c>
      <c r="J38" s="242">
        <f>IF(Sheet1!J326="","",Sheet1!J326)</f>
        <v>0</v>
      </c>
      <c r="K38" s="242">
        <f>IF(Sheet1!K326="","",Sheet1!K326)</f>
        <v>287.64</v>
      </c>
      <c r="L38" s="242">
        <f>IF(Sheet1!L326="","",Sheet1!L326)</f>
        <v>575.28</v>
      </c>
      <c r="M38" s="242">
        <f>IF(Sheet1!M326="","",Sheet1!M326)</f>
        <v>575.28</v>
      </c>
      <c r="N38" s="242">
        <f>IF(Sheet1!N326="","",Sheet1!N326)</f>
        <v>575.28</v>
      </c>
      <c r="O38" s="242">
        <f>IF(Sheet1!O326="","",Sheet1!O326)</f>
        <v>575.28</v>
      </c>
      <c r="P38" s="242">
        <f>IF(Sheet1!P326="","",Sheet1!P326)</f>
        <v>575.28</v>
      </c>
      <c r="Q38" s="242">
        <f>IF(Sheet1!Q326="","",Sheet1!Q326)</f>
        <v>575.28</v>
      </c>
      <c r="R38" s="242">
        <f>IF(Sheet1!R326="","",Sheet1!R326)</f>
        <v>575.28</v>
      </c>
      <c r="S38" s="242">
        <f>IF(Sheet1!S326="","",Sheet1!S326)</f>
        <v>575.28</v>
      </c>
    </row>
    <row r="39" spans="2:19">
      <c r="B39" t="s">
        <v>555</v>
      </c>
      <c r="D39" t="s">
        <v>1597</v>
      </c>
      <c r="E39" s="242">
        <f>IF(Sheet1!E327="","",Sheet1!E327)</f>
        <v>25122.769</v>
      </c>
      <c r="F39" s="242">
        <f>IF(Sheet1!F327="","",Sheet1!F327)</f>
        <v>33109.949000000001</v>
      </c>
      <c r="G39" s="242">
        <f>IF(Sheet1!G327="","",Sheet1!G327)</f>
        <v>38115.228000000003</v>
      </c>
      <c r="H39" s="242">
        <f>IF(Sheet1!H327="","",Sheet1!H327)</f>
        <v>43951.330999999998</v>
      </c>
      <c r="I39" s="242">
        <f>IF(Sheet1!I327="","",Sheet1!I327)</f>
        <v>50573.14</v>
      </c>
      <c r="J39" s="242">
        <f>IF(Sheet1!J327="","",Sheet1!J327)</f>
        <v>57497.469389564503</v>
      </c>
      <c r="K39" s="242">
        <f>IF(Sheet1!K327="","",Sheet1!K327)</f>
        <v>72192.049905734297</v>
      </c>
      <c r="L39" s="242">
        <f>IF(Sheet1!L327="","",Sheet1!L327)</f>
        <v>81245.549766519674</v>
      </c>
      <c r="M39" s="242">
        <f>IF(Sheet1!M327="","",Sheet1!M327)</f>
        <v>91318.45142531718</v>
      </c>
      <c r="N39" s="242">
        <f>IF(Sheet1!N327="","",Sheet1!N327)</f>
        <v>102081.9712082749</v>
      </c>
      <c r="O39" s="242">
        <f>IF(Sheet1!O327="","",Sheet1!O327)</f>
        <v>113786.21335057645</v>
      </c>
      <c r="P39" s="242">
        <f>IF(Sheet1!P327="","",Sheet1!P327)</f>
        <v>124902.57519202505</v>
      </c>
      <c r="Q39" s="242">
        <f>IF(Sheet1!Q327="","",Sheet1!Q327)</f>
        <v>135139.57746918569</v>
      </c>
      <c r="R39" s="242">
        <f>IF(Sheet1!R327="","",Sheet1!R327)</f>
        <v>145147.39656609084</v>
      </c>
      <c r="S39" s="242">
        <f>IF(Sheet1!S327="","",Sheet1!S327)</f>
        <v>154759.55066820636</v>
      </c>
    </row>
    <row r="40" spans="2:19">
      <c r="B40" t="s">
        <v>556</v>
      </c>
      <c r="D40" t="s">
        <v>1259</v>
      </c>
      <c r="E40" s="242">
        <f>IF(Sheet1!E328="","",Sheet1!E328)</f>
        <v>0.22086521815038754</v>
      </c>
      <c r="F40" s="242">
        <f>IF(Sheet1!F328="","",Sheet1!F328)</f>
        <v>0.20293205958405799</v>
      </c>
      <c r="G40" s="242">
        <f>IF(Sheet1!G328="","",Sheet1!G328)</f>
        <v>0.21044249323486508</v>
      </c>
      <c r="H40" s="242">
        <f>IF(Sheet1!H328="","",Sheet1!H328)</f>
        <v>0.21403664446695822</v>
      </c>
      <c r="I40" s="242">
        <f>IF(Sheet1!I328="","",Sheet1!I328)</f>
        <v>0.21996524721384358</v>
      </c>
      <c r="J40" s="242">
        <f>IF(Sheet1!J328="","",Sheet1!J328)</f>
        <v>0.22000883624760575</v>
      </c>
      <c r="K40" s="242">
        <f>IF(Sheet1!K328="","",Sheet1!K328)</f>
        <v>0.24524347352430514</v>
      </c>
      <c r="L40" s="242">
        <f>IF(Sheet1!L328="","",Sheet1!L328)</f>
        <v>0.24758546831325884</v>
      </c>
      <c r="M40" s="242">
        <f>IF(Sheet1!M328="","",Sheet1!M328)</f>
        <v>0.25175609540588806</v>
      </c>
      <c r="N40" s="242">
        <f>IF(Sheet1!N328="","",Sheet1!N328)</f>
        <v>0.25651249954318212</v>
      </c>
      <c r="O40" s="242">
        <f>IF(Sheet1!O328="","",Sheet1!O328)</f>
        <v>0.26208880727592776</v>
      </c>
      <c r="P40" s="242">
        <f>IF(Sheet1!P328="","",Sheet1!P328)</f>
        <v>0.26524103865691562</v>
      </c>
      <c r="Q40" s="242">
        <f>IF(Sheet1!Q328="","",Sheet1!Q328)</f>
        <v>0.26615704261128365</v>
      </c>
      <c r="R40" s="242">
        <f>IF(Sheet1!R328="","",Sheet1!R328)</f>
        <v>0.26672525733579877</v>
      </c>
      <c r="S40" s="242">
        <f>IF(Sheet1!S328="","",Sheet1!S328)</f>
        <v>0.26696652662695464</v>
      </c>
    </row>
    <row r="41" spans="2:19">
      <c r="B41" t="s">
        <v>557</v>
      </c>
      <c r="D41" t="s">
        <v>1598</v>
      </c>
      <c r="E41" s="242">
        <f>IF(Sheet1!E329="","",Sheet1!E329)</f>
        <v>2373.3571999999986</v>
      </c>
      <c r="F41" s="242">
        <f>IF(Sheet1!F329="","",Sheet1!F329)</f>
        <v>478.38839999999618</v>
      </c>
      <c r="G41" s="242">
        <f>IF(Sheet1!G329="","",Sheet1!G329)</f>
        <v>1891.3386000000028</v>
      </c>
      <c r="H41" s="242">
        <f>IF(Sheet1!H329="","",Sheet1!H329)</f>
        <v>2882.3531999999977</v>
      </c>
      <c r="I41" s="242">
        <f>IF(Sheet1!I329="","",Sheet1!I329)</f>
        <v>4590.2943999999989</v>
      </c>
      <c r="J41" s="242">
        <f>IF(Sheet1!J329="","",Sheet1!J329)</f>
        <v>5229.1420166995231</v>
      </c>
      <c r="K41" s="242">
        <f>IF(Sheet1!K329="","",Sheet1!K329)</f>
        <v>13318.271233226937</v>
      </c>
      <c r="L41" s="242">
        <f>IF(Sheet1!L329="","",Sheet1!L329)</f>
        <v>15615.244143151416</v>
      </c>
      <c r="M41" s="242">
        <f>IF(Sheet1!M329="","",Sheet1!M329)</f>
        <v>18773.275287205339</v>
      </c>
      <c r="N41" s="242">
        <f>IF(Sheet1!N329="","",Sheet1!N329)</f>
        <v>22489.770913887216</v>
      </c>
      <c r="O41" s="242">
        <f>IF(Sheet1!O329="","",Sheet1!O329)</f>
        <v>26955.9404112349</v>
      </c>
      <c r="P41" s="242">
        <f>IF(Sheet1!P329="","",Sheet1!P329)</f>
        <v>30722.145327561855</v>
      </c>
      <c r="Q41" s="242">
        <f>IF(Sheet1!Q329="","",Sheet1!Q329)</f>
        <v>33590.825541885381</v>
      </c>
      <c r="R41" s="242">
        <f>IF(Sheet1!R329="","",Sheet1!R329)</f>
        <v>36310.762183652274</v>
      </c>
      <c r="S41" s="242">
        <f>IF(Sheet1!S329="","",Sheet1!S329)</f>
        <v>38820.2584853632</v>
      </c>
    </row>
    <row r="42" spans="2:19" ht="20.100000000000001" customHeight="1">
      <c r="B42" s="3" t="s">
        <v>1599</v>
      </c>
      <c r="C42" s="3"/>
      <c r="D42" s="3"/>
      <c r="E42" s="2"/>
      <c r="F42" s="2"/>
      <c r="G42" s="2"/>
      <c r="H42" s="2"/>
      <c r="I42" s="2"/>
      <c r="J42" s="2"/>
      <c r="K42" s="2"/>
      <c r="L42" s="2"/>
      <c r="M42" s="2"/>
      <c r="N42" s="2"/>
      <c r="O42" s="2"/>
      <c r="P42" s="2"/>
      <c r="Q42" s="2"/>
      <c r="R42" s="2"/>
      <c r="S42" s="2"/>
    </row>
    <row r="43" spans="2:19">
      <c r="B43" t="s">
        <v>558</v>
      </c>
      <c r="D43" t="s">
        <v>1600</v>
      </c>
      <c r="E43" s="242" t="str">
        <f>IF(Sheet1!E331="","",Sheet1!E331)</f>
        <v>FY21A</v>
      </c>
      <c r="F43" s="242" t="str">
        <f>IF(Sheet1!F331="","",Sheet1!F331)</f>
        <v>FY22A</v>
      </c>
      <c r="G43" s="242" t="str">
        <f>IF(Sheet1!G331="","",Sheet1!G331)</f>
        <v>FY23A</v>
      </c>
      <c r="H43" s="242" t="str">
        <f>IF(Sheet1!H331="","",Sheet1!H331)</f>
        <v>FY24A</v>
      </c>
      <c r="I43" s="242" t="str">
        <f>IF(Sheet1!I331="","",Sheet1!I331)</f>
        <v>FY25A</v>
      </c>
      <c r="J43" s="242" t="str">
        <f>IF(Sheet1!J331="","",Sheet1!J331)</f>
        <v>FY26E</v>
      </c>
      <c r="K43" s="242" t="str">
        <f>IF(Sheet1!K331="","",Sheet1!K331)</f>
        <v>FY27E</v>
      </c>
      <c r="L43" s="242" t="str">
        <f>IF(Sheet1!L331="","",Sheet1!L331)</f>
        <v>FY28E</v>
      </c>
      <c r="M43" s="242" t="str">
        <f>IF(Sheet1!M331="","",Sheet1!M331)</f>
        <v>FY29E</v>
      </c>
      <c r="N43" s="242" t="str">
        <f>IF(Sheet1!N331="","",Sheet1!N331)</f>
        <v>FY30E</v>
      </c>
      <c r="O43" s="242" t="str">
        <f>IF(Sheet1!O331="","",Sheet1!O331)</f>
        <v>FY31E</v>
      </c>
      <c r="P43" s="242" t="str">
        <f>IF(Sheet1!P331="","",Sheet1!P331)</f>
        <v>FY32E</v>
      </c>
      <c r="Q43" s="242" t="str">
        <f>IF(Sheet1!Q331="","",Sheet1!Q331)</f>
        <v>FY33E</v>
      </c>
      <c r="R43" s="242" t="str">
        <f>IF(Sheet1!R331="","",Sheet1!R331)</f>
        <v>FY34E</v>
      </c>
      <c r="S43" s="242" t="str">
        <f>IF(Sheet1!S331="","",Sheet1!S331)</f>
        <v>FY35E</v>
      </c>
    </row>
    <row r="44" spans="2:19">
      <c r="B44" t="s">
        <v>559</v>
      </c>
      <c r="D44" t="s">
        <v>1601</v>
      </c>
      <c r="E44" s="242" t="str">
        <f>IF(Sheet1!E332="","",Sheet1!E332)</f>
        <v/>
      </c>
      <c r="F44" s="242">
        <f>IF(Sheet1!F332="","",Sheet1!F332)</f>
        <v>25013.934000000001</v>
      </c>
      <c r="G44" s="242">
        <f>IF(Sheet1!G332="","",Sheet1!G332)</f>
        <v>33506</v>
      </c>
      <c r="H44" s="242">
        <f>IF(Sheet1!H332="","",Sheet1!H332)</f>
        <v>38739.120999999999</v>
      </c>
      <c r="I44" s="242">
        <f>IF(Sheet1!I332="","",Sheet1!I332)</f>
        <v>45041.572</v>
      </c>
      <c r="J44" s="242">
        <f>IF(Sheet1!J332="","",Sheet1!J332)</f>
        <v>51952.874000000003</v>
      </c>
      <c r="K44" s="242">
        <f>IF(Sheet1!K332="","",Sheet1!K332)</f>
        <v>58860.656224132057</v>
      </c>
      <c r="L44" s="242">
        <f>IF(Sheet1!L332="","",Sheet1!L332)</f>
        <v>73781.747347036915</v>
      </c>
      <c r="M44" s="242">
        <f>IF(Sheet1!M332="","",Sheet1!M332)</f>
        <v>83256.630600368619</v>
      </c>
      <c r="N44" s="242">
        <f>IF(Sheet1!N332="","",Sheet1!N332)</f>
        <v>93604.340683110131</v>
      </c>
      <c r="O44" s="242">
        <f>IF(Sheet1!O332="","",Sheet1!O332)</f>
        <v>104661.51030082637</v>
      </c>
      <c r="P44" s="242">
        <f>IF(Sheet1!P332="","",Sheet1!P332)</f>
        <v>116685.06702054919</v>
      </c>
      <c r="Q44" s="242">
        <f>IF(Sheet1!Q332="","",Sheet1!Q332)</f>
        <v>128104.70491701334</v>
      </c>
      <c r="R44" s="242">
        <f>IF(Sheet1!R332="","",Sheet1!R332)</f>
        <v>138620.99260338282</v>
      </c>
      <c r="S44" s="242">
        <f>IF(Sheet1!S332="","",Sheet1!S332)</f>
        <v>148901.84454487404</v>
      </c>
    </row>
    <row r="45" spans="2:19">
      <c r="B45" t="s">
        <v>560</v>
      </c>
      <c r="D45" t="s">
        <v>1602</v>
      </c>
      <c r="E45" s="242">
        <f>IF(Sheet1!E333="","",Sheet1!E333)</f>
        <v>3028.2049999999999</v>
      </c>
      <c r="F45" s="242">
        <f>IF(Sheet1!F333="","",Sheet1!F333)</f>
        <v>4260</v>
      </c>
      <c r="G45" s="242">
        <f>IF(Sheet1!G333="","",Sheet1!G333)</f>
        <v>5703.7430000000004</v>
      </c>
      <c r="H45" s="242">
        <f>IF(Sheet1!H333="","",Sheet1!H333)</f>
        <v>7005.8879999999999</v>
      </c>
      <c r="I45" s="242">
        <f>IF(Sheet1!I333="","",Sheet1!I333)</f>
        <v>7567.5230000000001</v>
      </c>
      <c r="J45" s="242">
        <f>IF(Sheet1!J333="","",Sheet1!J333)</f>
        <v>8421.2868241320521</v>
      </c>
      <c r="K45" s="242">
        <f>IF(Sheet1!K333="","",Sheet1!K333)</f>
        <v>10381.774224213914</v>
      </c>
      <c r="L45" s="242">
        <f>IF(Sheet1!L333="","",Sheet1!L333)</f>
        <v>12070.326809385186</v>
      </c>
      <c r="M45" s="242">
        <f>IF(Sheet1!M333="","",Sheet1!M333)</f>
        <v>13606.69832127552</v>
      </c>
      <c r="N45" s="242">
        <f>IF(Sheet1!N333="","",Sheet1!N333)</f>
        <v>15139.179114098893</v>
      </c>
      <c r="O45" s="242">
        <f>IF(Sheet1!O333="","",Sheet1!O333)</f>
        <v>16565.310453952501</v>
      </c>
      <c r="P45" s="242">
        <f>IF(Sheet1!P333="","",Sheet1!P333)</f>
        <v>18045.762078045143</v>
      </c>
      <c r="Q45" s="242">
        <f>IF(Sheet1!Q333="","",Sheet1!Q333)</f>
        <v>19539.168725392068</v>
      </c>
      <c r="R45" s="242">
        <f>IF(Sheet1!R333="","",Sheet1!R333)</f>
        <v>21027.394740456861</v>
      </c>
      <c r="S45" s="242">
        <f>IF(Sheet1!S333="","",Sheet1!S333)</f>
        <v>22490.829277407418</v>
      </c>
    </row>
    <row r="46" spans="2:19">
      <c r="B46" t="s">
        <v>561</v>
      </c>
      <c r="D46" t="s">
        <v>1603</v>
      </c>
      <c r="E46" s="242" t="str">
        <f>IF(Sheet1!E334="","",Sheet1!E334)</f>
        <v/>
      </c>
      <c r="F46" s="242" t="str">
        <f>IF(Sheet1!F334="","",Sheet1!F334)</f>
        <v/>
      </c>
      <c r="G46" s="242" t="str">
        <f>IF(Sheet1!G334="","",Sheet1!G334)</f>
        <v/>
      </c>
      <c r="H46" s="242">
        <f>IF(Sheet1!H334="","",Sheet1!H334)</f>
        <v>152.124</v>
      </c>
      <c r="I46" s="242">
        <f>IF(Sheet1!I334="","",Sheet1!I334)</f>
        <v>394.66199999999998</v>
      </c>
      <c r="J46" s="242">
        <f>IF(Sheet1!J334="","",Sheet1!J334)</f>
        <v>0</v>
      </c>
      <c r="K46" s="242">
        <f>IF(Sheet1!K334="","",Sheet1!K334)</f>
        <v>0</v>
      </c>
      <c r="L46" s="242">
        <f>IF(Sheet1!L334="","",Sheet1!L334)</f>
        <v>0</v>
      </c>
      <c r="M46" s="242">
        <f>IF(Sheet1!M334="","",Sheet1!M334)</f>
        <v>0</v>
      </c>
      <c r="N46" s="242">
        <f>IF(Sheet1!N334="","",Sheet1!N334)</f>
        <v>0</v>
      </c>
      <c r="O46" s="242">
        <f>IF(Sheet1!O334="","",Sheet1!O334)</f>
        <v>0</v>
      </c>
      <c r="P46" s="242">
        <f>IF(Sheet1!P334="","",Sheet1!P334)</f>
        <v>0</v>
      </c>
      <c r="Q46" s="242">
        <f>IF(Sheet1!Q334="","",Sheet1!Q334)</f>
        <v>0</v>
      </c>
      <c r="R46" s="242">
        <f>IF(Sheet1!R334="","",Sheet1!R334)</f>
        <v>0</v>
      </c>
      <c r="S46" s="242">
        <f>IF(Sheet1!S334="","",Sheet1!S334)</f>
        <v>0</v>
      </c>
    </row>
    <row r="47" spans="2:19">
      <c r="B47" t="s">
        <v>426</v>
      </c>
      <c r="D47" t="s">
        <v>1604</v>
      </c>
      <c r="E47" s="242" t="str">
        <f>IF(Sheet1!E335="","",Sheet1!E335)</f>
        <v/>
      </c>
      <c r="F47" s="242" t="str">
        <f>IF(Sheet1!F335="","",Sheet1!F335)</f>
        <v/>
      </c>
      <c r="G47" s="242" t="str">
        <f>IF(Sheet1!G335="","",Sheet1!G335)</f>
        <v/>
      </c>
      <c r="H47" s="242">
        <f>IF(Sheet1!H335="","",Sheet1!H335)</f>
        <v>-855.56145000000004</v>
      </c>
      <c r="I47" s="242">
        <f>IF(Sheet1!I335="","",Sheet1!I335)</f>
        <v>-1050.8832</v>
      </c>
      <c r="J47" s="242">
        <f>IF(Sheet1!J335="","",Sheet1!J335)</f>
        <v>-1513.5046000000002</v>
      </c>
      <c r="K47" s="242">
        <f>IF(Sheet1!K335="","",Sheet1!K335)</f>
        <v>-1852.6831013090514</v>
      </c>
      <c r="L47" s="242">
        <f>IF(Sheet1!L335="","",Sheet1!L335)</f>
        <v>-2595.4435560534785</v>
      </c>
      <c r="M47" s="242">
        <f>IF(Sheet1!M335="","",Sheet1!M335)</f>
        <v>-3258.9882385340002</v>
      </c>
      <c r="N47" s="242">
        <f>IF(Sheet1!N335="","",Sheet1!N335)</f>
        <v>-4082.0094963826559</v>
      </c>
      <c r="O47" s="242">
        <f>IF(Sheet1!O335="","",Sheet1!O335)</f>
        <v>-4541.7537342296682</v>
      </c>
      <c r="P47" s="242">
        <f>IF(Sheet1!P335="","",Sheet1!P335)</f>
        <v>-6626.1241815810008</v>
      </c>
      <c r="Q47" s="242">
        <f>IF(Sheet1!Q335="","",Sheet1!Q335)</f>
        <v>-9022.8810390225717</v>
      </c>
      <c r="R47" s="242">
        <f>IF(Sheet1!R335="","",Sheet1!R335)</f>
        <v>-10746.542798965638</v>
      </c>
      <c r="S47" s="242">
        <f>IF(Sheet1!S335="","",Sheet1!S335)</f>
        <v>-12616.436844274116</v>
      </c>
    </row>
    <row r="48" spans="2:19">
      <c r="B48" t="s">
        <v>428</v>
      </c>
      <c r="D48" t="s">
        <v>1605</v>
      </c>
      <c r="E48" s="242" t="str">
        <f>IF(Sheet1!E336="","",Sheet1!E336)</f>
        <v/>
      </c>
      <c r="F48" s="242" t="str">
        <f>IF(Sheet1!F336="","",Sheet1!F336)</f>
        <v/>
      </c>
      <c r="G48" s="242" t="str">
        <f>IF(Sheet1!G336="","",Sheet1!G336)</f>
        <v/>
      </c>
      <c r="H48" s="242" t="str">
        <f>IF(Sheet1!H336="","",Sheet1!H336)</f>
        <v/>
      </c>
      <c r="I48" s="242" t="str">
        <f>IF(Sheet1!I336="","",Sheet1!I336)</f>
        <v/>
      </c>
      <c r="J48" s="242">
        <f>IF(Sheet1!J336="","",Sheet1!J336)</f>
        <v>0</v>
      </c>
      <c r="K48" s="242">
        <f>IF(Sheet1!K336="","",Sheet1!K336)</f>
        <v>6392</v>
      </c>
      <c r="L48" s="242">
        <f>IF(Sheet1!L336="","",Sheet1!L336)</f>
        <v>0</v>
      </c>
      <c r="M48" s="242">
        <f>IF(Sheet1!M336="","",Sheet1!M336)</f>
        <v>0</v>
      </c>
      <c r="N48" s="242">
        <f>IF(Sheet1!N336="","",Sheet1!N336)</f>
        <v>0</v>
      </c>
      <c r="O48" s="242">
        <f>IF(Sheet1!O336="","",Sheet1!O336)</f>
        <v>0</v>
      </c>
      <c r="P48" s="242">
        <f>IF(Sheet1!P336="","",Sheet1!P336)</f>
        <v>0</v>
      </c>
      <c r="Q48" s="242">
        <f>IF(Sheet1!Q336="","",Sheet1!Q336)</f>
        <v>0</v>
      </c>
      <c r="R48" s="242">
        <f>IF(Sheet1!R336="","",Sheet1!R336)</f>
        <v>0</v>
      </c>
      <c r="S48" s="242">
        <f>IF(Sheet1!S336="","",Sheet1!S336)</f>
        <v>0</v>
      </c>
    </row>
    <row r="49" spans="2:19">
      <c r="B49" t="s">
        <v>562</v>
      </c>
      <c r="D49" t="s">
        <v>1606</v>
      </c>
      <c r="E49" s="242" t="str">
        <f>IF(Sheet1!E337="","",Sheet1!E337)</f>
        <v/>
      </c>
      <c r="F49" s="242" t="str">
        <f>IF(Sheet1!F337="","",Sheet1!F337)</f>
        <v/>
      </c>
      <c r="G49" s="242" t="str">
        <f>IF(Sheet1!G337="","",Sheet1!G337)</f>
        <v/>
      </c>
      <c r="H49" s="242">
        <f>IF(Sheet1!H337="","",Sheet1!H337)</f>
        <v>45041.571550000001</v>
      </c>
      <c r="I49" s="242">
        <f>IF(Sheet1!I337="","",Sheet1!I337)</f>
        <v>51952.873800000001</v>
      </c>
      <c r="J49" s="242">
        <f>IF(Sheet1!J337="","",Sheet1!J337)</f>
        <v>58860.656224132057</v>
      </c>
      <c r="K49" s="242">
        <f>IF(Sheet1!K337="","",Sheet1!K337)</f>
        <v>73781.747347036915</v>
      </c>
      <c r="L49" s="242">
        <f>IF(Sheet1!L337="","",Sheet1!L337)</f>
        <v>83256.630600368619</v>
      </c>
      <c r="M49" s="242">
        <f>IF(Sheet1!M337="","",Sheet1!M337)</f>
        <v>93604.340683110131</v>
      </c>
      <c r="N49" s="242">
        <f>IF(Sheet1!N337="","",Sheet1!N337)</f>
        <v>104661.51030082637</v>
      </c>
      <c r="O49" s="242">
        <f>IF(Sheet1!O337="","",Sheet1!O337)</f>
        <v>116685.06702054919</v>
      </c>
      <c r="P49" s="242">
        <f>IF(Sheet1!P337="","",Sheet1!P337)</f>
        <v>128104.70491701334</v>
      </c>
      <c r="Q49" s="242">
        <f>IF(Sheet1!Q337="","",Sheet1!Q337)</f>
        <v>138620.99260338282</v>
      </c>
      <c r="R49" s="242">
        <f>IF(Sheet1!R337="","",Sheet1!R337)</f>
        <v>148901.84454487404</v>
      </c>
      <c r="S49" s="242">
        <f>IF(Sheet1!S337="","",Sheet1!S337)</f>
        <v>158776.23697800733</v>
      </c>
    </row>
    <row r="50" spans="2:19">
      <c r="B50" t="s">
        <v>563</v>
      </c>
      <c r="D50" t="s">
        <v>1607</v>
      </c>
      <c r="E50" s="242">
        <f>IF(Sheet1!E338="","",Sheet1!E338)</f>
        <v>757.05124999999998</v>
      </c>
      <c r="F50" s="242">
        <f>IF(Sheet1!F338="","",Sheet1!F338)</f>
        <v>426</v>
      </c>
      <c r="G50" s="242">
        <f>IF(Sheet1!G338="","",Sheet1!G338)</f>
        <v>855.56145000000004</v>
      </c>
      <c r="H50" s="242">
        <f>IF(Sheet1!H338="","",Sheet1!H338)</f>
        <v>1050.8832</v>
      </c>
      <c r="I50" s="242">
        <f>IF(Sheet1!I338="","",Sheet1!I338)</f>
        <v>1513.5046000000002</v>
      </c>
      <c r="J50" s="242">
        <f>IF(Sheet1!J338="","",Sheet1!J338)</f>
        <v>1852.6831013090514</v>
      </c>
      <c r="K50" s="242">
        <f>IF(Sheet1!K338="","",Sheet1!K338)</f>
        <v>2595.4435560534785</v>
      </c>
      <c r="L50" s="242">
        <f>IF(Sheet1!L338="","",Sheet1!L338)</f>
        <v>3258.9882385340002</v>
      </c>
      <c r="M50" s="242">
        <f>IF(Sheet1!M338="","",Sheet1!M338)</f>
        <v>4082.0094963826559</v>
      </c>
      <c r="N50" s="242">
        <f>IF(Sheet1!N338="","",Sheet1!N338)</f>
        <v>4541.7537342296682</v>
      </c>
      <c r="O50" s="242">
        <f>IF(Sheet1!O338="","",Sheet1!O338)</f>
        <v>6626.1241815810008</v>
      </c>
      <c r="P50" s="242">
        <f>IF(Sheet1!P338="","",Sheet1!P338)</f>
        <v>9022.8810390225717</v>
      </c>
      <c r="Q50" s="242">
        <f>IF(Sheet1!Q338="","",Sheet1!Q338)</f>
        <v>10746.542798965638</v>
      </c>
      <c r="R50" s="242">
        <f>IF(Sheet1!R338="","",Sheet1!R338)</f>
        <v>12616.436844274116</v>
      </c>
      <c r="S50" s="242">
        <f>IF(Sheet1!S338="","",Sheet1!S338)</f>
        <v>14619.039030314822</v>
      </c>
    </row>
    <row r="51" spans="2:19">
      <c r="B51" t="s">
        <v>565</v>
      </c>
      <c r="D51" t="s">
        <v>1608</v>
      </c>
      <c r="E51" s="242" t="str">
        <f>IF(Sheet1!E339="","",Sheet1!E339)</f>
        <v/>
      </c>
      <c r="F51" s="242">
        <f>IF(Sheet1!F339="","",Sheet1!F339)</f>
        <v>757.05124999999998</v>
      </c>
      <c r="G51" s="242">
        <f>IF(Sheet1!G339="","",Sheet1!G339)</f>
        <v>426</v>
      </c>
      <c r="H51" s="242">
        <f>IF(Sheet1!H339="","",Sheet1!H339)</f>
        <v>855.56145000000004</v>
      </c>
      <c r="I51" s="242">
        <f>IF(Sheet1!I339="","",Sheet1!I339)</f>
        <v>1050.8832</v>
      </c>
      <c r="J51" s="242">
        <f>IF(Sheet1!J339="","",Sheet1!J339)</f>
        <v>1513.5046000000002</v>
      </c>
      <c r="K51" s="242">
        <f>IF(Sheet1!K339="","",Sheet1!K339)</f>
        <v>1852.6831013090514</v>
      </c>
      <c r="L51" s="242">
        <f>IF(Sheet1!L339="","",Sheet1!L339)</f>
        <v>2595.4435560534785</v>
      </c>
      <c r="M51" s="242">
        <f>IF(Sheet1!M339="","",Sheet1!M339)</f>
        <v>3258.9882385340002</v>
      </c>
      <c r="N51" s="242">
        <f>IF(Sheet1!N339="","",Sheet1!N339)</f>
        <v>4082.0094963826559</v>
      </c>
      <c r="O51" s="242">
        <f>IF(Sheet1!O339="","",Sheet1!O339)</f>
        <v>4541.7537342296682</v>
      </c>
      <c r="P51" s="242">
        <f>IF(Sheet1!P339="","",Sheet1!P339)</f>
        <v>6626.1241815810008</v>
      </c>
      <c r="Q51" s="242">
        <f>IF(Sheet1!Q339="","",Sheet1!Q339)</f>
        <v>9022.8810390225717</v>
      </c>
      <c r="R51" s="242">
        <f>IF(Sheet1!R339="","",Sheet1!R339)</f>
        <v>10746.542798965638</v>
      </c>
      <c r="S51" s="242">
        <f>IF(Sheet1!S339="","",Sheet1!S339)</f>
        <v>12616.436844274116</v>
      </c>
    </row>
    <row r="52" spans="2:19">
      <c r="B52" t="s">
        <v>566</v>
      </c>
      <c r="D52" t="s">
        <v>1609</v>
      </c>
      <c r="E52" s="242">
        <f>IF(Sheet1!E340="","",Sheet1!E340)</f>
        <v>18.406613318332838</v>
      </c>
      <c r="F52" s="242">
        <f>IF(Sheet1!F340="","",Sheet1!F340)</f>
        <v>9.2349194415865323</v>
      </c>
      <c r="G52" s="242">
        <f>IF(Sheet1!G340="","",Sheet1!G340)</f>
        <v>18.547044760744051</v>
      </c>
      <c r="H52" s="242">
        <f>IF(Sheet1!H340="","",Sheet1!H340)</f>
        <v>22.781271583372462</v>
      </c>
      <c r="I52" s="242">
        <f>IF(Sheet1!I340="","",Sheet1!I340)</f>
        <v>32.81007759500153</v>
      </c>
      <c r="J52" s="242">
        <f>IF(Sheet1!J340="","",Sheet1!J340)</f>
        <v>40.162861951591054</v>
      </c>
      <c r="K52" s="242">
        <f>IF(Sheet1!K340="","",Sheet1!K340)</f>
        <v>49.036082424985317</v>
      </c>
      <c r="L52" s="242">
        <f>IF(Sheet1!L340="","",Sheet1!L340)</f>
        <v>61.572526019332216</v>
      </c>
      <c r="M52" s="242">
        <f>IF(Sheet1!M340="","",Sheet1!M340)</f>
        <v>77.12198312205112</v>
      </c>
      <c r="N52" s="242">
        <f>IF(Sheet1!N340="","",Sheet1!N340)</f>
        <v>85.807996073054269</v>
      </c>
      <c r="O52" s="242">
        <f>IF(Sheet1!O340="","",Sheet1!O340)</f>
        <v>125.18830192564567</v>
      </c>
      <c r="P52" s="242">
        <f>IF(Sheet1!P340="","",Sheet1!P340)</f>
        <v>170.47056843459688</v>
      </c>
      <c r="Q52" s="242">
        <f>IF(Sheet1!Q340="","",Sheet1!Q340)</f>
        <v>203.03595400664278</v>
      </c>
      <c r="R52" s="242">
        <f>IF(Sheet1!R340="","",Sheet1!R340)</f>
        <v>238.36412684163949</v>
      </c>
      <c r="S52" s="242">
        <f>IF(Sheet1!S340="","",Sheet1!S340)</f>
        <v>276.19957336102601</v>
      </c>
    </row>
    <row r="53" spans="2:19">
      <c r="B53" t="s">
        <v>567</v>
      </c>
      <c r="D53" t="s">
        <v>1610</v>
      </c>
      <c r="E53" s="242" t="str">
        <f>IF(Sheet1!E341="","",Sheet1!E341)</f>
        <v/>
      </c>
      <c r="F53" s="242">
        <f>IF(Sheet1!F341="","",Sheet1!F341)</f>
        <v>16.411519499770858</v>
      </c>
      <c r="G53" s="242">
        <f>IF(Sheet1!G341="","",Sheet1!G341)</f>
        <v>9.2349194415865323</v>
      </c>
      <c r="H53" s="242">
        <f>IF(Sheet1!H341="","",Sheet1!H341)</f>
        <v>18.547044760744051</v>
      </c>
      <c r="I53" s="242">
        <f>IF(Sheet1!I341="","",Sheet1!I341)</f>
        <v>22.781271583372462</v>
      </c>
      <c r="J53" s="242">
        <f>IF(Sheet1!J341="","",Sheet1!J341)</f>
        <v>32.81007759500153</v>
      </c>
      <c r="K53" s="242">
        <f>IF(Sheet1!K341="","",Sheet1!K341)</f>
        <v>35.003004034234586</v>
      </c>
      <c r="L53" s="242">
        <f>IF(Sheet1!L341="","",Sheet1!L341)</f>
        <v>49.036082424985317</v>
      </c>
      <c r="M53" s="242">
        <f>IF(Sheet1!M341="","",Sheet1!M341)</f>
        <v>61.572526019332216</v>
      </c>
      <c r="N53" s="242">
        <f>IF(Sheet1!N341="","",Sheet1!N341)</f>
        <v>77.12198312205112</v>
      </c>
      <c r="O53" s="242">
        <f>IF(Sheet1!O341="","",Sheet1!O341)</f>
        <v>85.807996073054269</v>
      </c>
      <c r="P53" s="242">
        <f>IF(Sheet1!P341="","",Sheet1!P341)</f>
        <v>125.18830192564567</v>
      </c>
      <c r="Q53" s="242">
        <f>IF(Sheet1!Q341="","",Sheet1!Q341)</f>
        <v>170.47056843459688</v>
      </c>
      <c r="R53" s="242">
        <f>IF(Sheet1!R341="","",Sheet1!R341)</f>
        <v>203.03595400664278</v>
      </c>
      <c r="S53" s="242">
        <f>IF(Sheet1!S341="","",Sheet1!S341)</f>
        <v>238.36412684163949</v>
      </c>
    </row>
    <row r="54" spans="2:19">
      <c r="B54" t="s">
        <v>568</v>
      </c>
      <c r="D54" t="s">
        <v>1611</v>
      </c>
      <c r="E54" s="242" t="str">
        <f>IF(Sheet1!E342="","",Sheet1!E342)</f>
        <v/>
      </c>
      <c r="F54" s="242" t="str">
        <f>IF(Sheet1!F342="","",Sheet1!F342)</f>
        <v/>
      </c>
      <c r="G54" s="242" t="str">
        <f>IF(Sheet1!G342="","",Sheet1!G342)</f>
        <v/>
      </c>
      <c r="H54" s="242" t="str">
        <f>IF(Sheet1!H342="","",Sheet1!H342)</f>
        <v/>
      </c>
      <c r="I54" s="242" t="str">
        <f>IF(Sheet1!I342="","",Sheet1!I342)</f>
        <v/>
      </c>
      <c r="J54" s="242">
        <f>IF(Sheet1!J342="","",Sheet1!J342)</f>
        <v>3.6678412741179042E-2</v>
      </c>
      <c r="K54" s="242">
        <f>IF(Sheet1!K342="","",Sheet1!K342)</f>
        <v>4.4781810433776548E-2</v>
      </c>
      <c r="L54" s="242">
        <f>IF(Sheet1!L342="","",Sheet1!L342)</f>
        <v>5.6230617369253166E-2</v>
      </c>
      <c r="M54" s="242">
        <f>IF(Sheet1!M342="","",Sheet1!M342)</f>
        <v>7.0431034814658552E-2</v>
      </c>
      <c r="N54" s="242">
        <f>IF(Sheet1!N342="","",Sheet1!N342)</f>
        <v>7.8363466733382889E-2</v>
      </c>
      <c r="O54" s="242">
        <f>IF(Sheet1!O342="","",Sheet1!O342)</f>
        <v>0.11432721637045268</v>
      </c>
      <c r="P54" s="242">
        <f>IF(Sheet1!P342="","",Sheet1!P342)</f>
        <v>0.15568088441515698</v>
      </c>
      <c r="Q54" s="242">
        <f>IF(Sheet1!Q342="","",Sheet1!Q342)</f>
        <v>0.18542096256314408</v>
      </c>
      <c r="R54" s="242">
        <f>IF(Sheet1!R342="","",Sheet1!R342)</f>
        <v>0.21768413410195386</v>
      </c>
      <c r="S54" s="242">
        <f>IF(Sheet1!S342="","",Sheet1!S342)</f>
        <v>0.25223705329774065</v>
      </c>
    </row>
    <row r="55" spans="2:19">
      <c r="B55" t="s">
        <v>569</v>
      </c>
      <c r="D55" t="s">
        <v>1612</v>
      </c>
      <c r="E55" s="242" t="str">
        <f>IF(Sheet1!E343="","",Sheet1!E343)</f>
        <v/>
      </c>
      <c r="F55" s="242" t="str">
        <f>IF(Sheet1!F343="","",Sheet1!F343)</f>
        <v/>
      </c>
      <c r="G55" s="242">
        <f>IF(Sheet1!G343="","",Sheet1!G343)</f>
        <v>1140.749</v>
      </c>
      <c r="H55" s="242">
        <f>IF(Sheet1!H343="","",Sheet1!H343)</f>
        <v>1401.1769999999999</v>
      </c>
      <c r="I55" s="242" t="str">
        <f>IF(Sheet1!I343="","",Sheet1!I343)</f>
        <v/>
      </c>
      <c r="J55" s="242" t="str">
        <f>IF(Sheet1!J343="","",Sheet1!J343)</f>
        <v/>
      </c>
      <c r="K55" s="242" t="str">
        <f>IF(Sheet1!K343="","",Sheet1!K343)</f>
        <v/>
      </c>
      <c r="L55" s="242" t="str">
        <f>IF(Sheet1!L343="","",Sheet1!L343)</f>
        <v/>
      </c>
      <c r="M55" s="242" t="str">
        <f>IF(Sheet1!M343="","",Sheet1!M343)</f>
        <v/>
      </c>
      <c r="N55" s="242" t="str">
        <f>IF(Sheet1!N343="","",Sheet1!N343)</f>
        <v/>
      </c>
      <c r="O55" s="242" t="str">
        <f>IF(Sheet1!O343="","",Sheet1!O343)</f>
        <v/>
      </c>
      <c r="P55" s="242" t="str">
        <f>IF(Sheet1!P343="","",Sheet1!P343)</f>
        <v/>
      </c>
      <c r="Q55" s="242" t="str">
        <f>IF(Sheet1!Q343="","",Sheet1!Q343)</f>
        <v/>
      </c>
      <c r="R55" s="242" t="str">
        <f>IF(Sheet1!R343="","",Sheet1!R343)</f>
        <v/>
      </c>
      <c r="S55" s="242" t="str">
        <f>IF(Sheet1!S343="","",Sheet1!S343)</f>
        <v/>
      </c>
    </row>
    <row r="56" spans="2:19">
      <c r="E56" s="242"/>
      <c r="F56" s="242"/>
      <c r="G56" s="242"/>
      <c r="H56" s="242"/>
      <c r="I56" s="242"/>
      <c r="J56" s="242"/>
      <c r="K56" s="242"/>
      <c r="L56" s="242"/>
      <c r="M56" s="242"/>
      <c r="N56" s="242"/>
      <c r="O56" s="242"/>
      <c r="P56" s="242"/>
      <c r="Q56" s="242"/>
      <c r="R56" s="242"/>
      <c r="S56" s="242"/>
    </row>
  </sheetData>
  <mergeCells count="6">
    <mergeCell ref="B42:S42"/>
    <mergeCell ref="A1:U2"/>
    <mergeCell ref="A3:U3"/>
    <mergeCell ref="B6:S6"/>
    <mergeCell ref="B16:S16"/>
    <mergeCell ref="B25:S25"/>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106"/>
  <sheetViews>
    <sheetView workbookViewId="0">
      <pane ySplit="5" topLeftCell="A6" activePane="bottomLeft" state="frozen"/>
      <selection pane="bottomLeft"/>
    </sheetView>
  </sheetViews>
  <sheetFormatPr defaultRowHeight="12.75"/>
  <cols>
    <col min="1" max="1" width="6" customWidth="1"/>
    <col min="2" max="2" width="53" customWidth="1"/>
    <col min="3" max="3" width="13" customWidth="1"/>
    <col min="4" max="4" width="14" customWidth="1"/>
    <col min="5" max="21" width="13" customWidth="1"/>
  </cols>
  <sheetData>
    <row r="1" spans="1:21" ht="23.1" customHeight="1">
      <c r="A1" s="5" t="s">
        <v>1613</v>
      </c>
      <c r="B1" s="5"/>
      <c r="C1" s="5"/>
      <c r="D1" s="5"/>
      <c r="E1" s="5"/>
      <c r="F1" s="5"/>
      <c r="G1" s="5"/>
      <c r="H1" s="5"/>
      <c r="I1" s="5"/>
      <c r="J1" s="5"/>
      <c r="K1" s="5"/>
      <c r="L1" s="5"/>
      <c r="M1" s="5"/>
      <c r="N1" s="5"/>
      <c r="O1" s="5"/>
      <c r="P1" s="5"/>
      <c r="Q1" s="5"/>
      <c r="R1" s="5"/>
      <c r="S1" s="5"/>
      <c r="T1" s="5"/>
      <c r="U1" s="5"/>
    </row>
    <row r="2" spans="1:21" ht="23.1" customHeight="1">
      <c r="A2" s="5"/>
      <c r="B2" s="5"/>
      <c r="C2" s="5"/>
      <c r="D2" s="5"/>
      <c r="E2" s="5"/>
      <c r="F2" s="5"/>
      <c r="G2" s="5"/>
      <c r="H2" s="5"/>
      <c r="I2" s="5"/>
      <c r="J2" s="5"/>
      <c r="K2" s="5"/>
      <c r="L2" s="5"/>
      <c r="M2" s="5"/>
      <c r="N2" s="5"/>
      <c r="O2" s="5"/>
      <c r="P2" s="5"/>
      <c r="Q2" s="5"/>
      <c r="R2" s="5"/>
      <c r="S2" s="5"/>
      <c r="T2" s="5"/>
      <c r="U2" s="5"/>
    </row>
    <row r="3" spans="1:21" ht="24" customHeight="1">
      <c r="A3" s="4" t="s">
        <v>1614</v>
      </c>
      <c r="B3" s="4"/>
      <c r="C3" s="4"/>
      <c r="D3" s="4"/>
      <c r="E3" s="4"/>
      <c r="F3" s="4"/>
      <c r="G3" s="4"/>
      <c r="H3" s="4"/>
      <c r="I3" s="4"/>
      <c r="J3" s="4"/>
      <c r="K3" s="4"/>
      <c r="L3" s="4"/>
      <c r="M3" s="4"/>
      <c r="N3" s="4"/>
      <c r="O3" s="4"/>
      <c r="P3" s="4"/>
      <c r="Q3" s="4"/>
      <c r="R3" s="4"/>
      <c r="S3" s="4"/>
      <c r="T3" s="4"/>
      <c r="U3" s="4"/>
    </row>
    <row r="5" spans="1:21" ht="26.1" customHeight="1">
      <c r="B5" s="241" t="s">
        <v>1233</v>
      </c>
      <c r="C5" s="241" t="s">
        <v>1234</v>
      </c>
      <c r="D5" s="241" t="s">
        <v>1235</v>
      </c>
      <c r="E5" s="241" t="str">
        <f>Sheet1!E40</f>
        <v>FY21A</v>
      </c>
      <c r="F5" s="241" t="str">
        <f>Sheet1!F40</f>
        <v>FY22A</v>
      </c>
      <c r="G5" s="241" t="str">
        <f>Sheet1!G40</f>
        <v>FY23A</v>
      </c>
      <c r="H5" s="241" t="str">
        <f>Sheet1!H40</f>
        <v>FY24A</v>
      </c>
      <c r="I5" s="241" t="str">
        <f>Sheet1!I40</f>
        <v>FY25A</v>
      </c>
      <c r="J5" s="241" t="str">
        <f>Sheet1!J40</f>
        <v>FY26E</v>
      </c>
      <c r="K5" s="241" t="str">
        <f>Sheet1!K40</f>
        <v>FY27E</v>
      </c>
      <c r="L5" s="241" t="str">
        <f>Sheet1!L40</f>
        <v>FY28E</v>
      </c>
      <c r="M5" s="241" t="str">
        <f>Sheet1!M40</f>
        <v>FY29E</v>
      </c>
      <c r="N5" s="241" t="str">
        <f>Sheet1!N40</f>
        <v>FY30E</v>
      </c>
      <c r="O5" s="241" t="str">
        <f>Sheet1!O40</f>
        <v>FY31E</v>
      </c>
      <c r="P5" s="241" t="str">
        <f>Sheet1!P40</f>
        <v>FY32E</v>
      </c>
      <c r="Q5" s="241" t="str">
        <f>Sheet1!Q40</f>
        <v>FY33E</v>
      </c>
      <c r="R5" s="241" t="str">
        <f>Sheet1!R40</f>
        <v>FY34E</v>
      </c>
      <c r="S5" s="241" t="str">
        <f>Sheet1!S40</f>
        <v>FY35E</v>
      </c>
    </row>
    <row r="6" spans="1:21" ht="20.100000000000001" customHeight="1">
      <c r="B6" s="3" t="s">
        <v>1289</v>
      </c>
      <c r="C6" s="3"/>
      <c r="D6" s="3"/>
      <c r="E6" s="2"/>
      <c r="F6" s="2"/>
      <c r="G6" s="2"/>
      <c r="H6" s="2"/>
      <c r="I6" s="2"/>
      <c r="J6" s="2"/>
      <c r="K6" s="2"/>
      <c r="L6" s="2"/>
      <c r="M6" s="2"/>
      <c r="N6" s="2"/>
      <c r="O6" s="2"/>
      <c r="P6" s="2"/>
      <c r="Q6" s="2"/>
      <c r="R6" s="2"/>
      <c r="S6" s="2"/>
    </row>
    <row r="7" spans="1:21">
      <c r="B7" t="s">
        <v>353</v>
      </c>
      <c r="D7" t="s">
        <v>1615</v>
      </c>
      <c r="E7" s="242" t="str">
        <f>IF(Sheet1!E140="","",Sheet1!E140)</f>
        <v>FY21A</v>
      </c>
      <c r="F7" s="242" t="str">
        <f>IF(Sheet1!F140="","",Sheet1!F140)</f>
        <v>FY22A</v>
      </c>
      <c r="G7" s="242" t="str">
        <f>IF(Sheet1!G140="","",Sheet1!G140)</f>
        <v>FY23A</v>
      </c>
      <c r="H7" s="242" t="str">
        <f>IF(Sheet1!H140="","",Sheet1!H140)</f>
        <v>FY24A</v>
      </c>
      <c r="I7" s="242" t="str">
        <f>IF(Sheet1!I140="","",Sheet1!I140)</f>
        <v>FY25A</v>
      </c>
      <c r="J7" s="242" t="str">
        <f>IF(Sheet1!J140="","",Sheet1!J140)</f>
        <v>FY26E</v>
      </c>
      <c r="K7" s="242" t="str">
        <f>IF(Sheet1!K140="","",Sheet1!K140)</f>
        <v>FY27E</v>
      </c>
      <c r="L7" s="242" t="str">
        <f>IF(Sheet1!L140="","",Sheet1!L140)</f>
        <v>FY28E</v>
      </c>
      <c r="M7" s="242" t="str">
        <f>IF(Sheet1!M140="","",Sheet1!M140)</f>
        <v>FY29E</v>
      </c>
      <c r="N7" s="242" t="str">
        <f>IF(Sheet1!N140="","",Sheet1!N140)</f>
        <v>FY30E</v>
      </c>
      <c r="O7" s="242" t="str">
        <f>IF(Sheet1!O140="","",Sheet1!O140)</f>
        <v>FY31E</v>
      </c>
      <c r="P7" s="242" t="str">
        <f>IF(Sheet1!P140="","",Sheet1!P140)</f>
        <v>FY32E</v>
      </c>
      <c r="Q7" s="242" t="str">
        <f>IF(Sheet1!Q140="","",Sheet1!Q140)</f>
        <v>FY33E</v>
      </c>
      <c r="R7" s="242" t="str">
        <f>IF(Sheet1!R140="","",Sheet1!R140)</f>
        <v>FY34E</v>
      </c>
      <c r="S7" s="242" t="str">
        <f>IF(Sheet1!S140="","",Sheet1!S140)</f>
        <v>FY35E</v>
      </c>
    </row>
    <row r="8" spans="1:21">
      <c r="B8" t="s">
        <v>354</v>
      </c>
      <c r="D8" t="s">
        <v>1290</v>
      </c>
      <c r="E8" s="242">
        <f>IF(Sheet1!E141="","",Sheet1!E141)</f>
        <v>17808.432000000001</v>
      </c>
      <c r="F8" s="242">
        <f>IF(Sheet1!F141="","",Sheet1!F141)</f>
        <v>19622.865000000002</v>
      </c>
      <c r="G8" s="242">
        <f>IF(Sheet1!G141="","",Sheet1!G141)</f>
        <v>22251.742999999999</v>
      </c>
      <c r="H8" s="242">
        <f>IF(Sheet1!H141="","",Sheet1!H141)</f>
        <v>25298.203000000001</v>
      </c>
      <c r="I8" s="242">
        <f>IF(Sheet1!I141="","",Sheet1!I141)</f>
        <v>28265.491000000002</v>
      </c>
      <c r="J8" s="242">
        <f>IF(Sheet1!J141="","",Sheet1!J141)</f>
        <v>29781.904506888197</v>
      </c>
      <c r="K8" s="242">
        <f>IF(Sheet1!K141="","",Sheet1!K141)</f>
        <v>33832.447749685598</v>
      </c>
      <c r="L8" s="242">
        <f>IF(Sheet1!L141="","",Sheet1!L141)</f>
        <v>37885.33409210309</v>
      </c>
      <c r="M8" s="242">
        <f>IF(Sheet1!M141="","",Sheet1!M141)</f>
        <v>41841.252306622657</v>
      </c>
      <c r="N8" s="242">
        <f>IF(Sheet1!N141="","",Sheet1!N141)</f>
        <v>46062.6688438001</v>
      </c>
      <c r="O8" s="242">
        <f>IF(Sheet1!O141="","",Sheet1!O141)</f>
        <v>50371.515213801627</v>
      </c>
      <c r="P8" s="242">
        <f>IF(Sheet1!P141="","",Sheet1!P141)</f>
        <v>54759.066945994738</v>
      </c>
      <c r="Q8" s="242">
        <f>IF(Sheet1!Q141="","",Sheet1!Q141)</f>
        <v>59174.157290747855</v>
      </c>
      <c r="R8" s="242">
        <f>IF(Sheet1!R141="","",Sheet1!R141)</f>
        <v>63560.252912794611</v>
      </c>
      <c r="S8" s="242">
        <f>IF(Sheet1!S141="","",Sheet1!S141)</f>
        <v>67856.48872409547</v>
      </c>
    </row>
    <row r="9" spans="1:21">
      <c r="B9" t="s">
        <v>356</v>
      </c>
      <c r="D9" t="s">
        <v>1291</v>
      </c>
      <c r="E9" s="242">
        <f>IF(Sheet1!E142="","",Sheet1!E142)</f>
        <v>4378.8069999999998</v>
      </c>
      <c r="F9" s="242">
        <f>IF(Sheet1!F142="","",Sheet1!F142)</f>
        <v>4032.1689999999999</v>
      </c>
      <c r="G9" s="242">
        <f>IF(Sheet1!G142="","",Sheet1!G142)</f>
        <v>5993.1679999999997</v>
      </c>
      <c r="H9" s="242">
        <f>IF(Sheet1!H142="","",Sheet1!H142)</f>
        <v>7889.0290000000005</v>
      </c>
      <c r="I9" s="242">
        <f>IF(Sheet1!I142="","",Sheet1!I142)</f>
        <v>9136.4050000000007</v>
      </c>
      <c r="J9" s="242">
        <f>IF(Sheet1!J142="","",Sheet1!J142)</f>
        <v>8654.9786196447658</v>
      </c>
      <c r="K9" s="242">
        <f>IF(Sheet1!K142="","",Sheet1!K142)</f>
        <v>9059.8207590841266</v>
      </c>
      <c r="L9" s="242">
        <f>IF(Sheet1!L142="","",Sheet1!L142)</f>
        <v>9318.892539323755</v>
      </c>
      <c r="M9" s="242">
        <f>IF(Sheet1!M142="","",Sheet1!M142)</f>
        <v>9900.3845362477732</v>
      </c>
      <c r="N9" s="242">
        <f>IF(Sheet1!N142="","",Sheet1!N142)</f>
        <v>10942.059543218493</v>
      </c>
      <c r="O9" s="242">
        <f>IF(Sheet1!O142="","",Sheet1!O142)</f>
        <v>11935.533423368192</v>
      </c>
      <c r="P9" s="242">
        <f>IF(Sheet1!P142="","",Sheet1!P142)</f>
        <v>12878.930269907663</v>
      </c>
      <c r="Q9" s="242">
        <f>IF(Sheet1!Q142="","",Sheet1!Q142)</f>
        <v>13828.248377741118</v>
      </c>
      <c r="R9" s="242">
        <f>IF(Sheet1!R142="","",Sheet1!R142)</f>
        <v>14771.332136298011</v>
      </c>
      <c r="S9" s="242">
        <f>IF(Sheet1!S142="","",Sheet1!S142)</f>
        <v>15695.094535868686</v>
      </c>
    </row>
    <row r="10" spans="1:21">
      <c r="B10" t="s">
        <v>358</v>
      </c>
      <c r="D10" t="s">
        <v>1292</v>
      </c>
      <c r="E10" s="242">
        <f>IF(Sheet1!E143="","",Sheet1!E143)</f>
        <v>13429.625</v>
      </c>
      <c r="F10" s="242">
        <f>IF(Sheet1!F143="","",Sheet1!F143)</f>
        <v>15590.696000000002</v>
      </c>
      <c r="G10" s="242">
        <f>IF(Sheet1!G143="","",Sheet1!G143)</f>
        <v>16258.574999999999</v>
      </c>
      <c r="H10" s="242">
        <f>IF(Sheet1!H143="","",Sheet1!H143)</f>
        <v>17409.173999999999</v>
      </c>
      <c r="I10" s="242">
        <f>IF(Sheet1!I143="","",Sheet1!I143)</f>
        <v>19129.086000000003</v>
      </c>
      <c r="J10" s="242">
        <f>IF(Sheet1!J143="","",Sheet1!J143)</f>
        <v>21126.925887243429</v>
      </c>
      <c r="K10" s="242">
        <f>IF(Sheet1!K143="","",Sheet1!K143)</f>
        <v>24772.626990601471</v>
      </c>
      <c r="L10" s="242">
        <f>IF(Sheet1!L143="","",Sheet1!L143)</f>
        <v>28566.441552779335</v>
      </c>
      <c r="M10" s="242">
        <f>IF(Sheet1!M143="","",Sheet1!M143)</f>
        <v>31940.867770374884</v>
      </c>
      <c r="N10" s="242">
        <f>IF(Sheet1!N143="","",Sheet1!N143)</f>
        <v>35120.609300581607</v>
      </c>
      <c r="O10" s="242">
        <f>IF(Sheet1!O143="","",Sheet1!O143)</f>
        <v>38435.981790433434</v>
      </c>
      <c r="P10" s="242">
        <f>IF(Sheet1!P143="","",Sheet1!P143)</f>
        <v>41880.136676087073</v>
      </c>
      <c r="Q10" s="242">
        <f>IF(Sheet1!Q143="","",Sheet1!Q143)</f>
        <v>45345.908913006737</v>
      </c>
      <c r="R10" s="242">
        <f>IF(Sheet1!R143="","",Sheet1!R143)</f>
        <v>48788.920776496598</v>
      </c>
      <c r="S10" s="242">
        <f>IF(Sheet1!S143="","",Sheet1!S143)</f>
        <v>52161.394188226783</v>
      </c>
    </row>
    <row r="11" spans="1:21">
      <c r="B11" t="s">
        <v>359</v>
      </c>
      <c r="D11" t="s">
        <v>1293</v>
      </c>
      <c r="E11" s="242">
        <f>IF(Sheet1!E144="","",Sheet1!E144)</f>
        <v>3012.2460000000001</v>
      </c>
      <c r="F11" s="242">
        <f>IF(Sheet1!F144="","",Sheet1!F144)</f>
        <v>3701.1109999999999</v>
      </c>
      <c r="G11" s="242">
        <f>IF(Sheet1!G144="","",Sheet1!G144)</f>
        <v>4204.4660000000003</v>
      </c>
      <c r="H11" s="242">
        <f>IF(Sheet1!H144="","",Sheet1!H144)</f>
        <v>5556.4790000000003</v>
      </c>
      <c r="I11" s="242">
        <f>IF(Sheet1!I144="","",Sheet1!I144)</f>
        <v>6936.5959999999995</v>
      </c>
      <c r="J11" s="242">
        <f>IF(Sheet1!J144="","",Sheet1!J144)</f>
        <v>8670.744999999999</v>
      </c>
      <c r="K11" s="242">
        <f>IF(Sheet1!K144="","",Sheet1!K144)</f>
        <v>9971.3567499999972</v>
      </c>
      <c r="L11" s="242">
        <f>IF(Sheet1!L144="","",Sheet1!L144)</f>
        <v>11167.919559999998</v>
      </c>
      <c r="M11" s="242">
        <f>IF(Sheet1!M144="","",Sheet1!M144)</f>
        <v>12284.711515999999</v>
      </c>
      <c r="N11" s="242">
        <f>IF(Sheet1!N144="","",Sheet1!N144)</f>
        <v>13513.1826676</v>
      </c>
      <c r="O11" s="242">
        <f>IF(Sheet1!O144="","",Sheet1!O144)</f>
        <v>14783.421838354401</v>
      </c>
      <c r="P11" s="242">
        <f>IF(Sheet1!P144="","",Sheet1!P144)</f>
        <v>16084.362960129589</v>
      </c>
      <c r="Q11" s="242">
        <f>IF(Sheet1!Q144="","",Sheet1!Q144)</f>
        <v>17403.280722860218</v>
      </c>
      <c r="R11" s="242">
        <f>IF(Sheet1!R144="","",Sheet1!R144)</f>
        <v>18725.930057797596</v>
      </c>
      <c r="S11" s="242">
        <f>IF(Sheet1!S144="","",Sheet1!S144)</f>
        <v>20036.745161843428</v>
      </c>
    </row>
    <row r="12" spans="1:21">
      <c r="B12" t="s">
        <v>361</v>
      </c>
      <c r="D12" t="s">
        <v>1294</v>
      </c>
      <c r="E12" s="242">
        <f>IF(Sheet1!E145="","",Sheet1!E145)</f>
        <v>16441.870999999999</v>
      </c>
      <c r="F12" s="242">
        <f>IF(Sheet1!F145="","",Sheet1!F145)</f>
        <v>19291.807000000001</v>
      </c>
      <c r="G12" s="242">
        <f>IF(Sheet1!G145="","",Sheet1!G145)</f>
        <v>20463.040999999997</v>
      </c>
      <c r="H12" s="242">
        <f>IF(Sheet1!H145="","",Sheet1!H145)</f>
        <v>22965.652999999998</v>
      </c>
      <c r="I12" s="242">
        <f>IF(Sheet1!I145="","",Sheet1!I145)</f>
        <v>26065.682000000001</v>
      </c>
      <c r="J12" s="242">
        <f>IF(Sheet1!J145="","",Sheet1!J145)</f>
        <v>29797.670887243428</v>
      </c>
      <c r="K12" s="242">
        <f>IF(Sheet1!K145="","",Sheet1!K145)</f>
        <v>34743.98374060147</v>
      </c>
      <c r="L12" s="242">
        <f>IF(Sheet1!L145="","",Sheet1!L145)</f>
        <v>39734.361112779334</v>
      </c>
      <c r="M12" s="242">
        <f>IF(Sheet1!M145="","",Sheet1!M145)</f>
        <v>44225.579286374879</v>
      </c>
      <c r="N12" s="242">
        <f>IF(Sheet1!N145="","",Sheet1!N145)</f>
        <v>48633.791968181606</v>
      </c>
      <c r="O12" s="242">
        <f>IF(Sheet1!O145="","",Sheet1!O145)</f>
        <v>53219.403628787833</v>
      </c>
      <c r="P12" s="242">
        <f>IF(Sheet1!P145="","",Sheet1!P145)</f>
        <v>57964.499636216664</v>
      </c>
      <c r="Q12" s="242">
        <f>IF(Sheet1!Q145="","",Sheet1!Q145)</f>
        <v>62749.189635866955</v>
      </c>
      <c r="R12" s="242">
        <f>IF(Sheet1!R145="","",Sheet1!R145)</f>
        <v>67514.850834294193</v>
      </c>
      <c r="S12" s="242">
        <f>IF(Sheet1!S145="","",Sheet1!S145)</f>
        <v>72198.139350070211</v>
      </c>
    </row>
    <row r="13" spans="1:21">
      <c r="B13" t="s">
        <v>1295</v>
      </c>
      <c r="D13" t="s">
        <v>1296</v>
      </c>
      <c r="E13" s="242">
        <f>IF(Sheet1!E146="","",Sheet1!E146)</f>
        <v>4400</v>
      </c>
      <c r="F13" s="242">
        <f>IF(Sheet1!F146="","",Sheet1!F146)</f>
        <v>4847</v>
      </c>
      <c r="G13" s="242">
        <f>IF(Sheet1!G146="","",Sheet1!G146)</f>
        <v>4944</v>
      </c>
      <c r="H13" s="242">
        <f>IF(Sheet1!H146="","",Sheet1!H146)</f>
        <v>5141</v>
      </c>
      <c r="I13" s="242">
        <f>IF(Sheet1!I146="","",Sheet1!I146)</f>
        <v>5380</v>
      </c>
      <c r="J13" s="242">
        <f>IF(Sheet1!J146="","",Sheet1!J146)</f>
        <v>6377.0217237208553</v>
      </c>
      <c r="K13" s="242">
        <f>IF(Sheet1!K146="","",Sheet1!K146)</f>
        <v>7094.503900505234</v>
      </c>
      <c r="L13" s="242">
        <f>IF(Sheet1!L146="","",Sheet1!L146)</f>
        <v>8035.4932111697026</v>
      </c>
      <c r="M13" s="242">
        <f>IF(Sheet1!M146="","",Sheet1!M146)</f>
        <v>8856.9212119861349</v>
      </c>
      <c r="N13" s="242">
        <f>IF(Sheet1!N146="","",Sheet1!N146)</f>
        <v>9644.2528030548328</v>
      </c>
      <c r="O13" s="242">
        <f>IF(Sheet1!O146="","",Sheet1!O146)</f>
        <v>10553.595799390723</v>
      </c>
      <c r="P13" s="242">
        <f>IF(Sheet1!P146="","",Sheet1!P146)</f>
        <v>11494.565105266562</v>
      </c>
      <c r="Q13" s="242">
        <f>IF(Sheet1!Q146="","",Sheet1!Q146)</f>
        <v>12443.386039712012</v>
      </c>
      <c r="R13" s="242">
        <f>IF(Sheet1!R146="","",Sheet1!R146)</f>
        <v>13388.433495633431</v>
      </c>
      <c r="S13" s="242">
        <f>IF(Sheet1!S146="","",Sheet1!S146)</f>
        <v>14317.146157507246</v>
      </c>
    </row>
    <row r="14" spans="1:21">
      <c r="B14" t="s">
        <v>1297</v>
      </c>
      <c r="D14" t="s">
        <v>1298</v>
      </c>
      <c r="E14" s="242">
        <f>IF(Sheet1!E147="","",Sheet1!E147)</f>
        <v>3982.7729999999992</v>
      </c>
      <c r="F14" s="242">
        <f>IF(Sheet1!F147="","",Sheet1!F147)</f>
        <v>4531.3359999999993</v>
      </c>
      <c r="G14" s="242">
        <f>IF(Sheet1!G147="","",Sheet1!G147)</f>
        <v>4599.2039999999997</v>
      </c>
      <c r="H14" s="242">
        <f>IF(Sheet1!H147="","",Sheet1!H147)</f>
        <v>5708.6419999999998</v>
      </c>
      <c r="I14" s="242">
        <f>IF(Sheet1!I147="","",Sheet1!I147)</f>
        <v>7196.7139999999999</v>
      </c>
      <c r="J14" s="242">
        <f>IF(Sheet1!J147="","",Sheet1!J147)</f>
        <v>8577.7787063024407</v>
      </c>
      <c r="K14" s="242">
        <f>IF(Sheet1!K147="","",Sheet1!K147)</f>
        <v>9474.1433616428239</v>
      </c>
      <c r="L14" s="242">
        <f>IF(Sheet1!L147="","",Sheet1!L147)</f>
        <v>10714.284256661575</v>
      </c>
      <c r="M14" s="242">
        <f>IF(Sheet1!M147="","",Sheet1!M147)</f>
        <v>11791.036156394877</v>
      </c>
      <c r="N14" s="242">
        <f>IF(Sheet1!N147="","",Sheet1!N147)</f>
        <v>12818.633859785436</v>
      </c>
      <c r="O14" s="242">
        <f>IF(Sheet1!O147="","",Sheet1!O147)</f>
        <v>14027.284769402586</v>
      </c>
      <c r="P14" s="242">
        <f>IF(Sheet1!P147="","",Sheet1!P147)</f>
        <v>15277.971707171182</v>
      </c>
      <c r="Q14" s="242">
        <f>IF(Sheet1!Q147="","",Sheet1!Q147)</f>
        <v>16539.094616900711</v>
      </c>
      <c r="R14" s="242">
        <f>IF(Sheet1!R147="","",Sheet1!R147)</f>
        <v>17795.202017335218</v>
      </c>
      <c r="S14" s="242">
        <f>IF(Sheet1!S147="","",Sheet1!S147)</f>
        <v>19029.598068187002</v>
      </c>
    </row>
    <row r="15" spans="1:21">
      <c r="B15" t="s">
        <v>1299</v>
      </c>
      <c r="D15" t="s">
        <v>1300</v>
      </c>
      <c r="E15" s="242">
        <f>IF(Sheet1!E148="","",Sheet1!E148)</f>
        <v>400</v>
      </c>
      <c r="F15" s="242">
        <f>IF(Sheet1!F148="","",Sheet1!F148)</f>
        <v>517</v>
      </c>
      <c r="G15" s="242">
        <f>IF(Sheet1!G148="","",Sheet1!G148)</f>
        <v>706</v>
      </c>
      <c r="H15" s="242">
        <f>IF(Sheet1!H148="","",Sheet1!H148)</f>
        <v>944</v>
      </c>
      <c r="I15" s="242">
        <f>IF(Sheet1!I148="","",Sheet1!I148)</f>
        <v>1124</v>
      </c>
      <c r="J15" s="242">
        <f>IF(Sheet1!J148="","",Sheet1!J148)</f>
        <v>1284.9302035243741</v>
      </c>
      <c r="K15" s="242">
        <f>IF(Sheet1!K148="","",Sheet1!K148)</f>
        <v>1498.2242829647064</v>
      </c>
      <c r="L15" s="242">
        <f>IF(Sheet1!L148="","",Sheet1!L148)</f>
        <v>1713.418505250082</v>
      </c>
      <c r="M15" s="242">
        <f>IF(Sheet1!M148="","",Sheet1!M148)</f>
        <v>1907.0880676701788</v>
      </c>
      <c r="N15" s="242">
        <f>IF(Sheet1!N148="","",Sheet1!N148)</f>
        <v>2097.1782810914415</v>
      </c>
      <c r="O15" s="242">
        <f>IF(Sheet1!O148="","",Sheet1!O148)</f>
        <v>2294.9182637445483</v>
      </c>
      <c r="P15" s="242">
        <f>IF(Sheet1!P148="","",Sheet1!P148)</f>
        <v>2499.5355038516745</v>
      </c>
      <c r="Q15" s="242">
        <f>IF(Sheet1!Q148="","",Sheet1!Q148)</f>
        <v>2705.8601095000872</v>
      </c>
      <c r="R15" s="242">
        <f>IF(Sheet1!R148="","",Sheet1!R148)</f>
        <v>2911.3641583499207</v>
      </c>
      <c r="S15" s="242">
        <f>IF(Sheet1!S148="","",Sheet1!S148)</f>
        <v>3113.3161460912061</v>
      </c>
    </row>
    <row r="16" spans="1:21">
      <c r="B16" t="s">
        <v>368</v>
      </c>
      <c r="D16" t="s">
        <v>1301</v>
      </c>
      <c r="E16" s="242">
        <f>IF(Sheet1!E149="","",Sheet1!E149)</f>
        <v>8782.7729999999992</v>
      </c>
      <c r="F16" s="242">
        <f>IF(Sheet1!F149="","",Sheet1!F149)</f>
        <v>9895.3359999999993</v>
      </c>
      <c r="G16" s="242">
        <f>IF(Sheet1!G149="","",Sheet1!G149)</f>
        <v>10249.204</v>
      </c>
      <c r="H16" s="242">
        <f>IF(Sheet1!H149="","",Sheet1!H149)</f>
        <v>11793.642</v>
      </c>
      <c r="I16" s="242">
        <f>IF(Sheet1!I149="","",Sheet1!I149)</f>
        <v>13700.714</v>
      </c>
      <c r="J16" s="242">
        <f>IF(Sheet1!J149="","",Sheet1!J149)</f>
        <v>16239.73063354767</v>
      </c>
      <c r="K16" s="242">
        <f>IF(Sheet1!K149="","",Sheet1!K149)</f>
        <v>18066.871545112765</v>
      </c>
      <c r="L16" s="242">
        <f>IF(Sheet1!L149="","",Sheet1!L149)</f>
        <v>20463.195973081358</v>
      </c>
      <c r="M16" s="242">
        <f>IF(Sheet1!M149="","",Sheet1!M149)</f>
        <v>22555.04543605119</v>
      </c>
      <c r="N16" s="242">
        <f>IF(Sheet1!N149="","",Sheet1!N149)</f>
        <v>24560.064943931709</v>
      </c>
      <c r="O16" s="242">
        <f>IF(Sheet1!O149="","",Sheet1!O149)</f>
        <v>26875.798832537857</v>
      </c>
      <c r="P16" s="242">
        <f>IF(Sheet1!P149="","",Sheet1!P149)</f>
        <v>29272.072316289417</v>
      </c>
      <c r="Q16" s="242">
        <f>IF(Sheet1!Q149="","",Sheet1!Q149)</f>
        <v>31688.340766112811</v>
      </c>
      <c r="R16" s="242">
        <f>IF(Sheet1!R149="","",Sheet1!R149)</f>
        <v>34094.999671318568</v>
      </c>
      <c r="S16" s="242">
        <f>IF(Sheet1!S149="","",Sheet1!S149)</f>
        <v>36460.060371785454</v>
      </c>
    </row>
    <row r="17" spans="2:19">
      <c r="B17" t="s">
        <v>369</v>
      </c>
      <c r="D17" t="s">
        <v>1302</v>
      </c>
      <c r="E17" s="242">
        <f>IF(Sheet1!E150="","",Sheet1!E150)</f>
        <v>7659.098</v>
      </c>
      <c r="F17" s="242">
        <f>IF(Sheet1!F150="","",Sheet1!F150)</f>
        <v>9396.4710000000014</v>
      </c>
      <c r="G17" s="242">
        <f>IF(Sheet1!G150="","",Sheet1!G150)</f>
        <v>10213.836999999998</v>
      </c>
      <c r="H17" s="242">
        <f>IF(Sheet1!H150="","",Sheet1!H150)</f>
        <v>11172.010999999999</v>
      </c>
      <c r="I17" s="242">
        <f>IF(Sheet1!I150="","",Sheet1!I150)</f>
        <v>12364.968000000001</v>
      </c>
      <c r="J17" s="242">
        <f>IF(Sheet1!J150="","",Sheet1!J150)</f>
        <v>13557.940253695759</v>
      </c>
      <c r="K17" s="242">
        <f>IF(Sheet1!K150="","",Sheet1!K150)</f>
        <v>16677.112195488706</v>
      </c>
      <c r="L17" s="242">
        <f>IF(Sheet1!L150="","",Sheet1!L150)</f>
        <v>19271.165139697976</v>
      </c>
      <c r="M17" s="242">
        <f>IF(Sheet1!M150="","",Sheet1!M150)</f>
        <v>21670.533850323689</v>
      </c>
      <c r="N17" s="242">
        <f>IF(Sheet1!N150="","",Sheet1!N150)</f>
        <v>24073.727024249896</v>
      </c>
      <c r="O17" s="242">
        <f>IF(Sheet1!O150="","",Sheet1!O150)</f>
        <v>26343.604796249976</v>
      </c>
      <c r="P17" s="242">
        <f>IF(Sheet1!P150="","",Sheet1!P150)</f>
        <v>28692.427319927247</v>
      </c>
      <c r="Q17" s="242">
        <f>IF(Sheet1!Q150="","",Sheet1!Q150)</f>
        <v>31060.848869754143</v>
      </c>
      <c r="R17" s="242">
        <f>IF(Sheet1!R150="","",Sheet1!R150)</f>
        <v>33419.851162975625</v>
      </c>
      <c r="S17" s="242">
        <f>IF(Sheet1!S150="","",Sheet1!S150)</f>
        <v>35738.078978284757</v>
      </c>
    </row>
    <row r="18" spans="2:19">
      <c r="B18" t="s">
        <v>370</v>
      </c>
      <c r="D18" t="s">
        <v>1303</v>
      </c>
      <c r="E18" s="242">
        <f>IF(Sheet1!E151="","",Sheet1!E151)</f>
        <v>3551.2489999999998</v>
      </c>
      <c r="F18" s="242">
        <f>IF(Sheet1!F151="","",Sheet1!F151)</f>
        <v>3748.797</v>
      </c>
      <c r="G18" s="242">
        <f>IF(Sheet1!G151="","",Sheet1!G151)</f>
        <v>2622.4789999999998</v>
      </c>
      <c r="H18" s="242">
        <f>IF(Sheet1!H151="","",Sheet1!H151)</f>
        <v>1893.867</v>
      </c>
      <c r="I18" s="242">
        <f>IF(Sheet1!I151="","",Sheet1!I151)</f>
        <v>2356.951</v>
      </c>
      <c r="J18" s="242">
        <f>IF(Sheet1!J151="","",Sheet1!J151)</f>
        <v>2392.3887400000003</v>
      </c>
      <c r="K18" s="242">
        <f>IF(Sheet1!K151="","",Sheet1!K151)</f>
        <v>2912.2046077499999</v>
      </c>
      <c r="L18" s="242">
        <f>IF(Sheet1!L151="","",Sheet1!L151)</f>
        <v>3267.4523352449996</v>
      </c>
      <c r="M18" s="242">
        <f>IF(Sheet1!M151="","",Sheet1!M151)</f>
        <v>3629.7885093433506</v>
      </c>
      <c r="N18" s="242">
        <f>IF(Sheet1!N151="","",Sheet1!N151)</f>
        <v>4001.1077436496157</v>
      </c>
      <c r="O18" s="242">
        <f>IF(Sheet1!O151="","",Sheet1!O151)</f>
        <v>4380.1173772078519</v>
      </c>
      <c r="P18" s="242">
        <f>IF(Sheet1!P151="","",Sheet1!P151)</f>
        <v>4766.0499984806138</v>
      </c>
      <c r="Q18" s="242">
        <f>IF(Sheet1!Q151="","",Sheet1!Q151)</f>
        <v>5154.404938527081</v>
      </c>
      <c r="R18" s="242">
        <f>IF(Sheet1!R151="","",Sheet1!R151)</f>
        <v>5540.2094791662803</v>
      </c>
      <c r="S18" s="242">
        <f>IF(Sheet1!S151="","",Sheet1!S151)</f>
        <v>5918.1098777178149</v>
      </c>
    </row>
    <row r="19" spans="2:19">
      <c r="B19" t="s">
        <v>372</v>
      </c>
      <c r="D19" t="s">
        <v>1304</v>
      </c>
      <c r="E19" s="242">
        <f>IF(Sheet1!E152="","",Sheet1!E152)</f>
        <v>4107.8490000000002</v>
      </c>
      <c r="F19" s="242">
        <f>IF(Sheet1!F152="","",Sheet1!F152)</f>
        <v>5647.6740000000009</v>
      </c>
      <c r="G19" s="242">
        <f>IF(Sheet1!G152="","",Sheet1!G152)</f>
        <v>7591.3579999999984</v>
      </c>
      <c r="H19" s="242">
        <f>IF(Sheet1!H152="","",Sheet1!H152)</f>
        <v>9278.1439999999984</v>
      </c>
      <c r="I19" s="242">
        <f>IF(Sheet1!I152="","",Sheet1!I152)</f>
        <v>10008.017</v>
      </c>
      <c r="J19" s="242">
        <f>IF(Sheet1!J152="","",Sheet1!J152)</f>
        <v>11165.551513695758</v>
      </c>
      <c r="K19" s="242">
        <f>IF(Sheet1!K152="","",Sheet1!K152)</f>
        <v>13764.907587738706</v>
      </c>
      <c r="L19" s="242">
        <f>IF(Sheet1!L152="","",Sheet1!L152)</f>
        <v>16003.712804452976</v>
      </c>
      <c r="M19" s="242">
        <f>IF(Sheet1!M152="","",Sheet1!M152)</f>
        <v>18040.745340980338</v>
      </c>
      <c r="N19" s="242">
        <f>IF(Sheet1!N152="","",Sheet1!N152)</f>
        <v>20072.61928060028</v>
      </c>
      <c r="O19" s="242">
        <f>IF(Sheet1!O152="","",Sheet1!O152)</f>
        <v>21963.487419042125</v>
      </c>
      <c r="P19" s="242">
        <f>IF(Sheet1!P152="","",Sheet1!P152)</f>
        <v>23926.377321446635</v>
      </c>
      <c r="Q19" s="242">
        <f>IF(Sheet1!Q152="","",Sheet1!Q152)</f>
        <v>25906.443931227062</v>
      </c>
      <c r="R19" s="242">
        <f>IF(Sheet1!R152="","",Sheet1!R152)</f>
        <v>27879.641683809343</v>
      </c>
      <c r="S19" s="242">
        <f>IF(Sheet1!S152="","",Sheet1!S152)</f>
        <v>29819.969100566941</v>
      </c>
    </row>
    <row r="20" spans="2:19">
      <c r="B20" t="s">
        <v>373</v>
      </c>
      <c r="D20" t="s">
        <v>1255</v>
      </c>
      <c r="E20" s="242">
        <f>IF(Sheet1!E153="","",Sheet1!E153)</f>
        <v>1079.6440000000002</v>
      </c>
      <c r="F20" s="242">
        <f>IF(Sheet1!F153="","",Sheet1!F153)</f>
        <v>1387.6740000000009</v>
      </c>
      <c r="G20" s="242">
        <f>IF(Sheet1!G153="","",Sheet1!G153)</f>
        <v>1887.614999999998</v>
      </c>
      <c r="H20" s="242">
        <f>IF(Sheet1!H153="","",Sheet1!H153)</f>
        <v>2272.2559999999985</v>
      </c>
      <c r="I20" s="242">
        <f>IF(Sheet1!I153="","",Sheet1!I153)</f>
        <v>2440.4939999999997</v>
      </c>
      <c r="J20" s="242">
        <f>IF(Sheet1!J153="","",Sheet1!J153)</f>
        <v>2744.2646895637067</v>
      </c>
      <c r="K20" s="242">
        <f>IF(Sheet1!K153="","",Sheet1!K153)</f>
        <v>3383.1333635247929</v>
      </c>
      <c r="L20" s="242">
        <f>IF(Sheet1!L153="","",Sheet1!L153)</f>
        <v>3933.3859950677906</v>
      </c>
      <c r="M20" s="242">
        <f>IF(Sheet1!M153="","",Sheet1!M153)</f>
        <v>4434.047019704818</v>
      </c>
      <c r="N20" s="242">
        <f>IF(Sheet1!N153="","",Sheet1!N153)</f>
        <v>4933.4401665013856</v>
      </c>
      <c r="O20" s="242">
        <f>IF(Sheet1!O153="","",Sheet1!O153)</f>
        <v>5398.1769650896231</v>
      </c>
      <c r="P20" s="242">
        <f>IF(Sheet1!P153="","",Sheet1!P153)</f>
        <v>5880.6152434014903</v>
      </c>
      <c r="Q20" s="242">
        <f>IF(Sheet1!Q153="","",Sheet1!Q153)</f>
        <v>6367.2752058349961</v>
      </c>
      <c r="R20" s="242">
        <f>IF(Sheet1!R153="","",Sheet1!R153)</f>
        <v>6852.2469433524811</v>
      </c>
      <c r="S20" s="242">
        <f>IF(Sheet1!S153="","",Sheet1!S153)</f>
        <v>7329.1398231595222</v>
      </c>
    </row>
    <row r="21" spans="2:19">
      <c r="B21" t="s">
        <v>374</v>
      </c>
      <c r="D21" t="s">
        <v>1305</v>
      </c>
      <c r="E21" s="242">
        <f>IF(Sheet1!E154="","",Sheet1!E154)</f>
        <v>3028.2049999999999</v>
      </c>
      <c r="F21" s="242">
        <f>IF(Sheet1!F154="","",Sheet1!F154)</f>
        <v>4260</v>
      </c>
      <c r="G21" s="242">
        <f>IF(Sheet1!G154="","",Sheet1!G154)</f>
        <v>5703.7430000000004</v>
      </c>
      <c r="H21" s="242">
        <f>IF(Sheet1!H154="","",Sheet1!H154)</f>
        <v>7005.8879999999999</v>
      </c>
      <c r="I21" s="242">
        <f>IF(Sheet1!I154="","",Sheet1!I154)</f>
        <v>7567.5230000000001</v>
      </c>
      <c r="J21" s="242">
        <f>IF(Sheet1!J154="","",Sheet1!J154)</f>
        <v>8421.2868241320521</v>
      </c>
      <c r="K21" s="242">
        <f>IF(Sheet1!K154="","",Sheet1!K154)</f>
        <v>10381.774224213914</v>
      </c>
      <c r="L21" s="242">
        <f>IF(Sheet1!L154="","",Sheet1!L154)</f>
        <v>12070.326809385186</v>
      </c>
      <c r="M21" s="242">
        <f>IF(Sheet1!M154="","",Sheet1!M154)</f>
        <v>13606.69832127552</v>
      </c>
      <c r="N21" s="242">
        <f>IF(Sheet1!N154="","",Sheet1!N154)</f>
        <v>15139.179114098893</v>
      </c>
      <c r="O21" s="242">
        <f>IF(Sheet1!O154="","",Sheet1!O154)</f>
        <v>16565.310453952501</v>
      </c>
      <c r="P21" s="242">
        <f>IF(Sheet1!P154="","",Sheet1!P154)</f>
        <v>18045.762078045143</v>
      </c>
      <c r="Q21" s="242">
        <f>IF(Sheet1!Q154="","",Sheet1!Q154)</f>
        <v>19539.168725392068</v>
      </c>
      <c r="R21" s="242">
        <f>IF(Sheet1!R154="","",Sheet1!R154)</f>
        <v>21027.394740456861</v>
      </c>
      <c r="S21" s="242">
        <f>IF(Sheet1!S154="","",Sheet1!S154)</f>
        <v>22490.829277407418</v>
      </c>
    </row>
    <row r="22" spans="2:19">
      <c r="B22" t="s">
        <v>375</v>
      </c>
      <c r="D22" t="s">
        <v>1306</v>
      </c>
      <c r="E22" s="242">
        <f>IF(Sheet1!E155="","",Sheet1!E155)</f>
        <v>0.26282465592089682</v>
      </c>
      <c r="F22" s="242">
        <f>IF(Sheet1!F155="","",Sheet1!F155)</f>
        <v>0.24570717077508381</v>
      </c>
      <c r="G22" s="242">
        <f>IF(Sheet1!G155="","",Sheet1!G155)</f>
        <v>0.24865313953050275</v>
      </c>
      <c r="H22" s="242">
        <f>IF(Sheet1!H155="","",Sheet1!H155)</f>
        <v>0.24490415324444187</v>
      </c>
      <c r="I22" s="242">
        <f>IF(Sheet1!I155="","",Sheet1!I155)</f>
        <v>0.24385390232650481</v>
      </c>
      <c r="J22" s="242">
        <f>IF(Sheet1!J155="","",Sheet1!J155)</f>
        <v>0.24577959146913333</v>
      </c>
      <c r="K22" s="242">
        <f>IF(Sheet1!K155="","",Sheet1!K155)</f>
        <v>0.24577959146913333</v>
      </c>
      <c r="L22" s="242">
        <f>IF(Sheet1!L155="","",Sheet1!L155)</f>
        <v>0.24577959146913333</v>
      </c>
      <c r="M22" s="242">
        <f>IF(Sheet1!M155="","",Sheet1!M155)</f>
        <v>0.24577959146913333</v>
      </c>
      <c r="N22" s="242">
        <f>IF(Sheet1!N155="","",Sheet1!N155)</f>
        <v>0.24577959146913333</v>
      </c>
      <c r="O22" s="242">
        <f>IF(Sheet1!O155="","",Sheet1!O155)</f>
        <v>0.24577959146913333</v>
      </c>
      <c r="P22" s="242">
        <f>IF(Sheet1!P155="","",Sheet1!P155)</f>
        <v>0.24577959146913333</v>
      </c>
      <c r="Q22" s="242">
        <f>IF(Sheet1!Q155="","",Sheet1!Q155)</f>
        <v>0.24577959146913333</v>
      </c>
      <c r="R22" s="242">
        <f>IF(Sheet1!R155="","",Sheet1!R155)</f>
        <v>0.24577959146913333</v>
      </c>
      <c r="S22" s="242">
        <f>IF(Sheet1!S155="","",Sheet1!S155)</f>
        <v>0.24577959146913333</v>
      </c>
    </row>
    <row r="23" spans="2:19">
      <c r="B23" t="s">
        <v>377</v>
      </c>
      <c r="D23" t="s">
        <v>1307</v>
      </c>
      <c r="E23" s="242" t="str">
        <f>IF(Sheet1!E156="","",Sheet1!E156)</f>
        <v/>
      </c>
      <c r="F23" s="242">
        <f>IF(Sheet1!F156="","",Sheet1!F156)</f>
        <v>0.40677397996502873</v>
      </c>
      <c r="G23" s="242">
        <f>IF(Sheet1!G156="","",Sheet1!G156)</f>
        <v>0.33890680751173718</v>
      </c>
      <c r="H23" s="242">
        <f>IF(Sheet1!H156="","",Sheet1!H156)</f>
        <v>0.22829657647618395</v>
      </c>
      <c r="I23" s="242">
        <f>IF(Sheet1!I156="","",Sheet1!I156)</f>
        <v>8.01661402523135E-2</v>
      </c>
      <c r="J23" s="242">
        <f>IF(Sheet1!J156="","",Sheet1!J156)</f>
        <v>0.11281945547202854</v>
      </c>
      <c r="K23" s="242">
        <f>IF(Sheet1!K156="","",Sheet1!K156)</f>
        <v>0.23280140446753173</v>
      </c>
      <c r="L23" s="242">
        <f>IF(Sheet1!L156="","",Sheet1!L156)</f>
        <v>0.16264585885840011</v>
      </c>
      <c r="M23" s="242">
        <f>IF(Sheet1!M156="","",Sheet1!M156)</f>
        <v>0.12728499701397822</v>
      </c>
      <c r="N23" s="242">
        <f>IF(Sheet1!N156="","",Sheet1!N156)</f>
        <v>0.11262693980854821</v>
      </c>
      <c r="O23" s="242">
        <f>IF(Sheet1!O156="","",Sheet1!O156)</f>
        <v>9.4201365153641081E-2</v>
      </c>
      <c r="P23" s="242">
        <f>IF(Sheet1!P156="","",Sheet1!P156)</f>
        <v>8.9370593337682047E-2</v>
      </c>
      <c r="Q23" s="242">
        <f>IF(Sheet1!Q156="","",Sheet1!Q156)</f>
        <v>8.2756640638847578E-2</v>
      </c>
      <c r="R23" s="242">
        <f>IF(Sheet1!R156="","",Sheet1!R156)</f>
        <v>7.6166291206174686E-2</v>
      </c>
      <c r="S23" s="242">
        <f>IF(Sheet1!S156="","",Sheet1!S156)</f>
        <v>6.9596569380746764E-2</v>
      </c>
    </row>
    <row r="24" spans="2:19" ht="20.100000000000001" customHeight="1">
      <c r="B24" s="3" t="s">
        <v>1308</v>
      </c>
      <c r="C24" s="3"/>
      <c r="D24" s="3"/>
      <c r="E24" s="2"/>
      <c r="F24" s="2"/>
      <c r="G24" s="2"/>
      <c r="H24" s="2"/>
      <c r="I24" s="2"/>
      <c r="J24" s="2"/>
      <c r="K24" s="2"/>
      <c r="L24" s="2"/>
      <c r="M24" s="2"/>
      <c r="N24" s="2"/>
      <c r="O24" s="2"/>
      <c r="P24" s="2"/>
      <c r="Q24" s="2"/>
      <c r="R24" s="2"/>
      <c r="S24" s="2"/>
    </row>
    <row r="25" spans="2:19">
      <c r="B25" t="s">
        <v>379</v>
      </c>
      <c r="D25" t="s">
        <v>1309</v>
      </c>
      <c r="E25" s="242">
        <f>IF(Sheet1!E158="","",Sheet1!E158)</f>
        <v>0.50098072670214755</v>
      </c>
      <c r="F25" s="242">
        <f>IF(Sheet1!F158="","",Sheet1!F158)</f>
        <v>0.48982672240740488</v>
      </c>
      <c r="G25" s="242">
        <f>IF(Sheet1!G158="","",Sheet1!G158)</f>
        <v>0.48237892425597151</v>
      </c>
      <c r="H25" s="242">
        <f>IF(Sheet1!H158="","",Sheet1!H158)</f>
        <v>0.43591284185156715</v>
      </c>
      <c r="I25" s="242">
        <f>IF(Sheet1!I158="","",Sheet1!I158)</f>
        <v>0.39268026469277439</v>
      </c>
      <c r="J25" s="242">
        <f>IF(Sheet1!J158="","",Sheet1!J158)</f>
        <v>0.39268026469277439</v>
      </c>
      <c r="K25" s="242">
        <f>IF(Sheet1!K158="","",Sheet1!K158)</f>
        <v>0.39268026469277439</v>
      </c>
      <c r="L25" s="242">
        <f>IF(Sheet1!L158="","",Sheet1!L158)</f>
        <v>0.39268026469277439</v>
      </c>
      <c r="M25" s="242">
        <f>IF(Sheet1!M158="","",Sheet1!M158)</f>
        <v>0.39268026469277439</v>
      </c>
      <c r="N25" s="242">
        <f>IF(Sheet1!N158="","",Sheet1!N158)</f>
        <v>0.39268026469277439</v>
      </c>
      <c r="O25" s="242">
        <f>IF(Sheet1!O158="","",Sheet1!O158)</f>
        <v>0.39268026469277439</v>
      </c>
      <c r="P25" s="242">
        <f>IF(Sheet1!P158="","",Sheet1!P158)</f>
        <v>0.39268026469277439</v>
      </c>
      <c r="Q25" s="242">
        <f>IF(Sheet1!Q158="","",Sheet1!Q158)</f>
        <v>0.39268026469277439</v>
      </c>
      <c r="R25" s="242">
        <f>IF(Sheet1!R158="","",Sheet1!R158)</f>
        <v>0.39268026469277439</v>
      </c>
      <c r="S25" s="242">
        <f>IF(Sheet1!S158="","",Sheet1!S158)</f>
        <v>0.39268026469277439</v>
      </c>
    </row>
    <row r="26" spans="2:19">
      <c r="B26" t="s">
        <v>380</v>
      </c>
      <c r="D26" t="s">
        <v>1310</v>
      </c>
      <c r="E26" s="242">
        <f>IF(Sheet1!E159="","",Sheet1!E159)</f>
        <v>2.432813151252677E-2</v>
      </c>
      <c r="F26" s="242">
        <f>IF(Sheet1!F159="","",Sheet1!F159)</f>
        <v>2.6798941125629132E-2</v>
      </c>
      <c r="G26" s="242">
        <f>IF(Sheet1!G159="","",Sheet1!G159)</f>
        <v>3.4501225893062523E-2</v>
      </c>
      <c r="H26" s="242">
        <f>IF(Sheet1!H159="","",Sheet1!H159)</f>
        <v>4.1104862117354125E-2</v>
      </c>
      <c r="I26" s="242">
        <f>IF(Sheet1!I159="","",Sheet1!I159)</f>
        <v>4.3121833528084935E-2</v>
      </c>
      <c r="J26" s="242">
        <f>IF(Sheet1!J159="","",Sheet1!J159)</f>
        <v>4.3121833528084935E-2</v>
      </c>
      <c r="K26" s="242">
        <f>IF(Sheet1!K159="","",Sheet1!K159)</f>
        <v>4.3121833528084935E-2</v>
      </c>
      <c r="L26" s="242">
        <f>IF(Sheet1!L159="","",Sheet1!L159)</f>
        <v>4.3121833528084935E-2</v>
      </c>
      <c r="M26" s="242">
        <f>IF(Sheet1!M159="","",Sheet1!M159)</f>
        <v>4.3121833528084935E-2</v>
      </c>
      <c r="N26" s="242">
        <f>IF(Sheet1!N159="","",Sheet1!N159)</f>
        <v>4.3121833528084935E-2</v>
      </c>
      <c r="O26" s="242">
        <f>IF(Sheet1!O159="","",Sheet1!O159)</f>
        <v>4.3121833528084935E-2</v>
      </c>
      <c r="P26" s="242">
        <f>IF(Sheet1!P159="","",Sheet1!P159)</f>
        <v>4.3121833528084935E-2</v>
      </c>
      <c r="Q26" s="242">
        <f>IF(Sheet1!Q159="","",Sheet1!Q159)</f>
        <v>4.3121833528084935E-2</v>
      </c>
      <c r="R26" s="242">
        <f>IF(Sheet1!R159="","",Sheet1!R159)</f>
        <v>4.3121833528084935E-2</v>
      </c>
      <c r="S26" s="242">
        <f>IF(Sheet1!S159="","",Sheet1!S159)</f>
        <v>4.3121833528084935E-2</v>
      </c>
    </row>
    <row r="27" spans="2:19">
      <c r="B27" t="s">
        <v>381</v>
      </c>
      <c r="D27" t="s">
        <v>1311</v>
      </c>
      <c r="E27" s="242">
        <f>IF(Sheet1!E160="","",Sheet1!E160)</f>
        <v>0.18320579209020679</v>
      </c>
      <c r="F27" s="242">
        <f>IF(Sheet1!F160="","",Sheet1!F160)</f>
        <v>0.19184885065458096</v>
      </c>
      <c r="G27" s="242">
        <f>IF(Sheet1!G160="","",Sheet1!G160)</f>
        <v>0.20546633318087965</v>
      </c>
      <c r="H27" s="242">
        <f>IF(Sheet1!H160="","",Sheet1!H160)</f>
        <v>0.24194735503492981</v>
      </c>
      <c r="I27" s="242">
        <f>IF(Sheet1!I160="","",Sheet1!I160)</f>
        <v>0.26611987363307815</v>
      </c>
      <c r="J27" s="242">
        <f>IF(Sheet1!J160="","",Sheet1!J160)</f>
        <v>0.29098734034652352</v>
      </c>
      <c r="K27" s="242">
        <f>IF(Sheet1!K160="","",Sheet1!K160)</f>
        <v>0.28699520539861323</v>
      </c>
      <c r="L27" s="242">
        <f>IF(Sheet1!L160="","",Sheet1!L160)</f>
        <v>0.28106453072950455</v>
      </c>
      <c r="M27" s="242">
        <f>IF(Sheet1!M160="","",Sheet1!M160)</f>
        <v>0.27777389723835005</v>
      </c>
      <c r="N27" s="242">
        <f>IF(Sheet1!N160="","",Sheet1!N160)</f>
        <v>0.27785583070390496</v>
      </c>
      <c r="O27" s="242">
        <f>IF(Sheet1!O160="","",Sheet1!O160)</f>
        <v>0.2777825535489023</v>
      </c>
      <c r="P27" s="242">
        <f>IF(Sheet1!P160="","",Sheet1!P160)</f>
        <v>0.27748644534283112</v>
      </c>
      <c r="Q27" s="242">
        <f>IF(Sheet1!Q160="","",Sheet1!Q160)</f>
        <v>0.27734670079169654</v>
      </c>
      <c r="R27" s="242">
        <f>IF(Sheet1!R160="","",Sheet1!R160)</f>
        <v>0.27736016337735508</v>
      </c>
      <c r="S27" s="242">
        <f>IF(Sheet1!S160="","",Sheet1!S160)</f>
        <v>0.2775243980276334</v>
      </c>
    </row>
    <row r="28" spans="2:19">
      <c r="B28" t="s">
        <v>1312</v>
      </c>
      <c r="D28" t="s">
        <v>1313</v>
      </c>
      <c r="E28" s="242" t="str">
        <f>IF(Sheet1!E161="","",Sheet1!E161)</f>
        <v/>
      </c>
      <c r="F28" s="242" t="str">
        <f>IF(Sheet1!F161="","",Sheet1!F161)</f>
        <v/>
      </c>
      <c r="G28" s="242" t="str">
        <f>IF(Sheet1!G161="","",Sheet1!G161)</f>
        <v/>
      </c>
      <c r="H28" s="242" t="str">
        <f>IF(Sheet1!H161="","",Sheet1!H161)</f>
        <v/>
      </c>
      <c r="I28" s="242" t="str">
        <f>IF(Sheet1!I161="","",Sheet1!I161)</f>
        <v/>
      </c>
      <c r="J28" s="242" t="str">
        <f>IF(Sheet1!J161="","",Sheet1!J161)</f>
        <v/>
      </c>
      <c r="K28" s="242" t="str">
        <f>IF(Sheet1!K161="","",Sheet1!K161)</f>
        <v/>
      </c>
      <c r="L28" s="242" t="str">
        <f>IF(Sheet1!L161="","",Sheet1!L161)</f>
        <v/>
      </c>
      <c r="M28" s="242" t="str">
        <f>IF(Sheet1!M161="","",Sheet1!M161)</f>
        <v/>
      </c>
      <c r="N28" s="242" t="str">
        <f>IF(Sheet1!N161="","",Sheet1!N161)</f>
        <v/>
      </c>
      <c r="O28" s="242" t="str">
        <f>IF(Sheet1!O161="","",Sheet1!O161)</f>
        <v/>
      </c>
      <c r="P28" s="242" t="str">
        <f>IF(Sheet1!P161="","",Sheet1!P161)</f>
        <v/>
      </c>
      <c r="Q28" s="242" t="str">
        <f>IF(Sheet1!Q161="","",Sheet1!Q161)</f>
        <v/>
      </c>
      <c r="R28" s="242" t="str">
        <f>IF(Sheet1!R161="","",Sheet1!R161)</f>
        <v/>
      </c>
      <c r="S28" s="242" t="str">
        <f>IF(Sheet1!S161="","",Sheet1!S161)</f>
        <v/>
      </c>
    </row>
    <row r="29" spans="2:19">
      <c r="B29" t="s">
        <v>382</v>
      </c>
      <c r="D29" t="s">
        <v>1314</v>
      </c>
      <c r="E29" s="242" t="str">
        <f>IF(Sheet1!E162="","",Sheet1!E162)</f>
        <v>FY21A</v>
      </c>
      <c r="F29" s="242" t="str">
        <f>IF(Sheet1!F162="","",Sheet1!F162)</f>
        <v>FY22A</v>
      </c>
      <c r="G29" s="242" t="str">
        <f>IF(Sheet1!G162="","",Sheet1!G162)</f>
        <v>FY23A</v>
      </c>
      <c r="H29" s="242" t="str">
        <f>IF(Sheet1!H162="","",Sheet1!H162)</f>
        <v>FY24A</v>
      </c>
      <c r="I29" s="242" t="str">
        <f>IF(Sheet1!I162="","",Sheet1!I162)</f>
        <v>FY25A</v>
      </c>
      <c r="J29" s="242" t="str">
        <f>IF(Sheet1!J162="","",Sheet1!J162)</f>
        <v>FY26E</v>
      </c>
      <c r="K29" s="242" t="str">
        <f>IF(Sheet1!K162="","",Sheet1!K162)</f>
        <v>FY27E</v>
      </c>
      <c r="L29" s="242" t="str">
        <f>IF(Sheet1!L162="","",Sheet1!L162)</f>
        <v>FY28E</v>
      </c>
      <c r="M29" s="242" t="str">
        <f>IF(Sheet1!M162="","",Sheet1!M162)</f>
        <v>FY29E</v>
      </c>
      <c r="N29" s="242" t="str">
        <f>IF(Sheet1!N162="","",Sheet1!N162)</f>
        <v>FY30E</v>
      </c>
      <c r="O29" s="242" t="str">
        <f>IF(Sheet1!O162="","",Sheet1!O162)</f>
        <v>FY31E</v>
      </c>
      <c r="P29" s="242" t="str">
        <f>IF(Sheet1!P162="","",Sheet1!P162)</f>
        <v>FY32E</v>
      </c>
      <c r="Q29" s="242" t="str">
        <f>IF(Sheet1!Q162="","",Sheet1!Q162)</f>
        <v>FY33E</v>
      </c>
      <c r="R29" s="242" t="str">
        <f>IF(Sheet1!R162="","",Sheet1!R162)</f>
        <v>FY34E</v>
      </c>
      <c r="S29" s="242" t="str">
        <f>IF(Sheet1!S162="","",Sheet1!S162)</f>
        <v>FY35E</v>
      </c>
    </row>
    <row r="30" spans="2:19">
      <c r="B30" t="s">
        <v>383</v>
      </c>
      <c r="D30" t="s">
        <v>1315</v>
      </c>
      <c r="E30" s="242">
        <f>IF(Sheet1!E163="","",Sheet1!E163)</f>
        <v>26525</v>
      </c>
      <c r="F30" s="242">
        <f>IF(Sheet1!F163="","",Sheet1!F163)</f>
        <v>39206</v>
      </c>
      <c r="G30" s="242">
        <f>IF(Sheet1!G163="","",Sheet1!G163)</f>
        <v>40001</v>
      </c>
      <c r="H30" s="242">
        <f>IF(Sheet1!H163="","",Sheet1!H163)</f>
        <v>61913</v>
      </c>
      <c r="I30" s="242">
        <f>IF(Sheet1!I163="","",Sheet1!I163)</f>
        <v>64845</v>
      </c>
      <c r="J30" s="242">
        <f>IF(Sheet1!J163="","",Sheet1!J163)</f>
        <v>68145.471615446004</v>
      </c>
      <c r="K30" s="242">
        <f>IF(Sheet1!K163="","",Sheet1!K163)</f>
        <v>80573.850369994019</v>
      </c>
      <c r="L30" s="242">
        <f>IF(Sheet1!L163="","",Sheet1!L163)</f>
        <v>85532.17347535734</v>
      </c>
      <c r="M30" s="242">
        <f>IF(Sheet1!M163="","",Sheet1!M163)</f>
        <v>96977.652330004552</v>
      </c>
      <c r="N30" s="242">
        <f>IF(Sheet1!N163="","",Sheet1!N163)</f>
        <v>109040.41760245353</v>
      </c>
      <c r="O30" s="242">
        <f>IF(Sheet1!O163="","",Sheet1!O163)</f>
        <v>119970.29709506572</v>
      </c>
      <c r="P30" s="242">
        <f>IF(Sheet1!P163="","",Sheet1!P163)</f>
        <v>130204.23527573518</v>
      </c>
      <c r="Q30" s="242">
        <f>IF(Sheet1!Q163="","",Sheet1!Q163)</f>
        <v>139460.84296456</v>
      </c>
      <c r="R30" s="242">
        <f>IF(Sheet1!R163="","",Sheet1!R163)</f>
        <v>148423.06111520837</v>
      </c>
      <c r="S30" s="242">
        <f>IF(Sheet1!S163="","",Sheet1!S163)</f>
        <v>156935.94003962152</v>
      </c>
    </row>
    <row r="31" spans="2:19">
      <c r="B31" t="s">
        <v>385</v>
      </c>
      <c r="D31" t="s">
        <v>1316</v>
      </c>
      <c r="E31" s="242">
        <f>IF(Sheet1!E164="","",Sheet1!E164)</f>
        <v>67734.526712810009</v>
      </c>
      <c r="F31" s="242">
        <f>IF(Sheet1!F164="","",Sheet1!F164)</f>
        <v>58323.41106816</v>
      </c>
      <c r="G31" s="242">
        <f>IF(Sheet1!G164="","",Sheet1!G164)</f>
        <v>71621.726236799994</v>
      </c>
      <c r="H31" s="242">
        <f>IF(Sheet1!H164="","",Sheet1!H164)</f>
        <v>62426.250163900026</v>
      </c>
      <c r="I31" s="242">
        <f>IF(Sheet1!I164="","",Sheet1!I164)</f>
        <v>60369.830632320023</v>
      </c>
      <c r="J31" s="242">
        <f>IF(Sheet1!J164="","",Sheet1!J164)</f>
        <v>68075.289551218564</v>
      </c>
      <c r="K31" s="242">
        <f>IF(Sheet1!K164="","",Sheet1!K164)</f>
        <v>75991.151708454185</v>
      </c>
      <c r="L31" s="242">
        <f>IF(Sheet1!L164="","",Sheet1!L164)</f>
        <v>83786.954746999807</v>
      </c>
      <c r="M31" s="242">
        <f>IF(Sheet1!M164="","",Sheet1!M164)</f>
        <v>92739.034038977101</v>
      </c>
      <c r="N31" s="242">
        <f>IF(Sheet1!N164="","",Sheet1!N164)</f>
        <v>101845.16800720524</v>
      </c>
      <c r="O31" s="242">
        <f>IF(Sheet1!O164="","",Sheet1!O164)</f>
        <v>111171.25127451566</v>
      </c>
      <c r="P31" s="242">
        <f>IF(Sheet1!P164="","",Sheet1!P164)</f>
        <v>120614.06801324523</v>
      </c>
      <c r="Q31" s="242">
        <f>IF(Sheet1!Q164="","",Sheet1!Q164)</f>
        <v>130057.95489792411</v>
      </c>
      <c r="R31" s="242">
        <f>IF(Sheet1!R164="","",Sheet1!R164)</f>
        <v>139376.73912731928</v>
      </c>
      <c r="S31" s="242">
        <f>IF(Sheet1!S164="","",Sheet1!S164)</f>
        <v>148436.22717059503</v>
      </c>
    </row>
    <row r="32" spans="2:19">
      <c r="B32" t="s">
        <v>387</v>
      </c>
      <c r="D32" t="s">
        <v>1317</v>
      </c>
      <c r="E32" s="242">
        <f>IF(Sheet1!E165="","",Sheet1!E165)</f>
        <v>171291</v>
      </c>
      <c r="F32" s="242">
        <f>IF(Sheet1!F165="","",Sheet1!F165)</f>
        <v>207704</v>
      </c>
      <c r="G32" s="242">
        <f>IF(Sheet1!G165="","",Sheet1!G165)</f>
        <v>240316</v>
      </c>
      <c r="H32" s="242">
        <f>IF(Sheet1!H165="","",Sheet1!H165)</f>
        <v>278481</v>
      </c>
      <c r="I32" s="242">
        <f>IF(Sheet1!I165="","",Sheet1!I165)</f>
        <v>318844</v>
      </c>
      <c r="J32" s="242">
        <f>IF(Sheet1!J165="","",Sheet1!J165)</f>
        <v>364695.64</v>
      </c>
      <c r="K32" s="242">
        <f>IF(Sheet1!K165="","",Sheet1!K165)</f>
        <v>411892.25539999997</v>
      </c>
      <c r="L32" s="242">
        <f>IF(Sheet1!L165="","",Sheet1!L165)</f>
        <v>459428.36733200005</v>
      </c>
      <c r="M32" s="242">
        <f>IF(Sheet1!M165="","",Sheet1!M165)</f>
        <v>508515.23515956011</v>
      </c>
      <c r="N32" s="242">
        <f>IF(Sheet1!N165="","",Sheet1!N165)</f>
        <v>558446.82981367095</v>
      </c>
      <c r="O32" s="242">
        <f>IF(Sheet1!O165="","",Sheet1!O165)</f>
        <v>609584.47077508958</v>
      </c>
      <c r="P32" s="242">
        <f>IF(Sheet1!P165="","",Sheet1!P165)</f>
        <v>661362.19548640749</v>
      </c>
      <c r="Q32" s="242">
        <f>IF(Sheet1!Q165="","",Sheet1!Q165)</f>
        <v>713145.78812081413</v>
      </c>
      <c r="R32" s="242">
        <f>IF(Sheet1!R165="","",Sheet1!R165)</f>
        <v>764243.40632352745</v>
      </c>
      <c r="S32" s="242">
        <f>IF(Sheet1!S165="","",Sheet1!S165)</f>
        <v>813919.22773455665</v>
      </c>
    </row>
    <row r="33" spans="2:19">
      <c r="B33" t="s">
        <v>388</v>
      </c>
      <c r="D33" t="s">
        <v>1318</v>
      </c>
      <c r="E33" s="242">
        <f>IF(Sheet1!E166="","",Sheet1!E166)</f>
        <v>-7471.5267128099995</v>
      </c>
      <c r="F33" s="242">
        <f>IF(Sheet1!F166="","",Sheet1!F166)</f>
        <v>-9204.4110681599996</v>
      </c>
      <c r="G33" s="242">
        <f>IF(Sheet1!G166="","",Sheet1!G166)</f>
        <v>-9714.7262367999992</v>
      </c>
      <c r="H33" s="242">
        <f>IF(Sheet1!H166="","",Sheet1!H166)</f>
        <v>-10318.2501639</v>
      </c>
      <c r="I33" s="242">
        <f>IF(Sheet1!I166="","",Sheet1!I166)</f>
        <v>-11015.830632320001</v>
      </c>
      <c r="J33" s="242">
        <f>IF(Sheet1!J166="","",Sheet1!J166)</f>
        <v>-12819.051745999999</v>
      </c>
      <c r="K33" s="242">
        <f>IF(Sheet1!K166="","",Sheet1!K166)</f>
        <v>-14478.012777309998</v>
      </c>
      <c r="L33" s="242">
        <f>IF(Sheet1!L166="","",Sheet1!L166)</f>
        <v>-15712.450162754401</v>
      </c>
      <c r="M33" s="242">
        <f>IF(Sheet1!M166="","",Sheet1!M166)</f>
        <v>-17391.221042456953</v>
      </c>
      <c r="N33" s="242">
        <f>IF(Sheet1!N166="","",Sheet1!N166)</f>
        <v>-19098.881579627545</v>
      </c>
      <c r="O33" s="242">
        <f>IF(Sheet1!O166="","",Sheet1!O166)</f>
        <v>-20847.788900508061</v>
      </c>
      <c r="P33" s="242">
        <f>IF(Sheet1!P166="","",Sheet1!P166)</f>
        <v>-22618.587085635136</v>
      </c>
      <c r="Q33" s="242">
        <f>IF(Sheet1!Q166="","",Sheet1!Q166)</f>
        <v>-24389.585953731839</v>
      </c>
      <c r="R33" s="242">
        <f>IF(Sheet1!R166="","",Sheet1!R166)</f>
        <v>-26137.124496264634</v>
      </c>
      <c r="S33" s="242">
        <f>IF(Sheet1!S166="","",Sheet1!S166)</f>
        <v>-27836.037588521831</v>
      </c>
    </row>
    <row r="34" spans="2:19">
      <c r="B34" t="s">
        <v>389</v>
      </c>
      <c r="D34" t="s">
        <v>1319</v>
      </c>
      <c r="E34" s="242">
        <f>IF(Sheet1!E167="","",Sheet1!E167)</f>
        <v>4056</v>
      </c>
      <c r="F34" s="242">
        <f>IF(Sheet1!F167="","",Sheet1!F167)</f>
        <v>5655</v>
      </c>
      <c r="G34" s="242">
        <f>IF(Sheet1!G167="","",Sheet1!G167)</f>
        <v>6481</v>
      </c>
      <c r="H34" s="242">
        <f>IF(Sheet1!H167="","",Sheet1!H167)</f>
        <v>9826</v>
      </c>
      <c r="I34" s="242">
        <f>IF(Sheet1!I167="","",Sheet1!I167)</f>
        <v>13857</v>
      </c>
      <c r="J34" s="242">
        <f>IF(Sheet1!J167="","",Sheet1!J167)</f>
        <v>13720.072769704078</v>
      </c>
      <c r="K34" s="242">
        <f>IF(Sheet1!K167="","",Sheet1!K167)</f>
        <v>13964.072784034382</v>
      </c>
      <c r="L34" s="242">
        <f>IF(Sheet1!L167="","",Sheet1!L167)</f>
        <v>14515.764295624289</v>
      </c>
      <c r="M34" s="242">
        <f>IF(Sheet1!M167="","",Sheet1!M167)</f>
        <v>15278.729946013165</v>
      </c>
      <c r="N34" s="242">
        <f>IF(Sheet1!N167="","",Sheet1!N167)</f>
        <v>16206.675398666364</v>
      </c>
      <c r="O34" s="242">
        <f>IF(Sheet1!O167="","",Sheet1!O167)</f>
        <v>17281.715239787321</v>
      </c>
      <c r="P34" s="242">
        <f>IF(Sheet1!P167="","",Sheet1!P167)</f>
        <v>18488.469612553508</v>
      </c>
      <c r="Q34" s="242">
        <f>IF(Sheet1!Q167="","",Sheet1!Q167)</f>
        <v>19806.190750788432</v>
      </c>
      <c r="R34" s="242">
        <f>IF(Sheet1!R167="","",Sheet1!R167)</f>
        <v>21214.217007189989</v>
      </c>
      <c r="S34" s="242">
        <f>IF(Sheet1!S167="","",Sheet1!S167)</f>
        <v>22691.56084003776</v>
      </c>
    </row>
    <row r="35" spans="2:19">
      <c r="B35" t="s">
        <v>391</v>
      </c>
      <c r="D35" t="s">
        <v>1320</v>
      </c>
      <c r="E35" s="242">
        <f>IF(Sheet1!E168="","",Sheet1!E168)</f>
        <v>3154</v>
      </c>
      <c r="F35" s="242">
        <f>IF(Sheet1!F168="","",Sheet1!F168)</f>
        <v>4043</v>
      </c>
      <c r="G35" s="242">
        <f>IF(Sheet1!G168="","",Sheet1!G168)</f>
        <v>4919</v>
      </c>
      <c r="H35" s="242">
        <f>IF(Sheet1!H168="","",Sheet1!H168)</f>
        <v>6285</v>
      </c>
      <c r="I35" s="242">
        <f>IF(Sheet1!I168="","",Sheet1!I168)</f>
        <v>9293</v>
      </c>
      <c r="J35" s="242">
        <f>IF(Sheet1!J168="","",Sheet1!J168)</f>
        <v>10623.537705829187</v>
      </c>
      <c r="K35" s="242">
        <f>IF(Sheet1!K168="","",Sheet1!K168)</f>
        <v>12387.009129529373</v>
      </c>
      <c r="L35" s="242">
        <f>IF(Sheet1!L168="","",Sheet1!L168)</f>
        <v>14166.190542072074</v>
      </c>
      <c r="M35" s="242">
        <f>IF(Sheet1!M168="","",Sheet1!M168)</f>
        <v>15767.410509661006</v>
      </c>
      <c r="N35" s="242">
        <f>IF(Sheet1!N168="","",Sheet1!N168)</f>
        <v>17339.037158525589</v>
      </c>
      <c r="O35" s="242">
        <f>IF(Sheet1!O168="","",Sheet1!O168)</f>
        <v>18973.910520443136</v>
      </c>
      <c r="P35" s="242">
        <f>IF(Sheet1!P168="","",Sheet1!P168)</f>
        <v>20665.64362748542</v>
      </c>
      <c r="Q35" s="242">
        <f>IF(Sheet1!Q168="","",Sheet1!Q168)</f>
        <v>22371.492880413087</v>
      </c>
      <c r="R35" s="242">
        <f>IF(Sheet1!R168="","",Sheet1!R168)</f>
        <v>24070.557939097696</v>
      </c>
      <c r="S35" s="242">
        <f>IF(Sheet1!S168="","",Sheet1!S168)</f>
        <v>25740.255289702469</v>
      </c>
    </row>
    <row r="36" spans="2:19">
      <c r="B36" t="s">
        <v>393</v>
      </c>
      <c r="D36" t="s">
        <v>1256</v>
      </c>
      <c r="E36" s="242">
        <f>IF(Sheet1!E169="","",Sheet1!E169)</f>
        <v>265289</v>
      </c>
      <c r="F36" s="242">
        <f>IF(Sheet1!F169="","",Sheet1!F169)</f>
        <v>305727</v>
      </c>
      <c r="G36" s="242">
        <f>IF(Sheet1!G169="","",Sheet1!G169)</f>
        <v>353624</v>
      </c>
      <c r="H36" s="242">
        <f>IF(Sheet1!H169="","",Sheet1!H169)</f>
        <v>408613</v>
      </c>
      <c r="I36" s="242">
        <f>IF(Sheet1!I169="","",Sheet1!I169)</f>
        <v>456193</v>
      </c>
      <c r="J36" s="242">
        <f>IF(Sheet1!J169="","",Sheet1!J169)</f>
        <v>512440.95989619783</v>
      </c>
      <c r="K36" s="242">
        <f>IF(Sheet1!K169="","",Sheet1!K169)</f>
        <v>580330.32661470189</v>
      </c>
      <c r="L36" s="242">
        <f>IF(Sheet1!L169="","",Sheet1!L169)</f>
        <v>641717.00022929918</v>
      </c>
      <c r="M36" s="242">
        <f>IF(Sheet1!M169="","",Sheet1!M169)</f>
        <v>711886.84094175894</v>
      </c>
      <c r="N36" s="242">
        <f>IF(Sheet1!N169="","",Sheet1!N169)</f>
        <v>783779.24640089413</v>
      </c>
      <c r="O36" s="242">
        <f>IF(Sheet1!O169="","",Sheet1!O169)</f>
        <v>856133.85600439331</v>
      </c>
      <c r="P36" s="242">
        <f>IF(Sheet1!P169="","",Sheet1!P169)</f>
        <v>928716.02492979157</v>
      </c>
      <c r="Q36" s="242">
        <f>IF(Sheet1!Q169="","",Sheet1!Q169)</f>
        <v>1000452.683660768</v>
      </c>
      <c r="R36" s="242">
        <f>IF(Sheet1!R169="","",Sheet1!R169)</f>
        <v>1071190.8570160782</v>
      </c>
      <c r="S36" s="242">
        <f>IF(Sheet1!S169="","",Sheet1!S169)</f>
        <v>1139887.1734859913</v>
      </c>
    </row>
    <row r="37" spans="2:19">
      <c r="B37" t="s">
        <v>394</v>
      </c>
      <c r="D37" t="s">
        <v>1321</v>
      </c>
      <c r="E37" s="242">
        <f>IF(Sheet1!E170="","",Sheet1!E170)</f>
        <v>56925.200000000012</v>
      </c>
      <c r="F37" s="242">
        <f>IF(Sheet1!F170="","",Sheet1!F170)</f>
        <v>65895.731999999989</v>
      </c>
      <c r="G37" s="242">
        <f>IF(Sheet1!G170="","",Sheet1!G170)</f>
        <v>66980.699999999983</v>
      </c>
      <c r="H37" s="242">
        <f>IF(Sheet1!H170="","",Sheet1!H170)</f>
        <v>73677.149999999994</v>
      </c>
      <c r="I37" s="242">
        <f>IF(Sheet1!I170="","",Sheet1!I170)</f>
        <v>90175.892999999982</v>
      </c>
      <c r="J37" s="242">
        <f>IF(Sheet1!J170="","",Sheet1!J170)</f>
        <v>101685.72550588235</v>
      </c>
      <c r="K37" s="242">
        <f>IF(Sheet1!K170="","",Sheet1!K170)</f>
        <v>113509.84247651161</v>
      </c>
      <c r="L37" s="242">
        <f>IF(Sheet1!L170="","",Sheet1!L170)</f>
        <v>125154.62420423451</v>
      </c>
      <c r="M37" s="242">
        <f>IF(Sheet1!M170="","",Sheet1!M170)</f>
        <v>138526.56406070775</v>
      </c>
      <c r="N37" s="242">
        <f>IF(Sheet1!N170="","",Sheet1!N170)</f>
        <v>152128.61915613792</v>
      </c>
      <c r="O37" s="242">
        <f>IF(Sheet1!O170="","",Sheet1!O170)</f>
        <v>166059.21790080029</v>
      </c>
      <c r="P37" s="242">
        <f>IF(Sheet1!P170="","",Sheet1!P170)</f>
        <v>180164.18428767647</v>
      </c>
      <c r="Q37" s="242">
        <f>IF(Sheet1!Q170="","",Sheet1!Q170)</f>
        <v>194270.74917773902</v>
      </c>
      <c r="R37" s="242">
        <f>IF(Sheet1!R170="","",Sheet1!R170)</f>
        <v>208190.44517089194</v>
      </c>
      <c r="S37" s="242">
        <f>IF(Sheet1!S170="","",Sheet1!S170)</f>
        <v>221722.82410699991</v>
      </c>
    </row>
    <row r="38" spans="2:19">
      <c r="B38" t="s">
        <v>395</v>
      </c>
      <c r="D38" t="s">
        <v>1322</v>
      </c>
      <c r="E38" s="242">
        <f>IF(Sheet1!E171="","",Sheet1!E171)</f>
        <v>1491</v>
      </c>
      <c r="F38" s="242">
        <f>IF(Sheet1!F171="","",Sheet1!F171)</f>
        <v>4372</v>
      </c>
      <c r="G38" s="242">
        <f>IF(Sheet1!G171="","",Sheet1!G171)</f>
        <v>14508</v>
      </c>
      <c r="H38" s="242">
        <f>IF(Sheet1!H171="","",Sheet1!H171)</f>
        <v>26605</v>
      </c>
      <c r="I38" s="242">
        <f>IF(Sheet1!I171="","",Sheet1!I171)</f>
        <v>11864</v>
      </c>
      <c r="J38" s="242">
        <f>IF(Sheet1!J171="","",Sheet1!J171)</f>
        <v>11815.4</v>
      </c>
      <c r="K38" s="242">
        <f>IF(Sheet1!K171="","",Sheet1!K171)</f>
        <v>13560.4</v>
      </c>
      <c r="L38" s="242">
        <f>IF(Sheet1!L171="","",Sheet1!L171)</f>
        <v>14874.4</v>
      </c>
      <c r="M38" s="242">
        <f>IF(Sheet1!M171="","",Sheet1!M171)</f>
        <v>16874.400000000001</v>
      </c>
      <c r="N38" s="242">
        <f>IF(Sheet1!N171="","",Sheet1!N171)</f>
        <v>18874.400000000001</v>
      </c>
      <c r="O38" s="242">
        <f>IF(Sheet1!O171="","",Sheet1!O171)</f>
        <v>18874.400000000001</v>
      </c>
      <c r="P38" s="242">
        <f>IF(Sheet1!P171="","",Sheet1!P171)</f>
        <v>18874.400000000001</v>
      </c>
      <c r="Q38" s="242">
        <f>IF(Sheet1!Q171="","",Sheet1!Q171)</f>
        <v>18874.400000000001</v>
      </c>
      <c r="R38" s="242">
        <f>IF(Sheet1!R171="","",Sheet1!R171)</f>
        <v>18874.400000000001</v>
      </c>
      <c r="S38" s="242">
        <f>IF(Sheet1!S171="","",Sheet1!S171)</f>
        <v>18874.400000000001</v>
      </c>
    </row>
    <row r="39" spans="2:19">
      <c r="B39" t="s">
        <v>396</v>
      </c>
      <c r="D39" t="s">
        <v>1323</v>
      </c>
      <c r="E39" s="242">
        <f>IF(Sheet1!E172="","",Sheet1!E172)</f>
        <v>800</v>
      </c>
      <c r="F39" s="242">
        <f>IF(Sheet1!F172="","",Sheet1!F172)</f>
        <v>900</v>
      </c>
      <c r="G39" s="242">
        <f>IF(Sheet1!G172="","",Sheet1!G172)</f>
        <v>1000</v>
      </c>
      <c r="H39" s="242">
        <f>IF(Sheet1!H172="","",Sheet1!H172)</f>
        <v>1100</v>
      </c>
      <c r="I39" s="242">
        <f>IF(Sheet1!I172="","",Sheet1!I172)</f>
        <v>4121</v>
      </c>
      <c r="J39" s="242">
        <f>IF(Sheet1!J172="","",Sheet1!J172)</f>
        <v>3833.1580759703816</v>
      </c>
      <c r="K39" s="242">
        <f>IF(Sheet1!K172="","",Sheet1!K172)</f>
        <v>3691.9181681071318</v>
      </c>
      <c r="L39" s="242">
        <f>IF(Sheet1!L172="","",Sheet1!L172)</f>
        <v>3668.7530345157329</v>
      </c>
      <c r="M39" s="242">
        <f>IF(Sheet1!M172="","",Sheet1!M172)</f>
        <v>3731.0628547673332</v>
      </c>
      <c r="N39" s="242">
        <f>IF(Sheet1!N172="","",Sheet1!N172)</f>
        <v>3860.2585392411347</v>
      </c>
      <c r="O39" s="242">
        <f>IF(Sheet1!O172="","",Sheet1!O172)</f>
        <v>4046.156096711089</v>
      </c>
      <c r="P39" s="242">
        <f>IF(Sheet1!P172="","",Sheet1!P172)</f>
        <v>4280.2858708207705</v>
      </c>
      <c r="Q39" s="242">
        <f>IF(Sheet1!Q172="","",Sheet1!Q172)</f>
        <v>4553.7141101022225</v>
      </c>
      <c r="R39" s="242">
        <f>IF(Sheet1!R172="","",Sheet1!R172)</f>
        <v>4858.2386030990729</v>
      </c>
      <c r="S39" s="242">
        <f>IF(Sheet1!S172="","",Sheet1!S172)</f>
        <v>5186.1573907805232</v>
      </c>
    </row>
    <row r="40" spans="2:19">
      <c r="B40" t="s">
        <v>398</v>
      </c>
      <c r="D40" t="s">
        <v>1324</v>
      </c>
      <c r="E40" s="242">
        <f>IF(Sheet1!E173="","",Sheet1!E173)</f>
        <v>4684.0659999999916</v>
      </c>
      <c r="F40" s="242">
        <f>IF(Sheet1!F173="","",Sheet1!F173)</f>
        <v>5458</v>
      </c>
      <c r="G40" s="242">
        <f>IF(Sheet1!G173="","",Sheet1!G173)</f>
        <v>5601.8790000000154</v>
      </c>
      <c r="H40" s="242">
        <f>IF(Sheet1!H173="","",Sheet1!H173)</f>
        <v>8412.4280000000144</v>
      </c>
      <c r="I40" s="242">
        <f>IF(Sheet1!I173="","",Sheet1!I173)</f>
        <v>7766.1259999999893</v>
      </c>
      <c r="J40" s="242">
        <f>IF(Sheet1!J173="","",Sheet1!J173)</f>
        <v>8878.0514784483275</v>
      </c>
      <c r="K40" s="242">
        <f>IF(Sheet1!K173="","",Sheet1!K173)</f>
        <v>10351.778076302087</v>
      </c>
      <c r="L40" s="242">
        <f>IF(Sheet1!L173="","",Sheet1!L173)</f>
        <v>11838.633454184859</v>
      </c>
      <c r="M40" s="242">
        <f>IF(Sheet1!M173="","",Sheet1!M173)</f>
        <v>13176.767105536579</v>
      </c>
      <c r="N40" s="242">
        <f>IF(Sheet1!N173="","",Sheet1!N173)</f>
        <v>14490.169729020934</v>
      </c>
      <c r="O40" s="242">
        <f>IF(Sheet1!O173="","",Sheet1!O173)</f>
        <v>15856.427398524351</v>
      </c>
      <c r="P40" s="242">
        <f>IF(Sheet1!P173="","",Sheet1!P173)</f>
        <v>17270.202548385732</v>
      </c>
      <c r="Q40" s="242">
        <f>IF(Sheet1!Q173="","",Sheet1!Q173)</f>
        <v>18695.774509565344</v>
      </c>
      <c r="R40" s="242">
        <f>IF(Sheet1!R173="","",Sheet1!R173)</f>
        <v>20115.676944510145</v>
      </c>
      <c r="S40" s="242">
        <f>IF(Sheet1!S173="","",Sheet1!S173)</f>
        <v>21511.036893575336</v>
      </c>
    </row>
    <row r="41" spans="2:19">
      <c r="B41" t="s">
        <v>400</v>
      </c>
      <c r="D41" t="s">
        <v>1325</v>
      </c>
      <c r="E41" s="242">
        <f>IF(Sheet1!E174="","",Sheet1!E174)</f>
        <v>176374.8</v>
      </c>
      <c r="F41" s="242">
        <f>IF(Sheet1!F174="","",Sheet1!F174)</f>
        <v>195595.26800000001</v>
      </c>
      <c r="G41" s="242">
        <f>IF(Sheet1!G174="","",Sheet1!G174)</f>
        <v>226794.30000000002</v>
      </c>
      <c r="H41" s="242">
        <f>IF(Sheet1!H174="","",Sheet1!H174)</f>
        <v>253776.85</v>
      </c>
      <c r="I41" s="242">
        <f>IF(Sheet1!I174="","",Sheet1!I174)</f>
        <v>290313.10700000002</v>
      </c>
      <c r="J41" s="242">
        <f>IF(Sheet1!J174="","",Sheet1!J174)</f>
        <v>327367.96861176472</v>
      </c>
      <c r="K41" s="242">
        <f>IF(Sheet1!K174="","",Sheet1!K174)</f>
        <v>365434.64054674417</v>
      </c>
      <c r="L41" s="242">
        <f>IF(Sheet1!L174="","",Sheet1!L174)</f>
        <v>402923.95893599541</v>
      </c>
      <c r="M41" s="242">
        <f>IF(Sheet1!M174="","",Sheet1!M174)</f>
        <v>445973.70623763715</v>
      </c>
      <c r="N41" s="242">
        <f>IF(Sheet1!N174="","",Sheet1!N174)</f>
        <v>489764.28867566772</v>
      </c>
      <c r="O41" s="242">
        <f>IF(Sheet1!O174="","",Sheet1!O174)</f>
        <v>534612.58758780838</v>
      </c>
      <c r="P41" s="242">
        <f>IF(Sheet1!P174="","",Sheet1!P174)</f>
        <v>580022.24730589532</v>
      </c>
      <c r="Q41" s="242">
        <f>IF(Sheet1!Q174="","",Sheet1!Q174)</f>
        <v>625437.05325997842</v>
      </c>
      <c r="R41" s="242">
        <f>IF(Sheet1!R174="","",Sheet1!R174)</f>
        <v>670250.25175270287</v>
      </c>
      <c r="S41" s="242">
        <f>IF(Sheet1!S174="","",Sheet1!S174)</f>
        <v>713816.5181166284</v>
      </c>
    </row>
    <row r="42" spans="2:19">
      <c r="B42" t="s">
        <v>402</v>
      </c>
      <c r="D42" t="s">
        <v>1326</v>
      </c>
      <c r="E42" s="242">
        <f>IF(Sheet1!E175="","",Sheet1!E175)</f>
        <v>25013.934000000001</v>
      </c>
      <c r="F42" s="242">
        <f>IF(Sheet1!F175="","",Sheet1!F175)</f>
        <v>33506</v>
      </c>
      <c r="G42" s="242">
        <f>IF(Sheet1!G175="","",Sheet1!G175)</f>
        <v>38739.120999999999</v>
      </c>
      <c r="H42" s="242">
        <f>IF(Sheet1!H175="","",Sheet1!H175)</f>
        <v>45041.572</v>
      </c>
      <c r="I42" s="242">
        <f>IF(Sheet1!I175="","",Sheet1!I175)</f>
        <v>51952.874000000003</v>
      </c>
      <c r="J42" s="242">
        <f>IF(Sheet1!J175="","",Sheet1!J175)</f>
        <v>58860.656224132057</v>
      </c>
      <c r="K42" s="242">
        <f>IF(Sheet1!K175="","",Sheet1!K175)</f>
        <v>73781.747347036915</v>
      </c>
      <c r="L42" s="242">
        <f>IF(Sheet1!L175="","",Sheet1!L175)</f>
        <v>83256.630600368619</v>
      </c>
      <c r="M42" s="242">
        <f>IF(Sheet1!M175="","",Sheet1!M175)</f>
        <v>93604.340683110131</v>
      </c>
      <c r="N42" s="242">
        <f>IF(Sheet1!N175="","",Sheet1!N175)</f>
        <v>104661.51030082637</v>
      </c>
      <c r="O42" s="242">
        <f>IF(Sheet1!O175="","",Sheet1!O175)</f>
        <v>116685.06702054919</v>
      </c>
      <c r="P42" s="242">
        <f>IF(Sheet1!P175="","",Sheet1!P175)</f>
        <v>128104.70491701334</v>
      </c>
      <c r="Q42" s="242">
        <f>IF(Sheet1!Q175="","",Sheet1!Q175)</f>
        <v>138620.99260338282</v>
      </c>
      <c r="R42" s="242">
        <f>IF(Sheet1!R175="","",Sheet1!R175)</f>
        <v>148901.84454487404</v>
      </c>
      <c r="S42" s="242">
        <f>IF(Sheet1!S175="","",Sheet1!S175)</f>
        <v>158776.23697800733</v>
      </c>
    </row>
    <row r="43" spans="2:19">
      <c r="B43" t="s">
        <v>403</v>
      </c>
      <c r="D43" t="s">
        <v>1327</v>
      </c>
      <c r="E43" s="242">
        <f>IF(Sheet1!E176="","",Sheet1!E176)</f>
        <v>265289</v>
      </c>
      <c r="F43" s="242">
        <f>IF(Sheet1!F176="","",Sheet1!F176)</f>
        <v>305727</v>
      </c>
      <c r="G43" s="242">
        <f>IF(Sheet1!G176="","",Sheet1!G176)</f>
        <v>353624</v>
      </c>
      <c r="H43" s="242">
        <f>IF(Sheet1!H176="","",Sheet1!H176)</f>
        <v>408613</v>
      </c>
      <c r="I43" s="242">
        <f>IF(Sheet1!I176="","",Sheet1!I176)</f>
        <v>456193</v>
      </c>
      <c r="J43" s="242">
        <f>IF(Sheet1!J176="","",Sheet1!J176)</f>
        <v>512440.95989619783</v>
      </c>
      <c r="K43" s="242">
        <f>IF(Sheet1!K176="","",Sheet1!K176)</f>
        <v>580330.32661470189</v>
      </c>
      <c r="L43" s="242">
        <f>IF(Sheet1!L176="","",Sheet1!L176)</f>
        <v>641717.00022929907</v>
      </c>
      <c r="M43" s="242">
        <f>IF(Sheet1!M176="","",Sheet1!M176)</f>
        <v>711886.84094175894</v>
      </c>
      <c r="N43" s="242">
        <f>IF(Sheet1!N176="","",Sheet1!N176)</f>
        <v>783779.24640089413</v>
      </c>
      <c r="O43" s="242">
        <f>IF(Sheet1!O176="","",Sheet1!O176)</f>
        <v>856133.85600439331</v>
      </c>
      <c r="P43" s="242">
        <f>IF(Sheet1!P176="","",Sheet1!P176)</f>
        <v>928716.02492979157</v>
      </c>
      <c r="Q43" s="242">
        <f>IF(Sheet1!Q176="","",Sheet1!Q176)</f>
        <v>1000452.6836607677</v>
      </c>
      <c r="R43" s="242">
        <f>IF(Sheet1!R176="","",Sheet1!R176)</f>
        <v>1071190.8570160782</v>
      </c>
      <c r="S43" s="242">
        <f>IF(Sheet1!S176="","",Sheet1!S176)</f>
        <v>1139887.1734859915</v>
      </c>
    </row>
    <row r="44" spans="2:19">
      <c r="B44" t="s">
        <v>404</v>
      </c>
      <c r="D44" t="s">
        <v>1328</v>
      </c>
      <c r="E44" s="242">
        <f>IF(Sheet1!E177="","",Sheet1!E177)</f>
        <v>0</v>
      </c>
      <c r="F44" s="242">
        <f>IF(Sheet1!F177="","",Sheet1!F177)</f>
        <v>0</v>
      </c>
      <c r="G44" s="242">
        <f>IF(Sheet1!G177="","",Sheet1!G177)</f>
        <v>0</v>
      </c>
      <c r="H44" s="242">
        <f>IF(Sheet1!H177="","",Sheet1!H177)</f>
        <v>0</v>
      </c>
      <c r="I44" s="242">
        <f>IF(Sheet1!I177="","",Sheet1!I177)</f>
        <v>0</v>
      </c>
      <c r="J44" s="242">
        <f>IF(Sheet1!J177="","",Sheet1!J177)</f>
        <v>0</v>
      </c>
      <c r="K44" s="242">
        <f>IF(Sheet1!K177="","",Sheet1!K177)</f>
        <v>0</v>
      </c>
      <c r="L44" s="242">
        <f>IF(Sheet1!L177="","",Sheet1!L177)</f>
        <v>0</v>
      </c>
      <c r="M44" s="242">
        <f>IF(Sheet1!M177="","",Sheet1!M177)</f>
        <v>0</v>
      </c>
      <c r="N44" s="242">
        <f>IF(Sheet1!N177="","",Sheet1!N177)</f>
        <v>0</v>
      </c>
      <c r="O44" s="242">
        <f>IF(Sheet1!O177="","",Sheet1!O177)</f>
        <v>0</v>
      </c>
      <c r="P44" s="242">
        <f>IF(Sheet1!P177="","",Sheet1!P177)</f>
        <v>0</v>
      </c>
      <c r="Q44" s="242">
        <f>IF(Sheet1!Q177="","",Sheet1!Q177)</f>
        <v>0</v>
      </c>
      <c r="R44" s="242">
        <f>IF(Sheet1!R177="","",Sheet1!R177)</f>
        <v>0</v>
      </c>
      <c r="S44" s="242">
        <f>IF(Sheet1!S177="","",Sheet1!S177)</f>
        <v>0</v>
      </c>
    </row>
    <row r="45" spans="2:19">
      <c r="B45" t="s">
        <v>405</v>
      </c>
      <c r="D45" t="s">
        <v>1329</v>
      </c>
      <c r="E45" s="242">
        <f>IF(Sheet1!E178="","",Sheet1!E178)</f>
        <v>0.19182731697627356</v>
      </c>
      <c r="F45" s="242">
        <f>IF(Sheet1!F178="","",Sheet1!F178)</f>
        <v>0.20957082973098373</v>
      </c>
      <c r="G45" s="242">
        <f>IF(Sheet1!G178="","",Sheet1!G178)</f>
        <v>0.24038460363735775</v>
      </c>
      <c r="H45" s="242">
        <f>IF(Sheet1!H178="","",Sheet1!H178)</f>
        <v>0.27366955339785026</v>
      </c>
      <c r="I45" s="242">
        <f>IF(Sheet1!I178="","",Sheet1!I178)</f>
        <v>0.35652241901823245</v>
      </c>
      <c r="J45" s="242">
        <f>IF(Sheet1!J178="","",Sheet1!J178)</f>
        <v>0.35652241901823245</v>
      </c>
      <c r="K45" s="242">
        <f>IF(Sheet1!K178="","",Sheet1!K178)</f>
        <v>0.35652241901823245</v>
      </c>
      <c r="L45" s="242">
        <f>IF(Sheet1!L178="","",Sheet1!L178)</f>
        <v>0.35652241901823245</v>
      </c>
      <c r="M45" s="242">
        <f>IF(Sheet1!M178="","",Sheet1!M178)</f>
        <v>0.35652241901823245</v>
      </c>
      <c r="N45" s="242">
        <f>IF(Sheet1!N178="","",Sheet1!N178)</f>
        <v>0.35652241901823245</v>
      </c>
      <c r="O45" s="242">
        <f>IF(Sheet1!O178="","",Sheet1!O178)</f>
        <v>0.35652241901823245</v>
      </c>
      <c r="P45" s="242">
        <f>IF(Sheet1!P178="","",Sheet1!P178)</f>
        <v>0.35652241901823245</v>
      </c>
      <c r="Q45" s="242">
        <f>IF(Sheet1!Q178="","",Sheet1!Q178)</f>
        <v>0.35652241901823245</v>
      </c>
      <c r="R45" s="242">
        <f>IF(Sheet1!R178="","",Sheet1!R178)</f>
        <v>0.35652241901823245</v>
      </c>
      <c r="S45" s="242">
        <f>IF(Sheet1!S178="","",Sheet1!S178)</f>
        <v>0.35652241901823245</v>
      </c>
    </row>
    <row r="46" spans="2:19">
      <c r="B46" t="s">
        <v>406</v>
      </c>
      <c r="D46" t="s">
        <v>1330</v>
      </c>
      <c r="E46" s="242">
        <f>IF(Sheet1!E179="","",Sheet1!E179)</f>
        <v>0.28488643415338755</v>
      </c>
      <c r="F46" s="242">
        <f>IF(Sheet1!F179="","",Sheet1!F179)</f>
        <v>0.28291802836302476</v>
      </c>
      <c r="G46" s="242">
        <f>IF(Sheet1!G179="","",Sheet1!G179)</f>
        <v>0.27375593881671917</v>
      </c>
      <c r="H46" s="242">
        <f>IF(Sheet1!H179="","",Sheet1!H179)</f>
        <v>0.36630475954678993</v>
      </c>
      <c r="I46" s="242">
        <f>IF(Sheet1!I179="","",Sheet1!I179)</f>
        <v>0.29794447733997481</v>
      </c>
      <c r="J46" s="242">
        <f>IF(Sheet1!J179="","",Sheet1!J179)</f>
        <v>0.29794447733997481</v>
      </c>
      <c r="K46" s="242">
        <f>IF(Sheet1!K179="","",Sheet1!K179)</f>
        <v>0.29794447733997481</v>
      </c>
      <c r="L46" s="242">
        <f>IF(Sheet1!L179="","",Sheet1!L179)</f>
        <v>0.29794447733997481</v>
      </c>
      <c r="M46" s="242">
        <f>IF(Sheet1!M179="","",Sheet1!M179)</f>
        <v>0.29794447733997481</v>
      </c>
      <c r="N46" s="242">
        <f>IF(Sheet1!N179="","",Sheet1!N179)</f>
        <v>0.29794447733997481</v>
      </c>
      <c r="O46" s="242">
        <f>IF(Sheet1!O179="","",Sheet1!O179)</f>
        <v>0.29794447733997481</v>
      </c>
      <c r="P46" s="242">
        <f>IF(Sheet1!P179="","",Sheet1!P179)</f>
        <v>0.29794447733997481</v>
      </c>
      <c r="Q46" s="242">
        <f>IF(Sheet1!Q179="","",Sheet1!Q179)</f>
        <v>0.29794447733997481</v>
      </c>
      <c r="R46" s="242">
        <f>IF(Sheet1!R179="","",Sheet1!R179)</f>
        <v>0.29794447733997481</v>
      </c>
      <c r="S46" s="242">
        <f>IF(Sheet1!S179="","",Sheet1!S179)</f>
        <v>0.29794447733997481</v>
      </c>
    </row>
    <row r="47" spans="2:19">
      <c r="B47" t="s">
        <v>407</v>
      </c>
      <c r="D47" t="s">
        <v>1331</v>
      </c>
      <c r="E47" s="242">
        <f>IF(Sheet1!E180="","",Sheet1!E180)</f>
        <v>0.29033230481273042</v>
      </c>
      <c r="F47" s="242">
        <f>IF(Sheet1!F180="","",Sheet1!F180)</f>
        <v>0.22304175313169478</v>
      </c>
      <c r="G47" s="242">
        <f>IF(Sheet1!G180="","",Sheet1!G180)</f>
        <v>0.24379789375134028</v>
      </c>
      <c r="H47" s="242">
        <f>IF(Sheet1!H180="","",Sheet1!H180)</f>
        <v>0.19064128141326728</v>
      </c>
      <c r="I47" s="242">
        <f>IF(Sheet1!I180="","",Sheet1!I180)</f>
        <v>0.15866380008967415</v>
      </c>
      <c r="J47" s="242">
        <f>IF(Sheet1!J180="","",Sheet1!J180)</f>
        <v>0.15866380008967415</v>
      </c>
      <c r="K47" s="242">
        <f>IF(Sheet1!K180="","",Sheet1!K180)</f>
        <v>0.15866380008967415</v>
      </c>
      <c r="L47" s="242">
        <f>IF(Sheet1!L180="","",Sheet1!L180)</f>
        <v>0.15866380008967415</v>
      </c>
      <c r="M47" s="242">
        <f>IF(Sheet1!M180="","",Sheet1!M180)</f>
        <v>0.15866380008967415</v>
      </c>
      <c r="N47" s="242">
        <f>IF(Sheet1!N180="","",Sheet1!N180)</f>
        <v>0.15866380008967415</v>
      </c>
      <c r="O47" s="242">
        <f>IF(Sheet1!O180="","",Sheet1!O180)</f>
        <v>0.15866380008967415</v>
      </c>
      <c r="P47" s="242">
        <f>IF(Sheet1!P180="","",Sheet1!P180)</f>
        <v>0.15866380008967415</v>
      </c>
      <c r="Q47" s="242">
        <f>IF(Sheet1!Q180="","",Sheet1!Q180)</f>
        <v>0.15866380008967415</v>
      </c>
      <c r="R47" s="242">
        <f>IF(Sheet1!R180="","",Sheet1!R180)</f>
        <v>0.15866380008967415</v>
      </c>
      <c r="S47" s="242">
        <f>IF(Sheet1!S180="","",Sheet1!S180)</f>
        <v>0.15866380008967415</v>
      </c>
    </row>
    <row r="48" spans="2:19">
      <c r="B48" t="s">
        <v>409</v>
      </c>
      <c r="D48" t="s">
        <v>1332</v>
      </c>
      <c r="E48" s="242">
        <f>IF(Sheet1!E181="","",Sheet1!E181)</f>
        <v>0.11369481354479212</v>
      </c>
      <c r="F48" s="242">
        <f>IF(Sheet1!F181="","",Sheet1!F181)</f>
        <v>0.14993250245706352</v>
      </c>
      <c r="G48" s="242">
        <f>IF(Sheet1!G181="","",Sheet1!G181)</f>
        <v>0.1361620287635095</v>
      </c>
      <c r="H48" s="242">
        <f>IF(Sheet1!H181="","",Sheet1!H181)</f>
        <v>0.18907388518692703</v>
      </c>
      <c r="I48" s="242">
        <f>IF(Sheet1!I181="","",Sheet1!I181)</f>
        <v>0.17042542622782789</v>
      </c>
      <c r="J48" s="242">
        <f>IF(Sheet1!J181="","",Sheet1!J181)</f>
        <v>0.15882737417186862</v>
      </c>
      <c r="K48" s="242">
        <f>IF(Sheet1!K181="","",Sheet1!K181)</f>
        <v>0.16823212966435119</v>
      </c>
      <c r="L48" s="242">
        <f>IF(Sheet1!L181="","",Sheet1!L181)</f>
        <v>0.16196864672439196</v>
      </c>
      <c r="M48" s="242">
        <f>IF(Sheet1!M181="","",Sheet1!M181)</f>
        <v>0.16591549612201978</v>
      </c>
      <c r="N48" s="242">
        <f>IF(Sheet1!N181="","",Sheet1!N181)</f>
        <v>0.16987322382291414</v>
      </c>
      <c r="O48" s="242">
        <f>IF(Sheet1!O181="","",Sheet1!O181)</f>
        <v>0.1712218133444163</v>
      </c>
      <c r="P48" s="242">
        <f>IF(Sheet1!P181="","",Sheet1!P181)</f>
        <v>0.17127934657132624</v>
      </c>
      <c r="Q48" s="242">
        <f>IF(Sheet1!Q181="","",Sheet1!Q181)</f>
        <v>0.17013482432376437</v>
      </c>
      <c r="R48" s="242">
        <f>IF(Sheet1!R181="","",Sheet1!R181)</f>
        <v>0.16896195911118853</v>
      </c>
      <c r="S48" s="242">
        <f>IF(Sheet1!S181="","",Sheet1!S181)</f>
        <v>0.16774916131972573</v>
      </c>
    </row>
    <row r="49" spans="2:19">
      <c r="B49" t="s">
        <v>1333</v>
      </c>
      <c r="D49" t="s">
        <v>1334</v>
      </c>
      <c r="E49" s="242" t="str">
        <f>IF(Sheet1!E182="","",Sheet1!E182)</f>
        <v/>
      </c>
      <c r="F49" s="242" t="str">
        <f>IF(Sheet1!F182="","",Sheet1!F182)</f>
        <v/>
      </c>
      <c r="G49" s="242" t="str">
        <f>IF(Sheet1!G182="","",Sheet1!G182)</f>
        <v/>
      </c>
      <c r="H49" s="242" t="str">
        <f>IF(Sheet1!H182="","",Sheet1!H182)</f>
        <v/>
      </c>
      <c r="I49" s="242" t="str">
        <f>IF(Sheet1!I182="","",Sheet1!I182)</f>
        <v/>
      </c>
      <c r="J49" s="242" t="str">
        <f>IF(Sheet1!J182="","",Sheet1!J182)</f>
        <v/>
      </c>
      <c r="K49" s="242" t="str">
        <f>IF(Sheet1!K182="","",Sheet1!K182)</f>
        <v/>
      </c>
      <c r="L49" s="242" t="str">
        <f>IF(Sheet1!L182="","",Sheet1!L182)</f>
        <v/>
      </c>
      <c r="M49" s="242" t="str">
        <f>IF(Sheet1!M182="","",Sheet1!M182)</f>
        <v/>
      </c>
      <c r="N49" s="242" t="str">
        <f>IF(Sheet1!N182="","",Sheet1!N182)</f>
        <v/>
      </c>
      <c r="O49" s="242" t="str">
        <f>IF(Sheet1!O182="","",Sheet1!O182)</f>
        <v/>
      </c>
      <c r="P49" s="242" t="str">
        <f>IF(Sheet1!P182="","",Sheet1!P182)</f>
        <v/>
      </c>
      <c r="Q49" s="242" t="str">
        <f>IF(Sheet1!Q182="","",Sheet1!Q182)</f>
        <v/>
      </c>
      <c r="R49" s="242" t="str">
        <f>IF(Sheet1!R182="","",Sheet1!R182)</f>
        <v/>
      </c>
      <c r="S49" s="242" t="str">
        <f>IF(Sheet1!S182="","",Sheet1!S182)</f>
        <v/>
      </c>
    </row>
    <row r="50" spans="2:19">
      <c r="B50" t="s">
        <v>411</v>
      </c>
      <c r="D50" t="s">
        <v>1616</v>
      </c>
      <c r="E50" s="242" t="str">
        <f>IF(Sheet1!E183="","",Sheet1!E183)</f>
        <v>FY21A</v>
      </c>
      <c r="F50" s="242" t="str">
        <f>IF(Sheet1!F183="","",Sheet1!F183)</f>
        <v>FY22A</v>
      </c>
      <c r="G50" s="242" t="str">
        <f>IF(Sheet1!G183="","",Sheet1!G183)</f>
        <v>FY23A</v>
      </c>
      <c r="H50" s="242" t="str">
        <f>IF(Sheet1!H183="","",Sheet1!H183)</f>
        <v>FY24A</v>
      </c>
      <c r="I50" s="242" t="str">
        <f>IF(Sheet1!I183="","",Sheet1!I183)</f>
        <v>FY25A</v>
      </c>
      <c r="J50" s="242" t="str">
        <f>IF(Sheet1!J183="","",Sheet1!J183)</f>
        <v>FY26E</v>
      </c>
      <c r="K50" s="242" t="str">
        <f>IF(Sheet1!K183="","",Sheet1!K183)</f>
        <v>FY27E</v>
      </c>
      <c r="L50" s="242" t="str">
        <f>IF(Sheet1!L183="","",Sheet1!L183)</f>
        <v>FY28E</v>
      </c>
      <c r="M50" s="242" t="str">
        <f>IF(Sheet1!M183="","",Sheet1!M183)</f>
        <v>FY29E</v>
      </c>
      <c r="N50" s="242" t="str">
        <f>IF(Sheet1!N183="","",Sheet1!N183)</f>
        <v>FY30E</v>
      </c>
      <c r="O50" s="242" t="str">
        <f>IF(Sheet1!O183="","",Sheet1!O183)</f>
        <v>FY31E</v>
      </c>
      <c r="P50" s="242" t="str">
        <f>IF(Sheet1!P183="","",Sheet1!P183)</f>
        <v>FY32E</v>
      </c>
      <c r="Q50" s="242" t="str">
        <f>IF(Sheet1!Q183="","",Sheet1!Q183)</f>
        <v>FY33E</v>
      </c>
      <c r="R50" s="242" t="str">
        <f>IF(Sheet1!R183="","",Sheet1!R183)</f>
        <v>FY34E</v>
      </c>
      <c r="S50" s="242" t="str">
        <f>IF(Sheet1!S183="","",Sheet1!S183)</f>
        <v>FY35E</v>
      </c>
    </row>
    <row r="51" spans="2:19">
      <c r="B51" t="s">
        <v>413</v>
      </c>
      <c r="D51" t="s">
        <v>1336</v>
      </c>
      <c r="E51" s="242" t="str">
        <f>IF(Sheet1!E184="","",Sheet1!E184)</f>
        <v/>
      </c>
      <c r="F51" s="242" t="str">
        <f>IF(Sheet1!F184="","",Sheet1!F184)</f>
        <v/>
      </c>
      <c r="G51" s="242" t="str">
        <f>IF(Sheet1!G184="","",Sheet1!G184)</f>
        <v/>
      </c>
      <c r="H51" s="242" t="str">
        <f>IF(Sheet1!H184="","",Sheet1!H184)</f>
        <v/>
      </c>
      <c r="I51" s="242" t="str">
        <f>IF(Sheet1!I184="","",Sheet1!I184)</f>
        <v/>
      </c>
      <c r="J51" s="242">
        <f>IF(Sheet1!J184="","",Sheet1!J184)</f>
        <v>8421.2868241320521</v>
      </c>
      <c r="K51" s="242">
        <f>IF(Sheet1!K184="","",Sheet1!K184)</f>
        <v>10381.774224213914</v>
      </c>
      <c r="L51" s="242">
        <f>IF(Sheet1!L184="","",Sheet1!L184)</f>
        <v>12070.326809385186</v>
      </c>
      <c r="M51" s="242">
        <f>IF(Sheet1!M184="","",Sheet1!M184)</f>
        <v>13606.69832127552</v>
      </c>
      <c r="N51" s="242">
        <f>IF(Sheet1!N184="","",Sheet1!N184)</f>
        <v>15139.179114098893</v>
      </c>
      <c r="O51" s="242">
        <f>IF(Sheet1!O184="","",Sheet1!O184)</f>
        <v>16565.310453952501</v>
      </c>
      <c r="P51" s="242">
        <f>IF(Sheet1!P184="","",Sheet1!P184)</f>
        <v>18045.762078045143</v>
      </c>
      <c r="Q51" s="242">
        <f>IF(Sheet1!Q184="","",Sheet1!Q184)</f>
        <v>19539.168725392068</v>
      </c>
      <c r="R51" s="242">
        <f>IF(Sheet1!R184="","",Sheet1!R184)</f>
        <v>21027.394740456861</v>
      </c>
      <c r="S51" s="242">
        <f>IF(Sheet1!S184="","",Sheet1!S184)</f>
        <v>22490.829277407418</v>
      </c>
    </row>
    <row r="52" spans="2:19">
      <c r="B52" t="s">
        <v>414</v>
      </c>
      <c r="D52" t="s">
        <v>1337</v>
      </c>
      <c r="E52" s="242" t="str">
        <f>IF(Sheet1!E185="","",Sheet1!E185)</f>
        <v/>
      </c>
      <c r="F52" s="242" t="str">
        <f>IF(Sheet1!F185="","",Sheet1!F185)</f>
        <v/>
      </c>
      <c r="G52" s="242" t="str">
        <f>IF(Sheet1!G185="","",Sheet1!G185)</f>
        <v/>
      </c>
      <c r="H52" s="242" t="str">
        <f>IF(Sheet1!H185="","",Sheet1!H185)</f>
        <v/>
      </c>
      <c r="I52" s="242" t="str">
        <f>IF(Sheet1!I185="","",Sheet1!I185)</f>
        <v/>
      </c>
      <c r="J52" s="242">
        <f>IF(Sheet1!J185="","",Sheet1!J185)</f>
        <v>2520.7409012753965</v>
      </c>
      <c r="K52" s="242">
        <f>IF(Sheet1!K185="","",Sheet1!K185)</f>
        <v>2535.5186849178135</v>
      </c>
      <c r="L52" s="242">
        <f>IF(Sheet1!L185="","",Sheet1!L185)</f>
        <v>2627.0573774324403</v>
      </c>
      <c r="M52" s="242">
        <f>IF(Sheet1!M185="","",Sheet1!M185)</f>
        <v>2775.0806925211164</v>
      </c>
      <c r="N52" s="242">
        <f>IF(Sheet1!N185="","",Sheet1!N185)</f>
        <v>2962.7579048013276</v>
      </c>
      <c r="O52" s="242">
        <f>IF(Sheet1!O185="","",Sheet1!O185)</f>
        <v>3182.5124491820716</v>
      </c>
      <c r="P52" s="242">
        <f>IF(Sheet1!P185="","",Sheet1!P185)</f>
        <v>3430.4055981311462</v>
      </c>
      <c r="Q52" s="242">
        <f>IF(Sheet1!Q185="","",Sheet1!Q185)</f>
        <v>3702.2140326344365</v>
      </c>
      <c r="R52" s="242">
        <f>IF(Sheet1!R185="","",Sheet1!R185)</f>
        <v>3993.1618103419714</v>
      </c>
      <c r="S52" s="242">
        <f>IF(Sheet1!S185="","",Sheet1!S185)</f>
        <v>4298.5073151578481</v>
      </c>
    </row>
    <row r="53" spans="2:19">
      <c r="B53" t="s">
        <v>415</v>
      </c>
      <c r="D53" t="s">
        <v>1338</v>
      </c>
      <c r="E53" s="242" t="str">
        <f>IF(Sheet1!E186="","",Sheet1!E186)</f>
        <v/>
      </c>
      <c r="F53" s="242" t="str">
        <f>IF(Sheet1!F186="","",Sheet1!F186)</f>
        <v/>
      </c>
      <c r="G53" s="242" t="str">
        <f>IF(Sheet1!G186="","",Sheet1!G186)</f>
        <v/>
      </c>
      <c r="H53" s="242" t="str">
        <f>IF(Sheet1!H186="","",Sheet1!H186)</f>
        <v/>
      </c>
      <c r="I53" s="242" t="str">
        <f>IF(Sheet1!I186="","",Sheet1!I186)</f>
        <v/>
      </c>
      <c r="J53" s="242">
        <f>IF(Sheet1!J186="","",Sheet1!J186)</f>
        <v>2392.3887400000003</v>
      </c>
      <c r="K53" s="242">
        <f>IF(Sheet1!K186="","",Sheet1!K186)</f>
        <v>2912.2046077499999</v>
      </c>
      <c r="L53" s="242">
        <f>IF(Sheet1!L186="","",Sheet1!L186)</f>
        <v>3267.4523352449996</v>
      </c>
      <c r="M53" s="242">
        <f>IF(Sheet1!M186="","",Sheet1!M186)</f>
        <v>3629.7885093433506</v>
      </c>
      <c r="N53" s="242">
        <f>IF(Sheet1!N186="","",Sheet1!N186)</f>
        <v>4001.1077436496157</v>
      </c>
      <c r="O53" s="242">
        <f>IF(Sheet1!O186="","",Sheet1!O186)</f>
        <v>4380.1173772078519</v>
      </c>
      <c r="P53" s="242">
        <f>IF(Sheet1!P186="","",Sheet1!P186)</f>
        <v>4766.0499984806138</v>
      </c>
      <c r="Q53" s="242">
        <f>IF(Sheet1!Q186="","",Sheet1!Q186)</f>
        <v>5154.404938527081</v>
      </c>
      <c r="R53" s="242">
        <f>IF(Sheet1!R186="","",Sheet1!R186)</f>
        <v>5540.2094791662803</v>
      </c>
      <c r="S53" s="242">
        <f>IF(Sheet1!S186="","",Sheet1!S186)</f>
        <v>5918.1098777178149</v>
      </c>
    </row>
    <row r="54" spans="2:19">
      <c r="B54" t="s">
        <v>416</v>
      </c>
      <c r="D54" t="s">
        <v>1257</v>
      </c>
      <c r="E54" s="242" t="str">
        <f>IF(Sheet1!E187="","",Sheet1!E187)</f>
        <v/>
      </c>
      <c r="F54" s="242" t="str">
        <f>IF(Sheet1!F187="","",Sheet1!F187)</f>
        <v/>
      </c>
      <c r="G54" s="242" t="str">
        <f>IF(Sheet1!G187="","",Sheet1!G187)</f>
        <v/>
      </c>
      <c r="H54" s="242" t="str">
        <f>IF(Sheet1!H187="","",Sheet1!H187)</f>
        <v/>
      </c>
      <c r="I54" s="242" t="str">
        <f>IF(Sheet1!I187="","",Sheet1!I187)</f>
        <v/>
      </c>
      <c r="J54" s="242">
        <f>IF(Sheet1!J187="","",Sheet1!J187)</f>
        <v>-1330.537705829187</v>
      </c>
      <c r="K54" s="242">
        <f>IF(Sheet1!K187="","",Sheet1!K187)</f>
        <v>-1763.4714237001863</v>
      </c>
      <c r="L54" s="242">
        <f>IF(Sheet1!L187="","",Sheet1!L187)</f>
        <v>-1779.1814125427009</v>
      </c>
      <c r="M54" s="242">
        <f>IF(Sheet1!M187="","",Sheet1!M187)</f>
        <v>-1601.2199675889315</v>
      </c>
      <c r="N54" s="242">
        <f>IF(Sheet1!N187="","",Sheet1!N187)</f>
        <v>-1571.6266488645833</v>
      </c>
      <c r="O54" s="242">
        <f>IF(Sheet1!O187="","",Sheet1!O187)</f>
        <v>-1634.8733619175473</v>
      </c>
      <c r="P54" s="242">
        <f>IF(Sheet1!P187="","",Sheet1!P187)</f>
        <v>-1691.7331070422842</v>
      </c>
      <c r="Q54" s="242">
        <f>IF(Sheet1!Q187="","",Sheet1!Q187)</f>
        <v>-1705.8492529276664</v>
      </c>
      <c r="R54" s="242">
        <f>IF(Sheet1!R187="","",Sheet1!R187)</f>
        <v>-1699.0650586846095</v>
      </c>
      <c r="S54" s="242">
        <f>IF(Sheet1!S187="","",Sheet1!S187)</f>
        <v>-1669.6973506047725</v>
      </c>
    </row>
    <row r="55" spans="2:19">
      <c r="B55" t="s">
        <v>417</v>
      </c>
      <c r="D55" t="s">
        <v>1339</v>
      </c>
      <c r="E55" s="242" t="str">
        <f>IF(Sheet1!E188="","",Sheet1!E188)</f>
        <v/>
      </c>
      <c r="F55" s="242" t="str">
        <f>IF(Sheet1!F188="","",Sheet1!F188)</f>
        <v/>
      </c>
      <c r="G55" s="242" t="str">
        <f>IF(Sheet1!G188="","",Sheet1!G188)</f>
        <v/>
      </c>
      <c r="H55" s="242" t="str">
        <f>IF(Sheet1!H188="","",Sheet1!H188)</f>
        <v/>
      </c>
      <c r="I55" s="242" t="str">
        <f>IF(Sheet1!I188="","",Sheet1!I188)</f>
        <v/>
      </c>
      <c r="J55" s="242">
        <f>IF(Sheet1!J188="","",Sheet1!J188)</f>
        <v>1111.9254784483383</v>
      </c>
      <c r="K55" s="242">
        <f>IF(Sheet1!K188="","",Sheet1!K188)</f>
        <v>1473.7265978537598</v>
      </c>
      <c r="L55" s="242">
        <f>IF(Sheet1!L188="","",Sheet1!L188)</f>
        <v>1486.8553778827718</v>
      </c>
      <c r="M55" s="242">
        <f>IF(Sheet1!M188="","",Sheet1!M188)</f>
        <v>1338.1336513517199</v>
      </c>
      <c r="N55" s="242">
        <f>IF(Sheet1!N188="","",Sheet1!N188)</f>
        <v>1313.402623484355</v>
      </c>
      <c r="O55" s="242">
        <f>IF(Sheet1!O188="","",Sheet1!O188)</f>
        <v>1366.2576695034168</v>
      </c>
      <c r="P55" s="242">
        <f>IF(Sheet1!P188="","",Sheet1!P188)</f>
        <v>1413.7751498613816</v>
      </c>
      <c r="Q55" s="242">
        <f>IF(Sheet1!Q188="","",Sheet1!Q188)</f>
        <v>1425.5719611796121</v>
      </c>
      <c r="R55" s="242">
        <f>IF(Sheet1!R188="","",Sheet1!R188)</f>
        <v>1419.9024349448009</v>
      </c>
      <c r="S55" s="242">
        <f>IF(Sheet1!S188="","",Sheet1!S188)</f>
        <v>1395.3599490651904</v>
      </c>
    </row>
    <row r="56" spans="2:19">
      <c r="B56" t="s">
        <v>418</v>
      </c>
      <c r="D56" t="s">
        <v>1340</v>
      </c>
      <c r="E56" s="242" t="str">
        <f>IF(Sheet1!E189="","",Sheet1!E189)</f>
        <v/>
      </c>
      <c r="F56" s="242" t="str">
        <f>IF(Sheet1!F189="","",Sheet1!F189)</f>
        <v/>
      </c>
      <c r="G56" s="242" t="str">
        <f>IF(Sheet1!G189="","",Sheet1!G189)</f>
        <v/>
      </c>
      <c r="H56" s="242" t="str">
        <f>IF(Sheet1!H189="","",Sheet1!H189)</f>
        <v/>
      </c>
      <c r="I56" s="242" t="str">
        <f>IF(Sheet1!I189="","",Sheet1!I189)</f>
        <v/>
      </c>
      <c r="J56" s="242">
        <f>IF(Sheet1!J189="","",Sheet1!J189)</f>
        <v>13115.8042380266</v>
      </c>
      <c r="K56" s="242">
        <f>IF(Sheet1!K189="","",Sheet1!K189)</f>
        <v>15539.752691035301</v>
      </c>
      <c r="L56" s="242">
        <f>IF(Sheet1!L189="","",Sheet1!L189)</f>
        <v>17672.510487402695</v>
      </c>
      <c r="M56" s="242">
        <f>IF(Sheet1!M189="","",Sheet1!M189)</f>
        <v>19748.481206902776</v>
      </c>
      <c r="N56" s="242">
        <f>IF(Sheet1!N189="","",Sheet1!N189)</f>
        <v>21844.820737169612</v>
      </c>
      <c r="O56" s="242">
        <f>IF(Sheet1!O189="","",Sheet1!O189)</f>
        <v>23859.324587928291</v>
      </c>
      <c r="P56" s="242">
        <f>IF(Sheet1!P189="","",Sheet1!P189)</f>
        <v>25964.259717476001</v>
      </c>
      <c r="Q56" s="242">
        <f>IF(Sheet1!Q189="","",Sheet1!Q189)</f>
        <v>28115.510404805533</v>
      </c>
      <c r="R56" s="242">
        <f>IF(Sheet1!R189="","",Sheet1!R189)</f>
        <v>30281.603406225302</v>
      </c>
      <c r="S56" s="242">
        <f>IF(Sheet1!S189="","",Sheet1!S189)</f>
        <v>32433.109068743499</v>
      </c>
    </row>
    <row r="57" spans="2:19">
      <c r="B57" t="s">
        <v>419</v>
      </c>
      <c r="D57" t="s">
        <v>1341</v>
      </c>
      <c r="E57" s="242" t="str">
        <f>IF(Sheet1!E190="","",Sheet1!E190)</f>
        <v/>
      </c>
      <c r="F57" s="242" t="str">
        <f>IF(Sheet1!F190="","",Sheet1!F190)</f>
        <v/>
      </c>
      <c r="G57" s="242" t="str">
        <f>IF(Sheet1!G190="","",Sheet1!G190)</f>
        <v/>
      </c>
      <c r="H57" s="242" t="str">
        <f>IF(Sheet1!H190="","",Sheet1!H190)</f>
        <v/>
      </c>
      <c r="I57" s="242" t="str">
        <f>IF(Sheet1!I190="","",Sheet1!I190)</f>
        <v/>
      </c>
      <c r="J57" s="242">
        <f>IF(Sheet1!J190="","",Sheet1!J190)</f>
        <v>-46440.80762632002</v>
      </c>
      <c r="K57" s="242">
        <f>IF(Sheet1!K190="","",Sheet1!K190)</f>
        <v>-48449.858976439951</v>
      </c>
      <c r="L57" s="242">
        <f>IF(Sheet1!L190="","",Sheet1!L190)</f>
        <v>-49569.126881800679</v>
      </c>
      <c r="M57" s="242">
        <f>IF(Sheet1!M190="","",Sheet1!M190)</f>
        <v>-51037.885457200857</v>
      </c>
      <c r="N57" s="242">
        <f>IF(Sheet1!N190="","",Sheet1!N190)</f>
        <v>-52225.041860589867</v>
      </c>
      <c r="O57" s="242">
        <f>IF(Sheet1!O190="","",Sheet1!O190)</f>
        <v>-53768.851017745961</v>
      </c>
      <c r="P57" s="242">
        <f>IF(Sheet1!P190="","",Sheet1!P190)</f>
        <v>-54772.976524671452</v>
      </c>
      <c r="Q57" s="242">
        <f>IF(Sheet1!Q190="","",Sheet1!Q190)</f>
        <v>-55166.998704837017</v>
      </c>
      <c r="R57" s="242">
        <f>IF(Sheet1!R190="","",Sheet1!R190)</f>
        <v>-54890.289139346802</v>
      </c>
      <c r="S57" s="242">
        <f>IF(Sheet1!S190="","",Sheet1!S190)</f>
        <v>-53895.018196489822</v>
      </c>
    </row>
    <row r="58" spans="2:19">
      <c r="B58" t="s">
        <v>420</v>
      </c>
      <c r="D58" t="s">
        <v>1342</v>
      </c>
      <c r="E58" s="242" t="str">
        <f>IF(Sheet1!E191="","",Sheet1!E191)</f>
        <v/>
      </c>
      <c r="F58" s="242" t="str">
        <f>IF(Sheet1!F191="","",Sheet1!F191)</f>
        <v/>
      </c>
      <c r="G58" s="242" t="str">
        <f>IF(Sheet1!G191="","",Sheet1!G191)</f>
        <v/>
      </c>
      <c r="H58" s="242" t="str">
        <f>IF(Sheet1!H191="","",Sheet1!H191)</f>
        <v/>
      </c>
      <c r="I58" s="242" t="str">
        <f>IF(Sheet1!I191="","",Sheet1!I191)</f>
        <v/>
      </c>
      <c r="J58" s="242">
        <f>IF(Sheet1!J191="","",Sheet1!J191)</f>
        <v>-7705.458918898541</v>
      </c>
      <c r="K58" s="242">
        <f>IF(Sheet1!K191="","",Sheet1!K191)</f>
        <v>-7915.8621572356205</v>
      </c>
      <c r="L58" s="242">
        <f>IF(Sheet1!L191="","",Sheet1!L191)</f>
        <v>-7795.8030385456223</v>
      </c>
      <c r="M58" s="242">
        <f>IF(Sheet1!M191="","",Sheet1!M191)</f>
        <v>-8952.0792919772939</v>
      </c>
      <c r="N58" s="242">
        <f>IF(Sheet1!N191="","",Sheet1!N191)</f>
        <v>-9106.1339682281396</v>
      </c>
      <c r="O58" s="242">
        <f>IF(Sheet1!O191="","",Sheet1!O191)</f>
        <v>-9326.083267310416</v>
      </c>
      <c r="P58" s="242">
        <f>IF(Sheet1!P191="","",Sheet1!P191)</f>
        <v>-9442.8167387295689</v>
      </c>
      <c r="Q58" s="242">
        <f>IF(Sheet1!Q191="","",Sheet1!Q191)</f>
        <v>-9443.8868846788828</v>
      </c>
      <c r="R58" s="242">
        <f>IF(Sheet1!R191="","",Sheet1!R191)</f>
        <v>-9318.7842293951689</v>
      </c>
      <c r="S58" s="242">
        <f>IF(Sheet1!S191="","",Sheet1!S191)</f>
        <v>-9059.4880432757491</v>
      </c>
    </row>
    <row r="59" spans="2:19">
      <c r="B59" t="s">
        <v>421</v>
      </c>
      <c r="D59" t="s">
        <v>1343</v>
      </c>
      <c r="E59" s="242" t="str">
        <f>IF(Sheet1!E192="","",Sheet1!E192)</f>
        <v/>
      </c>
      <c r="F59" s="242" t="str">
        <f>IF(Sheet1!F192="","",Sheet1!F192)</f>
        <v/>
      </c>
      <c r="G59" s="242" t="str">
        <f>IF(Sheet1!G192="","",Sheet1!G192)</f>
        <v/>
      </c>
      <c r="H59" s="242" t="str">
        <f>IF(Sheet1!H192="","",Sheet1!H192)</f>
        <v/>
      </c>
      <c r="I59" s="242" t="str">
        <f>IF(Sheet1!I192="","",Sheet1!I192)</f>
        <v/>
      </c>
      <c r="J59" s="242">
        <f>IF(Sheet1!J192="","",Sheet1!J192)</f>
        <v>-2383.8136709794744</v>
      </c>
      <c r="K59" s="242">
        <f>IF(Sheet1!K192="","",Sheet1!K192)</f>
        <v>-2779.5186992481176</v>
      </c>
      <c r="L59" s="242">
        <f>IF(Sheet1!L192="","",Sheet1!L192)</f>
        <v>-3178.7488890223467</v>
      </c>
      <c r="M59" s="242">
        <f>IF(Sheet1!M192="","",Sheet1!M192)</f>
        <v>-3538.0463429099905</v>
      </c>
      <c r="N59" s="242">
        <f>IF(Sheet1!N192="","",Sheet1!N192)</f>
        <v>-3890.7033574545285</v>
      </c>
      <c r="O59" s="242">
        <f>IF(Sheet1!O192="","",Sheet1!O192)</f>
        <v>-4257.5522903030269</v>
      </c>
      <c r="P59" s="242">
        <f>IF(Sheet1!P192="","",Sheet1!P192)</f>
        <v>-4637.1599708973336</v>
      </c>
      <c r="Q59" s="242">
        <f>IF(Sheet1!Q192="","",Sheet1!Q192)</f>
        <v>-5019.9351708693566</v>
      </c>
      <c r="R59" s="242">
        <f>IF(Sheet1!R192="","",Sheet1!R192)</f>
        <v>-5401.1880667435353</v>
      </c>
      <c r="S59" s="242">
        <f>IF(Sheet1!S192="","",Sheet1!S192)</f>
        <v>-5775.8511480056168</v>
      </c>
    </row>
    <row r="60" spans="2:19">
      <c r="B60" t="s">
        <v>422</v>
      </c>
      <c r="D60" t="s">
        <v>1344</v>
      </c>
      <c r="E60" s="242" t="str">
        <f>IF(Sheet1!E193="","",Sheet1!E193)</f>
        <v/>
      </c>
      <c r="F60" s="242" t="str">
        <f>IF(Sheet1!F193="","",Sheet1!F193)</f>
        <v/>
      </c>
      <c r="G60" s="242" t="str">
        <f>IF(Sheet1!G193="","",Sheet1!G193)</f>
        <v/>
      </c>
      <c r="H60" s="242" t="str">
        <f>IF(Sheet1!H193="","",Sheet1!H193)</f>
        <v/>
      </c>
      <c r="I60" s="242" t="str">
        <f>IF(Sheet1!I193="","",Sheet1!I193)</f>
        <v/>
      </c>
      <c r="J60" s="242">
        <f>IF(Sheet1!J193="","",Sheet1!J193)</f>
        <v>-56530.080216198039</v>
      </c>
      <c r="K60" s="242">
        <f>IF(Sheet1!K193="","",Sheet1!K193)</f>
        <v>-59145.239832923689</v>
      </c>
      <c r="L60" s="242">
        <f>IF(Sheet1!L193="","",Sheet1!L193)</f>
        <v>-60543.678809368648</v>
      </c>
      <c r="M60" s="242">
        <f>IF(Sheet1!M193="","",Sheet1!M193)</f>
        <v>-63528.011092088142</v>
      </c>
      <c r="N60" s="242">
        <f>IF(Sheet1!N193="","",Sheet1!N193)</f>
        <v>-65221.879186272534</v>
      </c>
      <c r="O60" s="242">
        <f>IF(Sheet1!O193="","",Sheet1!O193)</f>
        <v>-67352.486575359406</v>
      </c>
      <c r="P60" s="242">
        <f>IF(Sheet1!P193="","",Sheet1!P193)</f>
        <v>-68852.953234298358</v>
      </c>
      <c r="Q60" s="242">
        <f>IF(Sheet1!Q193="","",Sheet1!Q193)</f>
        <v>-69630.82076038525</v>
      </c>
      <c r="R60" s="242">
        <f>IF(Sheet1!R193="","",Sheet1!R193)</f>
        <v>-69610.261435485503</v>
      </c>
      <c r="S60" s="242">
        <f>IF(Sheet1!S193="","",Sheet1!S193)</f>
        <v>-68730.35738777119</v>
      </c>
    </row>
    <row r="61" spans="2:19">
      <c r="B61" t="s">
        <v>423</v>
      </c>
      <c r="D61" t="s">
        <v>1345</v>
      </c>
      <c r="E61" s="242" t="str">
        <f>IF(Sheet1!E194="","",Sheet1!E194)</f>
        <v/>
      </c>
      <c r="F61" s="242" t="str">
        <f>IF(Sheet1!F194="","",Sheet1!F194)</f>
        <v/>
      </c>
      <c r="G61" s="242" t="str">
        <f>IF(Sheet1!G194="","",Sheet1!G194)</f>
        <v/>
      </c>
      <c r="H61" s="242" t="str">
        <f>IF(Sheet1!H194="","",Sheet1!H194)</f>
        <v/>
      </c>
      <c r="I61" s="242" t="str">
        <f>IF(Sheet1!I194="","",Sheet1!I194)</f>
        <v/>
      </c>
      <c r="J61" s="242">
        <f>IF(Sheet1!J194="","",Sheet1!J194)</f>
        <v>48564.694117647072</v>
      </c>
      <c r="K61" s="242">
        <f>IF(Sheet1!K194="","",Sheet1!K194)</f>
        <v>49890.788905608701</v>
      </c>
      <c r="L61" s="242">
        <f>IF(Sheet1!L194="","",Sheet1!L194)</f>
        <v>49134.10011697415</v>
      </c>
      <c r="M61" s="242">
        <f>IF(Sheet1!M194="","",Sheet1!M194)</f>
        <v>56421.687158114975</v>
      </c>
      <c r="N61" s="242">
        <f>IF(Sheet1!N194="","",Sheet1!N194)</f>
        <v>57392.637533460744</v>
      </c>
      <c r="O61" s="242">
        <f>IF(Sheet1!O194="","",Sheet1!O194)</f>
        <v>58778.897656803019</v>
      </c>
      <c r="P61" s="242">
        <f>IF(Sheet1!P194="","",Sheet1!P194)</f>
        <v>59514.626104963128</v>
      </c>
      <c r="Q61" s="242">
        <f>IF(Sheet1!Q194="","",Sheet1!Q194)</f>
        <v>59521.370844145655</v>
      </c>
      <c r="R61" s="242">
        <f>IF(Sheet1!R194="","",Sheet1!R194)</f>
        <v>58732.894485877361</v>
      </c>
      <c r="S61" s="242">
        <f>IF(Sheet1!S194="","",Sheet1!S194)</f>
        <v>57098.645300033502</v>
      </c>
    </row>
    <row r="62" spans="2:19">
      <c r="B62" t="s">
        <v>424</v>
      </c>
      <c r="D62" t="s">
        <v>1346</v>
      </c>
      <c r="E62" s="242" t="str">
        <f>IF(Sheet1!E195="","",Sheet1!E195)</f>
        <v/>
      </c>
      <c r="F62" s="242" t="str">
        <f>IF(Sheet1!F195="","",Sheet1!F195)</f>
        <v/>
      </c>
      <c r="G62" s="242" t="str">
        <f>IF(Sheet1!G195="","",Sheet1!G195)</f>
        <v/>
      </c>
      <c r="H62" s="242" t="str">
        <f>IF(Sheet1!H195="","",Sheet1!H195)</f>
        <v/>
      </c>
      <c r="I62" s="242" t="str">
        <f>IF(Sheet1!I195="","",Sheet1!I195)</f>
        <v/>
      </c>
      <c r="J62" s="242">
        <f>IF(Sheet1!J195="","",Sheet1!J195)</f>
        <v>-48.600000000000364</v>
      </c>
      <c r="K62" s="242">
        <f>IF(Sheet1!K195="","",Sheet1!K195)</f>
        <v>1745</v>
      </c>
      <c r="L62" s="242">
        <f>IF(Sheet1!L195="","",Sheet1!L195)</f>
        <v>1314</v>
      </c>
      <c r="M62" s="242">
        <f>IF(Sheet1!M195="","",Sheet1!M195)</f>
        <v>2000.0000000000018</v>
      </c>
      <c r="N62" s="242">
        <f>IF(Sheet1!N195="","",Sheet1!N195)</f>
        <v>2000</v>
      </c>
      <c r="O62" s="242">
        <f>IF(Sheet1!O195="","",Sheet1!O195)</f>
        <v>0</v>
      </c>
      <c r="P62" s="242">
        <f>IF(Sheet1!P195="","",Sheet1!P195)</f>
        <v>0</v>
      </c>
      <c r="Q62" s="242">
        <f>IF(Sheet1!Q195="","",Sheet1!Q195)</f>
        <v>0</v>
      </c>
      <c r="R62" s="242">
        <f>IF(Sheet1!R195="","",Sheet1!R195)</f>
        <v>0</v>
      </c>
      <c r="S62" s="242">
        <f>IF(Sheet1!S195="","",Sheet1!S195)</f>
        <v>0</v>
      </c>
    </row>
    <row r="63" spans="2:19">
      <c r="B63" t="s">
        <v>425</v>
      </c>
      <c r="D63" t="s">
        <v>1617</v>
      </c>
      <c r="E63" s="242" t="str">
        <f>IF(Sheet1!E196="","",Sheet1!E196)</f>
        <v/>
      </c>
      <c r="F63" s="242" t="str">
        <f>IF(Sheet1!F196="","",Sheet1!F196)</f>
        <v/>
      </c>
      <c r="G63" s="242" t="str">
        <f>IF(Sheet1!G196="","",Sheet1!G196)</f>
        <v/>
      </c>
      <c r="H63" s="242" t="str">
        <f>IF(Sheet1!H196="","",Sheet1!H196)</f>
        <v/>
      </c>
      <c r="I63" s="242" t="str">
        <f>IF(Sheet1!I196="","",Sheet1!I196)</f>
        <v/>
      </c>
      <c r="J63" s="242">
        <f>IF(Sheet1!J196="","",Sheet1!J196)</f>
        <v>-287.84192402961844</v>
      </c>
      <c r="K63" s="242">
        <f>IF(Sheet1!K196="","",Sheet1!K196)</f>
        <v>-141.23990786324975</v>
      </c>
      <c r="L63" s="242">
        <f>IF(Sheet1!L196="","",Sheet1!L196)</f>
        <v>-23.165133591398899</v>
      </c>
      <c r="M63" s="242">
        <f>IF(Sheet1!M196="","",Sheet1!M196)</f>
        <v>62.309820251600286</v>
      </c>
      <c r="N63" s="242">
        <f>IF(Sheet1!N196="","",Sheet1!N196)</f>
        <v>129.19568447380152</v>
      </c>
      <c r="O63" s="242">
        <f>IF(Sheet1!O196="","",Sheet1!O196)</f>
        <v>185.89755746995434</v>
      </c>
      <c r="P63" s="242">
        <f>IF(Sheet1!P196="","",Sheet1!P196)</f>
        <v>234.12977410968142</v>
      </c>
      <c r="Q63" s="242">
        <f>IF(Sheet1!Q196="","",Sheet1!Q196)</f>
        <v>273.42823928145208</v>
      </c>
      <c r="R63" s="242">
        <f>IF(Sheet1!R196="","",Sheet1!R196)</f>
        <v>304.52449299685031</v>
      </c>
      <c r="S63" s="242">
        <f>IF(Sheet1!S196="","",Sheet1!S196)</f>
        <v>327.91878768145034</v>
      </c>
    </row>
    <row r="64" spans="2:19" ht="20.100000000000001" customHeight="1">
      <c r="B64" s="3" t="s">
        <v>1347</v>
      </c>
      <c r="C64" s="3"/>
      <c r="D64" s="3"/>
      <c r="E64" s="2"/>
      <c r="F64" s="2"/>
      <c r="G64" s="2"/>
      <c r="H64" s="2"/>
      <c r="I64" s="2"/>
      <c r="J64" s="2"/>
      <c r="K64" s="2"/>
      <c r="L64" s="2"/>
      <c r="M64" s="2"/>
      <c r="N64" s="2"/>
      <c r="O64" s="2"/>
      <c r="P64" s="2"/>
      <c r="Q64" s="2"/>
      <c r="R64" s="2"/>
      <c r="S64" s="2"/>
    </row>
    <row r="65" spans="2:19">
      <c r="B65" t="s">
        <v>426</v>
      </c>
      <c r="D65" t="s">
        <v>1348</v>
      </c>
      <c r="E65" s="242" t="str">
        <f>IF(Sheet1!E197="","",Sheet1!E197)</f>
        <v/>
      </c>
      <c r="F65" s="242" t="str">
        <f>IF(Sheet1!F197="","",Sheet1!F197)</f>
        <v/>
      </c>
      <c r="G65" s="242" t="str">
        <f>IF(Sheet1!G197="","",Sheet1!G197)</f>
        <v/>
      </c>
      <c r="H65" s="242" t="str">
        <f>IF(Sheet1!H197="","",Sheet1!H197)</f>
        <v/>
      </c>
      <c r="I65" s="242" t="str">
        <f>IF(Sheet1!I197="","",Sheet1!I197)</f>
        <v/>
      </c>
      <c r="J65" s="242">
        <f>IF(Sheet1!J197="","",Sheet1!J197)</f>
        <v>-1513.5046000000002</v>
      </c>
      <c r="K65" s="242">
        <f>IF(Sheet1!K197="","",Sheet1!K197)</f>
        <v>-1852.6831013090514</v>
      </c>
      <c r="L65" s="242">
        <f>IF(Sheet1!L197="","",Sheet1!L197)</f>
        <v>-2595.4435560534785</v>
      </c>
      <c r="M65" s="242">
        <f>IF(Sheet1!M197="","",Sheet1!M197)</f>
        <v>-3258.9882385340002</v>
      </c>
      <c r="N65" s="242">
        <f>IF(Sheet1!N197="","",Sheet1!N197)</f>
        <v>-4082.0094963826559</v>
      </c>
      <c r="O65" s="242">
        <f>IF(Sheet1!O197="","",Sheet1!O197)</f>
        <v>-4541.7537342296682</v>
      </c>
      <c r="P65" s="242">
        <f>IF(Sheet1!P197="","",Sheet1!P197)</f>
        <v>-6626.1241815810008</v>
      </c>
      <c r="Q65" s="242">
        <f>IF(Sheet1!Q197="","",Sheet1!Q197)</f>
        <v>-9022.8810390225717</v>
      </c>
      <c r="R65" s="242">
        <f>IF(Sheet1!R197="","",Sheet1!R197)</f>
        <v>-10746.542798965638</v>
      </c>
      <c r="S65" s="242">
        <f>IF(Sheet1!S197="","",Sheet1!S197)</f>
        <v>-12616.436844274116</v>
      </c>
    </row>
    <row r="66" spans="2:19">
      <c r="B66" t="s">
        <v>427</v>
      </c>
      <c r="D66" t="s">
        <v>1349</v>
      </c>
      <c r="E66" s="242" t="str">
        <f>IF(Sheet1!E198="","",Sheet1!E198)</f>
        <v/>
      </c>
      <c r="F66" s="242" t="str">
        <f>IF(Sheet1!F198="","",Sheet1!F198)</f>
        <v/>
      </c>
      <c r="G66" s="242" t="str">
        <f>IF(Sheet1!G198="","",Sheet1!G198)</f>
        <v/>
      </c>
      <c r="H66" s="242" t="str">
        <f>IF(Sheet1!H198="","",Sheet1!H198)</f>
        <v/>
      </c>
      <c r="I66" s="242" t="str">
        <f>IF(Sheet1!I198="","",Sheet1!I198)</f>
        <v/>
      </c>
      <c r="J66" s="242">
        <f>IF(Sheet1!J198="","",Sheet1!J198)</f>
        <v>0</v>
      </c>
      <c r="K66" s="242">
        <f>IF(Sheet1!K198="","",Sheet1!K198)</f>
        <v>0</v>
      </c>
      <c r="L66" s="242">
        <f>IF(Sheet1!L198="","",Sheet1!L198)</f>
        <v>0</v>
      </c>
      <c r="M66" s="242">
        <f>IF(Sheet1!M198="","",Sheet1!M198)</f>
        <v>0</v>
      </c>
      <c r="N66" s="242">
        <f>IF(Sheet1!N198="","",Sheet1!N198)</f>
        <v>0</v>
      </c>
      <c r="O66" s="242">
        <f>IF(Sheet1!O198="","",Sheet1!O198)</f>
        <v>0</v>
      </c>
      <c r="P66" s="242">
        <f>IF(Sheet1!P198="","",Sheet1!P198)</f>
        <v>0</v>
      </c>
      <c r="Q66" s="242">
        <f>IF(Sheet1!Q198="","",Sheet1!Q198)</f>
        <v>0</v>
      </c>
      <c r="R66" s="242">
        <f>IF(Sheet1!R198="","",Sheet1!R198)</f>
        <v>0</v>
      </c>
      <c r="S66" s="242">
        <f>IF(Sheet1!S198="","",Sheet1!S198)</f>
        <v>0</v>
      </c>
    </row>
    <row r="67" spans="2:19">
      <c r="B67" t="s">
        <v>428</v>
      </c>
      <c r="D67" t="s">
        <v>1350</v>
      </c>
      <c r="E67" s="242" t="str">
        <f>IF(Sheet1!E199="","",Sheet1!E199)</f>
        <v/>
      </c>
      <c r="F67" s="242" t="str">
        <f>IF(Sheet1!F199="","",Sheet1!F199)</f>
        <v/>
      </c>
      <c r="G67" s="242" t="str">
        <f>IF(Sheet1!G199="","",Sheet1!G199)</f>
        <v/>
      </c>
      <c r="H67" s="242" t="str">
        <f>IF(Sheet1!H199="","",Sheet1!H199)</f>
        <v/>
      </c>
      <c r="I67" s="242" t="str">
        <f>IF(Sheet1!I199="","",Sheet1!I199)</f>
        <v/>
      </c>
      <c r="J67" s="242">
        <f>IF(Sheet1!J199="","",Sheet1!J199)</f>
        <v>0</v>
      </c>
      <c r="K67" s="242">
        <f>IF(Sheet1!K199="","",Sheet1!K199)</f>
        <v>6392</v>
      </c>
      <c r="L67" s="242">
        <f>IF(Sheet1!L199="","",Sheet1!L199)</f>
        <v>0</v>
      </c>
      <c r="M67" s="242">
        <f>IF(Sheet1!M199="","",Sheet1!M199)</f>
        <v>0</v>
      </c>
      <c r="N67" s="242">
        <f>IF(Sheet1!N199="","",Sheet1!N199)</f>
        <v>0</v>
      </c>
      <c r="O67" s="242">
        <f>IF(Sheet1!O199="","",Sheet1!O199)</f>
        <v>0</v>
      </c>
      <c r="P67" s="242">
        <f>IF(Sheet1!P199="","",Sheet1!P199)</f>
        <v>0</v>
      </c>
      <c r="Q67" s="242">
        <f>IF(Sheet1!Q199="","",Sheet1!Q199)</f>
        <v>0</v>
      </c>
      <c r="R67" s="242">
        <f>IF(Sheet1!R199="","",Sheet1!R199)</f>
        <v>0</v>
      </c>
      <c r="S67" s="242">
        <f>IF(Sheet1!S199="","",Sheet1!S199)</f>
        <v>0</v>
      </c>
    </row>
    <row r="68" spans="2:19">
      <c r="B68" t="s">
        <v>429</v>
      </c>
      <c r="D68" t="s">
        <v>1351</v>
      </c>
      <c r="E68" s="242" t="str">
        <f>IF(Sheet1!E200="","",Sheet1!E200)</f>
        <v/>
      </c>
      <c r="F68" s="242" t="str">
        <f>IF(Sheet1!F200="","",Sheet1!F200)</f>
        <v/>
      </c>
      <c r="G68" s="242" t="str">
        <f>IF(Sheet1!G200="","",Sheet1!G200)</f>
        <v/>
      </c>
      <c r="H68" s="242" t="str">
        <f>IF(Sheet1!H200="","",Sheet1!H200)</f>
        <v/>
      </c>
      <c r="I68" s="242" t="str">
        <f>IF(Sheet1!I200="","",Sheet1!I200)</f>
        <v/>
      </c>
      <c r="J68" s="242">
        <f>IF(Sheet1!J200="","",Sheet1!J200)</f>
        <v>46714.747593617452</v>
      </c>
      <c r="K68" s="242">
        <f>IF(Sheet1!K200="","",Sheet1!K200)</f>
        <v>56033.8658964364</v>
      </c>
      <c r="L68" s="242">
        <f>IF(Sheet1!L200="","",Sheet1!L200)</f>
        <v>47829.491427329274</v>
      </c>
      <c r="M68" s="242">
        <f>IF(Sheet1!M200="","",Sheet1!M200)</f>
        <v>55225.00873983257</v>
      </c>
      <c r="N68" s="242">
        <f>IF(Sheet1!N200="","",Sheet1!N200)</f>
        <v>55439.823721551889</v>
      </c>
      <c r="O68" s="242">
        <f>IF(Sheet1!O200="","",Sheet1!O200)</f>
        <v>54423.041480043306</v>
      </c>
      <c r="P68" s="242">
        <f>IF(Sheet1!P200="","",Sheet1!P200)</f>
        <v>53122.631697491808</v>
      </c>
      <c r="Q68" s="242">
        <f>IF(Sheet1!Q200="","",Sheet1!Q200)</f>
        <v>50771.918044404534</v>
      </c>
      <c r="R68" s="242">
        <f>IF(Sheet1!R200="","",Sheet1!R200)</f>
        <v>48290.87617990857</v>
      </c>
      <c r="S68" s="242">
        <f>IF(Sheet1!S200="","",Sheet1!S200)</f>
        <v>44810.127243440838</v>
      </c>
    </row>
    <row r="69" spans="2:19">
      <c r="B69" t="s">
        <v>430</v>
      </c>
      <c r="D69" t="s">
        <v>1352</v>
      </c>
      <c r="E69" s="242" t="str">
        <f>IF(Sheet1!E201="","",Sheet1!E201)</f>
        <v/>
      </c>
      <c r="F69" s="242" t="str">
        <f>IF(Sheet1!F201="","",Sheet1!F201)</f>
        <v/>
      </c>
      <c r="G69" s="242" t="str">
        <f>IF(Sheet1!G201="","",Sheet1!G201)</f>
        <v/>
      </c>
      <c r="H69" s="242" t="str">
        <f>IF(Sheet1!H201="","",Sheet1!H201)</f>
        <v/>
      </c>
      <c r="I69" s="242" t="str">
        <f>IF(Sheet1!I201="","",Sheet1!I201)</f>
        <v/>
      </c>
      <c r="J69" s="242">
        <f>IF(Sheet1!J201="","",Sheet1!J201)</f>
        <v>3300.4716154460111</v>
      </c>
      <c r="K69" s="242">
        <f>IF(Sheet1!K201="","",Sheet1!K201)</f>
        <v>12428.378754548015</v>
      </c>
      <c r="L69" s="242">
        <f>IF(Sheet1!L201="","",Sheet1!L201)</f>
        <v>4958.3231053633208</v>
      </c>
      <c r="M69" s="242">
        <f>IF(Sheet1!M201="","",Sheet1!M201)</f>
        <v>11445.478854647205</v>
      </c>
      <c r="N69" s="242">
        <f>IF(Sheet1!N201="","",Sheet1!N201)</f>
        <v>12062.765272448967</v>
      </c>
      <c r="O69" s="242">
        <f>IF(Sheet1!O201="","",Sheet1!O201)</f>
        <v>10929.879492612192</v>
      </c>
      <c r="P69" s="242">
        <f>IF(Sheet1!P201="","",Sheet1!P201)</f>
        <v>10233.938180669451</v>
      </c>
      <c r="Q69" s="242">
        <f>IF(Sheet1!Q201="","",Sheet1!Q201)</f>
        <v>9256.6076888248208</v>
      </c>
      <c r="R69" s="242">
        <f>IF(Sheet1!R201="","",Sheet1!R201)</f>
        <v>8962.2181506483685</v>
      </c>
      <c r="S69" s="242">
        <f>IF(Sheet1!S201="","",Sheet1!S201)</f>
        <v>8512.8789244131476</v>
      </c>
    </row>
    <row r="70" spans="2:19">
      <c r="B70" t="s">
        <v>431</v>
      </c>
      <c r="D70" t="s">
        <v>1353</v>
      </c>
      <c r="E70" s="242" t="str">
        <f>IF(Sheet1!E202="","",Sheet1!E202)</f>
        <v/>
      </c>
      <c r="F70" s="242" t="str">
        <f>IF(Sheet1!F202="","",Sheet1!F202)</f>
        <v/>
      </c>
      <c r="G70" s="242" t="str">
        <f>IF(Sheet1!G202="","",Sheet1!G202)</f>
        <v/>
      </c>
      <c r="H70" s="242" t="str">
        <f>IF(Sheet1!H202="","",Sheet1!H202)</f>
        <v/>
      </c>
      <c r="I70" s="242" t="str">
        <f>IF(Sheet1!I202="","",Sheet1!I202)</f>
        <v/>
      </c>
      <c r="J70" s="242">
        <f>IF(Sheet1!J202="","",Sheet1!J202)</f>
        <v>68145.471615446004</v>
      </c>
      <c r="K70" s="242">
        <f>IF(Sheet1!K202="","",Sheet1!K202)</f>
        <v>80573.850369994019</v>
      </c>
      <c r="L70" s="242">
        <f>IF(Sheet1!L202="","",Sheet1!L202)</f>
        <v>85532.17347535734</v>
      </c>
      <c r="M70" s="242">
        <f>IF(Sheet1!M202="","",Sheet1!M202)</f>
        <v>96977.652330004552</v>
      </c>
      <c r="N70" s="242">
        <f>IF(Sheet1!N202="","",Sheet1!N202)</f>
        <v>109040.41760245353</v>
      </c>
      <c r="O70" s="242">
        <f>IF(Sheet1!O202="","",Sheet1!O202)</f>
        <v>119970.29709506572</v>
      </c>
      <c r="P70" s="242">
        <f>IF(Sheet1!P202="","",Sheet1!P202)</f>
        <v>130204.23527573518</v>
      </c>
      <c r="Q70" s="242">
        <f>IF(Sheet1!Q202="","",Sheet1!Q202)</f>
        <v>139460.84296456</v>
      </c>
      <c r="R70" s="242">
        <f>IF(Sheet1!R202="","",Sheet1!R202)</f>
        <v>148423.06111520837</v>
      </c>
      <c r="S70" s="242">
        <f>IF(Sheet1!S202="","",Sheet1!S202)</f>
        <v>156935.94003962152</v>
      </c>
    </row>
    <row r="71" spans="2:19">
      <c r="B71" t="s">
        <v>1354</v>
      </c>
      <c r="D71" t="s">
        <v>1355</v>
      </c>
      <c r="E71" s="242" t="str">
        <f>IF(Sheet1!E203="","",Sheet1!E203)</f>
        <v/>
      </c>
      <c r="F71" s="242" t="str">
        <f>IF(Sheet1!F203="","",Sheet1!F203)</f>
        <v/>
      </c>
      <c r="G71" s="242" t="str">
        <f>IF(Sheet1!G203="","",Sheet1!G203)</f>
        <v/>
      </c>
      <c r="H71" s="242" t="str">
        <f>IF(Sheet1!H203="","",Sheet1!H203)</f>
        <v/>
      </c>
      <c r="I71" s="242" t="str">
        <f>IF(Sheet1!I203="","",Sheet1!I203)</f>
        <v/>
      </c>
      <c r="J71" s="242" t="str">
        <f>IF(Sheet1!J203="","",Sheet1!J203)</f>
        <v/>
      </c>
      <c r="K71" s="242" t="str">
        <f>IF(Sheet1!K203="","",Sheet1!K203)</f>
        <v/>
      </c>
      <c r="L71" s="242" t="str">
        <f>IF(Sheet1!L203="","",Sheet1!L203)</f>
        <v/>
      </c>
      <c r="M71" s="242" t="str">
        <f>IF(Sheet1!M203="","",Sheet1!M203)</f>
        <v/>
      </c>
      <c r="N71" s="242" t="str">
        <f>IF(Sheet1!N203="","",Sheet1!N203)</f>
        <v/>
      </c>
      <c r="O71" s="242" t="str">
        <f>IF(Sheet1!O203="","",Sheet1!O203)</f>
        <v/>
      </c>
      <c r="P71" s="242" t="str">
        <f>IF(Sheet1!P203="","",Sheet1!P203)</f>
        <v/>
      </c>
      <c r="Q71" s="242" t="str">
        <f>IF(Sheet1!Q203="","",Sheet1!Q203)</f>
        <v/>
      </c>
      <c r="R71" s="242" t="str">
        <f>IF(Sheet1!R203="","",Sheet1!R203)</f>
        <v/>
      </c>
      <c r="S71" s="242" t="str">
        <f>IF(Sheet1!S203="","",Sheet1!S203)</f>
        <v/>
      </c>
    </row>
    <row r="72" spans="2:19">
      <c r="B72" t="s">
        <v>1356</v>
      </c>
      <c r="D72" t="s">
        <v>1357</v>
      </c>
      <c r="E72" s="242" t="str">
        <f>IF(Sheet1!E204="","",Sheet1!E204)</f>
        <v/>
      </c>
      <c r="F72" s="242" t="str">
        <f>IF(Sheet1!F204="","",Sheet1!F204)</f>
        <v/>
      </c>
      <c r="G72" s="242" t="str">
        <f>IF(Sheet1!G204="","",Sheet1!G204)</f>
        <v/>
      </c>
      <c r="H72" s="242" t="str">
        <f>IF(Sheet1!H204="","",Sheet1!H204)</f>
        <v/>
      </c>
      <c r="I72" s="242" t="str">
        <f>IF(Sheet1!I204="","",Sheet1!I204)</f>
        <v/>
      </c>
      <c r="J72" s="242" t="str">
        <f>IF(Sheet1!J204="","",Sheet1!J204)</f>
        <v/>
      </c>
      <c r="K72" s="242" t="str">
        <f>IF(Sheet1!K204="","",Sheet1!K204)</f>
        <v/>
      </c>
      <c r="L72" s="242" t="str">
        <f>IF(Sheet1!L204="","",Sheet1!L204)</f>
        <v/>
      </c>
      <c r="M72" s="242" t="str">
        <f>IF(Sheet1!M204="","",Sheet1!M204)</f>
        <v/>
      </c>
      <c r="N72" s="242" t="str">
        <f>IF(Sheet1!N204="","",Sheet1!N204)</f>
        <v/>
      </c>
      <c r="O72" s="242" t="str">
        <f>IF(Sheet1!O204="","",Sheet1!O204)</f>
        <v/>
      </c>
      <c r="P72" s="242" t="str">
        <f>IF(Sheet1!P204="","",Sheet1!P204)</f>
        <v/>
      </c>
      <c r="Q72" s="242" t="str">
        <f>IF(Sheet1!Q204="","",Sheet1!Q204)</f>
        <v/>
      </c>
      <c r="R72" s="242" t="str">
        <f>IF(Sheet1!R204="","",Sheet1!R204)</f>
        <v/>
      </c>
      <c r="S72" s="242" t="str">
        <f>IF(Sheet1!S204="","",Sheet1!S204)</f>
        <v/>
      </c>
    </row>
    <row r="73" spans="2:19">
      <c r="B73" t="s">
        <v>432</v>
      </c>
      <c r="D73" t="s">
        <v>1358</v>
      </c>
      <c r="E73" s="242" t="str">
        <f>IF(Sheet1!E205="","",Sheet1!E205)</f>
        <v/>
      </c>
      <c r="F73" s="242" t="str">
        <f>IF(Sheet1!F205="","",Sheet1!F205)</f>
        <v/>
      </c>
      <c r="G73" s="242" t="str">
        <f>IF(Sheet1!G205="","",Sheet1!G205)</f>
        <v/>
      </c>
      <c r="H73" s="242" t="str">
        <f>IF(Sheet1!H205="","",Sheet1!H205)</f>
        <v/>
      </c>
      <c r="I73" s="242" t="str">
        <f>IF(Sheet1!I205="","",Sheet1!I205)</f>
        <v/>
      </c>
      <c r="J73" s="242" t="str">
        <f>IF(Sheet1!J205="","",Sheet1!J205)</f>
        <v/>
      </c>
      <c r="K73" s="242" t="str">
        <f>IF(Sheet1!K205="","",Sheet1!K205)</f>
        <v/>
      </c>
      <c r="L73" s="242" t="str">
        <f>IF(Sheet1!L205="","",Sheet1!L205)</f>
        <v/>
      </c>
      <c r="M73" s="242" t="str">
        <f>IF(Sheet1!M205="","",Sheet1!M205)</f>
        <v/>
      </c>
      <c r="N73" s="242" t="str">
        <f>IF(Sheet1!N205="","",Sheet1!N205)</f>
        <v/>
      </c>
      <c r="O73" s="242" t="str">
        <f>IF(Sheet1!O205="","",Sheet1!O205)</f>
        <v/>
      </c>
      <c r="P73" s="242" t="str">
        <f>IF(Sheet1!P205="","",Sheet1!P205)</f>
        <v/>
      </c>
      <c r="Q73" s="242" t="str">
        <f>IF(Sheet1!Q205="","",Sheet1!Q205)</f>
        <v/>
      </c>
      <c r="R73" s="242" t="str">
        <f>IF(Sheet1!R205="","",Sheet1!R205)</f>
        <v/>
      </c>
      <c r="S73" s="242" t="str">
        <f>IF(Sheet1!S205="","",Sheet1!S205)</f>
        <v/>
      </c>
    </row>
    <row r="74" spans="2:19">
      <c r="B74" t="s">
        <v>433</v>
      </c>
      <c r="D74" t="s">
        <v>1359</v>
      </c>
      <c r="E74" s="242" t="str">
        <f>IF(Sheet1!E206="","",Sheet1!E206)</f>
        <v>FY21A</v>
      </c>
      <c r="F74" s="242" t="str">
        <f>IF(Sheet1!F206="","",Sheet1!F206)</f>
        <v>FY22A</v>
      </c>
      <c r="G74" s="242" t="str">
        <f>IF(Sheet1!G206="","",Sheet1!G206)</f>
        <v>FY23A</v>
      </c>
      <c r="H74" s="242" t="str">
        <f>IF(Sheet1!H206="","",Sheet1!H206)</f>
        <v>FY24A</v>
      </c>
      <c r="I74" s="242" t="str">
        <f>IF(Sheet1!I206="","",Sheet1!I206)</f>
        <v>FY25A</v>
      </c>
      <c r="J74" s="242" t="str">
        <f>IF(Sheet1!J206="","",Sheet1!J206)</f>
        <v>FY26E</v>
      </c>
      <c r="K74" s="242" t="str">
        <f>IF(Sheet1!K206="","",Sheet1!K206)</f>
        <v>FY27E</v>
      </c>
      <c r="L74" s="242" t="str">
        <f>IF(Sheet1!L206="","",Sheet1!L206)</f>
        <v>FY28E</v>
      </c>
      <c r="M74" s="242" t="str">
        <f>IF(Sheet1!M206="","",Sheet1!M206)</f>
        <v>FY29E</v>
      </c>
      <c r="N74" s="242" t="str">
        <f>IF(Sheet1!N206="","",Sheet1!N206)</f>
        <v>FY30E</v>
      </c>
      <c r="O74" s="242" t="str">
        <f>IF(Sheet1!O206="","",Sheet1!O206)</f>
        <v>FY31E</v>
      </c>
      <c r="P74" s="242" t="str">
        <f>IF(Sheet1!P206="","",Sheet1!P206)</f>
        <v>FY32E</v>
      </c>
      <c r="Q74" s="242" t="str">
        <f>IF(Sheet1!Q206="","",Sheet1!Q206)</f>
        <v>FY33E</v>
      </c>
      <c r="R74" s="242" t="str">
        <f>IF(Sheet1!R206="","",Sheet1!R206)</f>
        <v>FY34E</v>
      </c>
      <c r="S74" s="242" t="str">
        <f>IF(Sheet1!S206="","",Sheet1!S206)</f>
        <v>FY35E</v>
      </c>
    </row>
    <row r="75" spans="2:19" ht="20.100000000000001" customHeight="1">
      <c r="B75" s="3" t="s">
        <v>1618</v>
      </c>
      <c r="C75" s="3"/>
      <c r="D75" s="3"/>
      <c r="E75" s="2"/>
      <c r="F75" s="2"/>
      <c r="G75" s="2"/>
      <c r="H75" s="2"/>
      <c r="I75" s="2"/>
      <c r="J75" s="2"/>
      <c r="K75" s="2"/>
      <c r="L75" s="2"/>
      <c r="M75" s="2"/>
      <c r="N75" s="2"/>
      <c r="O75" s="2"/>
      <c r="P75" s="2"/>
      <c r="Q75" s="2"/>
      <c r="R75" s="2"/>
      <c r="S75" s="2"/>
    </row>
    <row r="76" spans="2:19">
      <c r="B76" t="s">
        <v>539</v>
      </c>
      <c r="D76" t="s">
        <v>1585</v>
      </c>
      <c r="E76" s="242" t="str">
        <f>IF(Sheet1!E314="","",Sheet1!E314)</f>
        <v>FY21A</v>
      </c>
      <c r="F76" s="242" t="str">
        <f>IF(Sheet1!F314="","",Sheet1!F314)</f>
        <v>FY22A</v>
      </c>
      <c r="G76" s="242" t="str">
        <f>IF(Sheet1!G314="","",Sheet1!G314)</f>
        <v>FY23A</v>
      </c>
      <c r="H76" s="242" t="str">
        <f>IF(Sheet1!H314="","",Sheet1!H314)</f>
        <v>FY24A</v>
      </c>
      <c r="I76" s="242" t="str">
        <f>IF(Sheet1!I314="","",Sheet1!I314)</f>
        <v>FY25A</v>
      </c>
      <c r="J76" s="242" t="str">
        <f>IF(Sheet1!J314="","",Sheet1!J314)</f>
        <v>FY26E</v>
      </c>
      <c r="K76" s="242" t="str">
        <f>IF(Sheet1!K314="","",Sheet1!K314)</f>
        <v>FY27E</v>
      </c>
      <c r="L76" s="242" t="str">
        <f>IF(Sheet1!L314="","",Sheet1!L314)</f>
        <v>FY28E</v>
      </c>
      <c r="M76" s="242" t="str">
        <f>IF(Sheet1!M314="","",Sheet1!M314)</f>
        <v>FY29E</v>
      </c>
      <c r="N76" s="242" t="str">
        <f>IF(Sheet1!N314="","",Sheet1!N314)</f>
        <v>FY30E</v>
      </c>
      <c r="O76" s="242" t="str">
        <f>IF(Sheet1!O314="","",Sheet1!O314)</f>
        <v>FY31E</v>
      </c>
      <c r="P76" s="242" t="str">
        <f>IF(Sheet1!P314="","",Sheet1!P314)</f>
        <v>FY32E</v>
      </c>
      <c r="Q76" s="242" t="str">
        <f>IF(Sheet1!Q314="","",Sheet1!Q314)</f>
        <v>FY33E</v>
      </c>
      <c r="R76" s="242" t="str">
        <f>IF(Sheet1!R314="","",Sheet1!R314)</f>
        <v>FY34E</v>
      </c>
      <c r="S76" s="242" t="str">
        <f>IF(Sheet1!S314="","",Sheet1!S314)</f>
        <v>FY35E</v>
      </c>
    </row>
    <row r="77" spans="2:19">
      <c r="B77" t="s">
        <v>540</v>
      </c>
      <c r="D77" t="s">
        <v>1258</v>
      </c>
      <c r="E77" s="242">
        <f>IF(Sheet1!E315="","",Sheet1!E315)</f>
        <v>0.22090000000000001</v>
      </c>
      <c r="F77" s="242">
        <f>IF(Sheet1!F315="","",Sheet1!F315)</f>
        <v>0.2029</v>
      </c>
      <c r="G77" s="242">
        <f>IF(Sheet1!G315="","",Sheet1!G315)</f>
        <v>0.2104</v>
      </c>
      <c r="H77" s="242">
        <f>IF(Sheet1!H315="","",Sheet1!H315)</f>
        <v>0.214</v>
      </c>
      <c r="I77" s="242">
        <f>IF(Sheet1!I315="","",Sheet1!I315)</f>
        <v>0.22</v>
      </c>
      <c r="J77" s="242" t="str">
        <f>IF(Sheet1!J315="","",Sheet1!J315)</f>
        <v/>
      </c>
      <c r="K77" s="242" t="str">
        <f>IF(Sheet1!K315="","",Sheet1!K315)</f>
        <v/>
      </c>
      <c r="L77" s="242" t="str">
        <f>IF(Sheet1!L315="","",Sheet1!L315)</f>
        <v/>
      </c>
      <c r="M77" s="242" t="str">
        <f>IF(Sheet1!M315="","",Sheet1!M315)</f>
        <v/>
      </c>
      <c r="N77" s="242" t="str">
        <f>IF(Sheet1!N315="","",Sheet1!N315)</f>
        <v/>
      </c>
      <c r="O77" s="242" t="str">
        <f>IF(Sheet1!O315="","",Sheet1!O315)</f>
        <v/>
      </c>
      <c r="P77" s="242" t="str">
        <f>IF(Sheet1!P315="","",Sheet1!P315)</f>
        <v/>
      </c>
      <c r="Q77" s="242" t="str">
        <f>IF(Sheet1!Q315="","",Sheet1!Q315)</f>
        <v/>
      </c>
      <c r="R77" s="242" t="str">
        <f>IF(Sheet1!R315="","",Sheet1!R315)</f>
        <v/>
      </c>
      <c r="S77" s="242" t="str">
        <f>IF(Sheet1!S315="","",Sheet1!S315)</f>
        <v/>
      </c>
    </row>
    <row r="78" spans="2:19">
      <c r="B78" t="s">
        <v>542</v>
      </c>
      <c r="D78" t="s">
        <v>1586</v>
      </c>
      <c r="E78" s="242">
        <f>IF(Sheet1!E316="","",Sheet1!E316)</f>
        <v>25122.769</v>
      </c>
      <c r="F78" s="242">
        <f>IF(Sheet1!F316="","",Sheet1!F316)</f>
        <v>33109.949000000001</v>
      </c>
      <c r="G78" s="242">
        <f>IF(Sheet1!G316="","",Sheet1!G316)</f>
        <v>38115.228000000003</v>
      </c>
      <c r="H78" s="242">
        <f>IF(Sheet1!H316="","",Sheet1!H316)</f>
        <v>43951.330999999998</v>
      </c>
      <c r="I78" s="242">
        <f>IF(Sheet1!I316="","",Sheet1!I316)</f>
        <v>50573.14</v>
      </c>
      <c r="J78" s="242">
        <f>IF(Sheet1!J316="","",Sheet1!J316)</f>
        <v>57497.469389564503</v>
      </c>
      <c r="K78" s="242">
        <f>IF(Sheet1!K316="","",Sheet1!K316)</f>
        <v>65800.049905734297</v>
      </c>
      <c r="L78" s="242">
        <f>IF(Sheet1!L316="","",Sheet1!L316)</f>
        <v>81245.549766519674</v>
      </c>
      <c r="M78" s="242">
        <f>IF(Sheet1!M316="","",Sheet1!M316)</f>
        <v>91318.45142531718</v>
      </c>
      <c r="N78" s="242">
        <f>IF(Sheet1!N316="","",Sheet1!N316)</f>
        <v>102081.9712082749</v>
      </c>
      <c r="O78" s="242">
        <f>IF(Sheet1!O316="","",Sheet1!O316)</f>
        <v>113786.21335057645</v>
      </c>
      <c r="P78" s="242">
        <f>IF(Sheet1!P316="","",Sheet1!P316)</f>
        <v>124902.57519202505</v>
      </c>
      <c r="Q78" s="242">
        <f>IF(Sheet1!Q316="","",Sheet1!Q316)</f>
        <v>135139.57746918569</v>
      </c>
      <c r="R78" s="242">
        <f>IF(Sheet1!R316="","",Sheet1!R316)</f>
        <v>145147.39656609084</v>
      </c>
      <c r="S78" s="242">
        <f>IF(Sheet1!S316="","",Sheet1!S316)</f>
        <v>154759.55066820636</v>
      </c>
    </row>
    <row r="79" spans="2:19">
      <c r="B79" t="s">
        <v>544</v>
      </c>
      <c r="D79" t="s">
        <v>1587</v>
      </c>
      <c r="E79" s="242">
        <f>IF(Sheet1!E317="","",Sheet1!E317)</f>
        <v>171029.47328718999</v>
      </c>
      <c r="F79" s="242">
        <f>IF(Sheet1!F317="","",Sheet1!F317)</f>
        <v>208197.58893184</v>
      </c>
      <c r="G79" s="242">
        <f>IF(Sheet1!G317="","",Sheet1!G317)</f>
        <v>242001.27376320001</v>
      </c>
      <c r="H79" s="242">
        <f>IF(Sheet1!H317="","",Sheet1!H317)</f>
        <v>284273.74983609997</v>
      </c>
      <c r="I79" s="242">
        <f>IF(Sheet1!I317="","",Sheet1!I317)</f>
        <v>330978.16936767998</v>
      </c>
      <c r="J79" s="242">
        <f>IF(Sheet1!J317="","",Sheet1!J317)</f>
        <v>376220.19872953329</v>
      </c>
      <c r="K79" s="242">
        <f>IF(Sheet1!K317="","",Sheet1!K317)</f>
        <v>423765.3245362537</v>
      </c>
      <c r="L79" s="242">
        <f>IF(Sheet1!L317="","",Sheet1!L317)</f>
        <v>472397.87200694199</v>
      </c>
      <c r="M79" s="242">
        <f>IF(Sheet1!M317="","",Sheet1!M317)</f>
        <v>522170.15457277733</v>
      </c>
      <c r="N79" s="242">
        <f>IF(Sheet1!N317="","",Sheet1!N317)</f>
        <v>572893.66079123539</v>
      </c>
      <c r="O79" s="242">
        <f>IF(Sheet1!O317="","",Sheet1!O317)</f>
        <v>624992.30763481196</v>
      </c>
      <c r="P79" s="242">
        <f>IF(Sheet1!P317="","",Sheet1!P317)</f>
        <v>677897.72164081119</v>
      </c>
      <c r="Q79" s="242">
        <f>IF(Sheet1!Q317="","",Sheet1!Q317)</f>
        <v>730933.88579828385</v>
      </c>
      <c r="R79" s="242">
        <f>IF(Sheet1!R317="","",Sheet1!R317)</f>
        <v>783391.05677355058</v>
      </c>
      <c r="S79" s="242">
        <f>IF(Sheet1!S317="","",Sheet1!S317)</f>
        <v>834515.00627577503</v>
      </c>
    </row>
    <row r="80" spans="2:19">
      <c r="B80" t="s">
        <v>545</v>
      </c>
      <c r="D80" t="s">
        <v>1588</v>
      </c>
      <c r="E80" s="242">
        <f>IF(Sheet1!E318="","",Sheet1!E318)</f>
        <v>0.66507284863701666</v>
      </c>
      <c r="F80" s="242">
        <f>IF(Sheet1!F318="","",Sheet1!F318)</f>
        <v>0.78366807145598039</v>
      </c>
      <c r="G80" s="242">
        <f>IF(Sheet1!G318="","",Sheet1!G318)</f>
        <v>0.74842352762666309</v>
      </c>
      <c r="H80" s="242">
        <f>IF(Sheet1!H318="","",Sheet1!H318)</f>
        <v>0.72234910581224276</v>
      </c>
      <c r="I80" s="242">
        <f>IF(Sheet1!I318="","",Sheet1!I318)</f>
        <v>0.69465073312612002</v>
      </c>
      <c r="J80" s="242">
        <f>IF(Sheet1!J318="","",Sheet1!J318)</f>
        <v>0.69465073312612002</v>
      </c>
      <c r="K80" s="242">
        <f>IF(Sheet1!K318="","",Sheet1!K318)</f>
        <v>0.69465073312612002</v>
      </c>
      <c r="L80" s="242">
        <f>IF(Sheet1!L318="","",Sheet1!L318)</f>
        <v>0.69465073312612002</v>
      </c>
      <c r="M80" s="242">
        <f>IF(Sheet1!M318="","",Sheet1!M318)</f>
        <v>0.69465073312612002</v>
      </c>
      <c r="N80" s="242">
        <f>IF(Sheet1!N318="","",Sheet1!N318)</f>
        <v>0.69465073312612002</v>
      </c>
      <c r="O80" s="242">
        <f>IF(Sheet1!O318="","",Sheet1!O318)</f>
        <v>0.69465073312612002</v>
      </c>
      <c r="P80" s="242">
        <f>IF(Sheet1!P318="","",Sheet1!P318)</f>
        <v>0.69465073312612002</v>
      </c>
      <c r="Q80" s="242">
        <f>IF(Sheet1!Q318="","",Sheet1!Q318)</f>
        <v>0.69465073312612002</v>
      </c>
      <c r="R80" s="242">
        <f>IF(Sheet1!R318="","",Sheet1!R318)</f>
        <v>0.69465073312612002</v>
      </c>
      <c r="S80" s="242">
        <f>IF(Sheet1!S318="","",Sheet1!S318)</f>
        <v>0.69465073312612002</v>
      </c>
    </row>
    <row r="81" spans="2:19">
      <c r="B81" t="s">
        <v>546</v>
      </c>
      <c r="D81" t="s">
        <v>1589</v>
      </c>
      <c r="E81" s="242">
        <f>IF(Sheet1!E319="","",Sheet1!E319)</f>
        <v>113747.05899999999</v>
      </c>
      <c r="F81" s="242">
        <f>IF(Sheet1!F319="","",Sheet1!F319)</f>
        <v>163157.80300000001</v>
      </c>
      <c r="G81" s="242">
        <f>IF(Sheet1!G319="","",Sheet1!G319)</f>
        <v>181119.44699999999</v>
      </c>
      <c r="H81" s="242">
        <f>IF(Sheet1!H319="","",Sheet1!H319)</f>
        <v>205344.889</v>
      </c>
      <c r="I81" s="242">
        <f>IF(Sheet1!I319="","",Sheet1!I319)</f>
        <v>229914.228</v>
      </c>
      <c r="J81" s="242">
        <f>IF(Sheet1!J319="","",Sheet1!J319)</f>
        <v>261341.63686432489</v>
      </c>
      <c r="K81" s="242">
        <f>IF(Sheet1!K319="","",Sheet1!K319)</f>
        <v>294368.89336253679</v>
      </c>
      <c r="L81" s="242">
        <f>IF(Sheet1!L319="","",Sheet1!L319)</f>
        <v>328151.52811684128</v>
      </c>
      <c r="M81" s="242">
        <f>IF(Sheet1!M319="","",Sheet1!M319)</f>
        <v>362725.88069055916</v>
      </c>
      <c r="N81" s="242">
        <f>IF(Sheet1!N319="","",Sheet1!N319)</f>
        <v>397961.00147193839</v>
      </c>
      <c r="O81" s="242">
        <f>IF(Sheet1!O319="","",Sheet1!O319)</f>
        <v>434151.36469670769</v>
      </c>
      <c r="P81" s="242">
        <f>IF(Sheet1!P319="","",Sheet1!P319)</f>
        <v>470902.14932231593</v>
      </c>
      <c r="Q81" s="242">
        <f>IF(Sheet1!Q319="","",Sheet1!Q319)</f>
        <v>507743.75963650155</v>
      </c>
      <c r="R81" s="242">
        <f>IF(Sheet1!R319="","",Sheet1!R319)</f>
        <v>544183.17191219283</v>
      </c>
      <c r="S81" s="242">
        <f>IF(Sheet1!S319="","",Sheet1!S319)</f>
        <v>579696.46091421577</v>
      </c>
    </row>
    <row r="82" spans="2:19">
      <c r="B82" t="s">
        <v>548</v>
      </c>
      <c r="D82" t="s">
        <v>1590</v>
      </c>
      <c r="E82" s="242" t="str">
        <f>IF(Sheet1!E320="","",Sheet1!E320)</f>
        <v/>
      </c>
      <c r="F82" s="242" t="str">
        <f>IF(Sheet1!F320="","",Sheet1!F320)</f>
        <v/>
      </c>
      <c r="G82" s="242" t="str">
        <f>IF(Sheet1!G320="","",Sheet1!G320)</f>
        <v/>
      </c>
      <c r="H82" s="242" t="str">
        <f>IF(Sheet1!H320="","",Sheet1!H320)</f>
        <v/>
      </c>
      <c r="I82" s="242" t="str">
        <f>IF(Sheet1!I320="","",Sheet1!I320)</f>
        <v/>
      </c>
      <c r="J82" s="242">
        <f>IF(Sheet1!J320="","",Sheet1!J320)</f>
        <v>0</v>
      </c>
      <c r="K82" s="242">
        <f>IF(Sheet1!K320="","",Sheet1!K320)</f>
        <v>0</v>
      </c>
      <c r="L82" s="242">
        <f>IF(Sheet1!L320="","",Sheet1!L320)</f>
        <v>0</v>
      </c>
      <c r="M82" s="242">
        <f>IF(Sheet1!M320="","",Sheet1!M320)</f>
        <v>0</v>
      </c>
      <c r="N82" s="242">
        <f>IF(Sheet1!N320="","",Sheet1!N320)</f>
        <v>0</v>
      </c>
      <c r="O82" s="242">
        <f>IF(Sheet1!O320="","",Sheet1!O320)</f>
        <v>0</v>
      </c>
      <c r="P82" s="242">
        <f>IF(Sheet1!P320="","",Sheet1!P320)</f>
        <v>0</v>
      </c>
      <c r="Q82" s="242">
        <f>IF(Sheet1!Q320="","",Sheet1!Q320)</f>
        <v>0</v>
      </c>
      <c r="R82" s="242">
        <f>IF(Sheet1!R320="","",Sheet1!R320)</f>
        <v>0</v>
      </c>
      <c r="S82" s="242">
        <f>IF(Sheet1!S320="","",Sheet1!S320)</f>
        <v>0</v>
      </c>
    </row>
    <row r="83" spans="2:19">
      <c r="B83" t="s">
        <v>549</v>
      </c>
      <c r="D83" t="s">
        <v>1591</v>
      </c>
      <c r="E83" s="242" t="str">
        <f>IF(Sheet1!E321="","",Sheet1!E321)</f>
        <v/>
      </c>
      <c r="F83" s="242" t="str">
        <f>IF(Sheet1!F321="","",Sheet1!F321)</f>
        <v/>
      </c>
      <c r="G83" s="242" t="str">
        <f>IF(Sheet1!G321="","",Sheet1!G321)</f>
        <v/>
      </c>
      <c r="H83" s="242" t="str">
        <f>IF(Sheet1!H321="","",Sheet1!H321)</f>
        <v/>
      </c>
      <c r="I83" s="242" t="str">
        <f>IF(Sheet1!I321="","",Sheet1!I321)</f>
        <v/>
      </c>
      <c r="J83" s="242">
        <f>IF(Sheet1!J321="","",Sheet1!J321)</f>
        <v>0</v>
      </c>
      <c r="K83" s="242">
        <f>IF(Sheet1!K321="","",Sheet1!K321)</f>
        <v>6392</v>
      </c>
      <c r="L83" s="242">
        <f>IF(Sheet1!L321="","",Sheet1!L321)</f>
        <v>0</v>
      </c>
      <c r="M83" s="242">
        <f>IF(Sheet1!M321="","",Sheet1!M321)</f>
        <v>0</v>
      </c>
      <c r="N83" s="242">
        <f>IF(Sheet1!N321="","",Sheet1!N321)</f>
        <v>0</v>
      </c>
      <c r="O83" s="242">
        <f>IF(Sheet1!O321="","",Sheet1!O321)</f>
        <v>0</v>
      </c>
      <c r="P83" s="242">
        <f>IF(Sheet1!P321="","",Sheet1!P321)</f>
        <v>0</v>
      </c>
      <c r="Q83" s="242">
        <f>IF(Sheet1!Q321="","",Sheet1!Q321)</f>
        <v>0</v>
      </c>
      <c r="R83" s="242">
        <f>IF(Sheet1!R321="","",Sheet1!R321)</f>
        <v>0</v>
      </c>
      <c r="S83" s="242">
        <f>IF(Sheet1!S321="","",Sheet1!S321)</f>
        <v>0</v>
      </c>
    </row>
    <row r="84" spans="2:19">
      <c r="B84" t="s">
        <v>550</v>
      </c>
      <c r="D84" t="s">
        <v>1592</v>
      </c>
      <c r="E84" s="242" t="str">
        <f>IF(Sheet1!E322="","",Sheet1!E322)</f>
        <v/>
      </c>
      <c r="F84" s="242" t="str">
        <f>IF(Sheet1!F322="","",Sheet1!F322)</f>
        <v/>
      </c>
      <c r="G84" s="242" t="str">
        <f>IF(Sheet1!G322="","",Sheet1!G322)</f>
        <v/>
      </c>
      <c r="H84" s="242" t="str">
        <f>IF(Sheet1!H322="","",Sheet1!H322)</f>
        <v/>
      </c>
      <c r="I84" s="242" t="str">
        <f>IF(Sheet1!I322="","",Sheet1!I322)</f>
        <v/>
      </c>
      <c r="J84" s="242">
        <f>IF(Sheet1!J322="","",Sheet1!J322)</f>
        <v>0</v>
      </c>
      <c r="K84" s="242">
        <f>IF(Sheet1!K322="","",Sheet1!K322)</f>
        <v>6800</v>
      </c>
      <c r="L84" s="242">
        <f>IF(Sheet1!L322="","",Sheet1!L322)</f>
        <v>0</v>
      </c>
      <c r="M84" s="242">
        <f>IF(Sheet1!M322="","",Sheet1!M322)</f>
        <v>0</v>
      </c>
      <c r="N84" s="242">
        <f>IF(Sheet1!N322="","",Sheet1!N322)</f>
        <v>0</v>
      </c>
      <c r="O84" s="242">
        <f>IF(Sheet1!O322="","",Sheet1!O322)</f>
        <v>0</v>
      </c>
      <c r="P84" s="242">
        <f>IF(Sheet1!P322="","",Sheet1!P322)</f>
        <v>0</v>
      </c>
      <c r="Q84" s="242">
        <f>IF(Sheet1!Q322="","",Sheet1!Q322)</f>
        <v>0</v>
      </c>
      <c r="R84" s="242">
        <f>IF(Sheet1!R322="","",Sheet1!R322)</f>
        <v>0</v>
      </c>
      <c r="S84" s="242">
        <f>IF(Sheet1!S322="","",Sheet1!S322)</f>
        <v>0</v>
      </c>
    </row>
    <row r="85" spans="2:19">
      <c r="B85" t="s">
        <v>551</v>
      </c>
      <c r="D85" t="s">
        <v>1593</v>
      </c>
      <c r="E85" s="242">
        <f>IF(Sheet1!E323="","",Sheet1!E323)</f>
        <v>41129.307000000001</v>
      </c>
      <c r="F85" s="242">
        <f>IF(Sheet1!F323="","",Sheet1!F323)</f>
        <v>46129.26</v>
      </c>
      <c r="G85" s="242">
        <f>IF(Sheet1!G323="","",Sheet1!G323)</f>
        <v>46129.26</v>
      </c>
      <c r="H85" s="242">
        <f>IF(Sheet1!H323="","",Sheet1!H323)</f>
        <v>46129.26</v>
      </c>
      <c r="I85" s="242">
        <f>IF(Sheet1!I323="","",Sheet1!I323)</f>
        <v>46129.26</v>
      </c>
      <c r="J85" s="242">
        <f>IF(Sheet1!J323="","",Sheet1!J323)</f>
        <v>46129.26</v>
      </c>
      <c r="K85" s="242">
        <f>IF(Sheet1!K323="","",Sheet1!K323)</f>
        <v>52929.26</v>
      </c>
      <c r="L85" s="242">
        <f>IF(Sheet1!L323="","",Sheet1!L323)</f>
        <v>52929.26</v>
      </c>
      <c r="M85" s="242">
        <f>IF(Sheet1!M323="","",Sheet1!M323)</f>
        <v>52929.26</v>
      </c>
      <c r="N85" s="242">
        <f>IF(Sheet1!N323="","",Sheet1!N323)</f>
        <v>52929.26</v>
      </c>
      <c r="O85" s="242">
        <f>IF(Sheet1!O323="","",Sheet1!O323)</f>
        <v>52929.26</v>
      </c>
      <c r="P85" s="242">
        <f>IF(Sheet1!P323="","",Sheet1!P323)</f>
        <v>52929.26</v>
      </c>
      <c r="Q85" s="242">
        <f>IF(Sheet1!Q323="","",Sheet1!Q323)</f>
        <v>52929.26</v>
      </c>
      <c r="R85" s="242">
        <f>IF(Sheet1!R323="","",Sheet1!R323)</f>
        <v>52929.26</v>
      </c>
      <c r="S85" s="242">
        <f>IF(Sheet1!S323="","",Sheet1!S323)</f>
        <v>52929.26</v>
      </c>
    </row>
    <row r="86" spans="2:19">
      <c r="B86" t="s">
        <v>552</v>
      </c>
      <c r="D86" t="s">
        <v>1594</v>
      </c>
      <c r="E86" s="242">
        <f>IF(Sheet1!E324="","",Sheet1!E324)</f>
        <v>41129.307000000001</v>
      </c>
      <c r="F86" s="242">
        <f>IF(Sheet1!F324="","",Sheet1!F324)</f>
        <v>46129.26</v>
      </c>
      <c r="G86" s="242">
        <f>IF(Sheet1!G324="","",Sheet1!G324)</f>
        <v>46129.26</v>
      </c>
      <c r="H86" s="242">
        <f>IF(Sheet1!H324="","",Sheet1!H324)</f>
        <v>46129.26</v>
      </c>
      <c r="I86" s="242">
        <f>IF(Sheet1!I324="","",Sheet1!I324)</f>
        <v>46129.26</v>
      </c>
      <c r="J86" s="242">
        <f>IF(Sheet1!J324="","",Sheet1!J324)</f>
        <v>46129.26</v>
      </c>
      <c r="K86" s="242">
        <f>IF(Sheet1!K324="","",Sheet1!K324)</f>
        <v>49529.26</v>
      </c>
      <c r="L86" s="242">
        <f>IF(Sheet1!L324="","",Sheet1!L324)</f>
        <v>52929.26</v>
      </c>
      <c r="M86" s="242">
        <f>IF(Sheet1!M324="","",Sheet1!M324)</f>
        <v>52929.26</v>
      </c>
      <c r="N86" s="242">
        <f>IF(Sheet1!N324="","",Sheet1!N324)</f>
        <v>52929.26</v>
      </c>
      <c r="O86" s="242">
        <f>IF(Sheet1!O324="","",Sheet1!O324)</f>
        <v>52929.26</v>
      </c>
      <c r="P86" s="242">
        <f>IF(Sheet1!P324="","",Sheet1!P324)</f>
        <v>52929.26</v>
      </c>
      <c r="Q86" s="242">
        <f>IF(Sheet1!Q324="","",Sheet1!Q324)</f>
        <v>52929.26</v>
      </c>
      <c r="R86" s="242">
        <f>IF(Sheet1!R324="","",Sheet1!R324)</f>
        <v>52929.26</v>
      </c>
      <c r="S86" s="242">
        <f>IF(Sheet1!S324="","",Sheet1!S324)</f>
        <v>52929.26</v>
      </c>
    </row>
    <row r="87" spans="2:19">
      <c r="B87" t="s">
        <v>553</v>
      </c>
      <c r="D87" t="s">
        <v>1595</v>
      </c>
      <c r="E87" s="242">
        <f>IF(Sheet1!E325="","",Sheet1!E325)</f>
        <v>0</v>
      </c>
      <c r="F87" s="242">
        <f>IF(Sheet1!F325="","",Sheet1!F325)</f>
        <v>0</v>
      </c>
      <c r="G87" s="242">
        <f>IF(Sheet1!G325="","",Sheet1!G325)</f>
        <v>0</v>
      </c>
      <c r="H87" s="242">
        <f>IF(Sheet1!H325="","",Sheet1!H325)</f>
        <v>0</v>
      </c>
      <c r="I87" s="242">
        <f>IF(Sheet1!I325="","",Sheet1!I325)</f>
        <v>0</v>
      </c>
      <c r="J87" s="242">
        <f>IF(Sheet1!J325="","",Sheet1!J325)</f>
        <v>0</v>
      </c>
      <c r="K87" s="242">
        <f>IF(Sheet1!K325="","",Sheet1!K325)</f>
        <v>6392</v>
      </c>
      <c r="L87" s="242">
        <f>IF(Sheet1!L325="","",Sheet1!L325)</f>
        <v>6392</v>
      </c>
      <c r="M87" s="242">
        <f>IF(Sheet1!M325="","",Sheet1!M325)</f>
        <v>6392</v>
      </c>
      <c r="N87" s="242">
        <f>IF(Sheet1!N325="","",Sheet1!N325)</f>
        <v>6392</v>
      </c>
      <c r="O87" s="242">
        <f>IF(Sheet1!O325="","",Sheet1!O325)</f>
        <v>6392</v>
      </c>
      <c r="P87" s="242">
        <f>IF(Sheet1!P325="","",Sheet1!P325)</f>
        <v>6392</v>
      </c>
      <c r="Q87" s="242">
        <f>IF(Sheet1!Q325="","",Sheet1!Q325)</f>
        <v>6392</v>
      </c>
      <c r="R87" s="242">
        <f>IF(Sheet1!R325="","",Sheet1!R325)</f>
        <v>6392</v>
      </c>
      <c r="S87" s="242">
        <f>IF(Sheet1!S325="","",Sheet1!S325)</f>
        <v>6392</v>
      </c>
    </row>
    <row r="88" spans="2:19">
      <c r="B88" t="s">
        <v>554</v>
      </c>
      <c r="D88" t="s">
        <v>1596</v>
      </c>
      <c r="E88" s="242" t="str">
        <f>IF(Sheet1!E326="","",Sheet1!E326)</f>
        <v/>
      </c>
      <c r="F88" s="242" t="str">
        <f>IF(Sheet1!F326="","",Sheet1!F326)</f>
        <v/>
      </c>
      <c r="G88" s="242" t="str">
        <f>IF(Sheet1!G326="","",Sheet1!G326)</f>
        <v/>
      </c>
      <c r="H88" s="242" t="str">
        <f>IF(Sheet1!H326="","",Sheet1!H326)</f>
        <v/>
      </c>
      <c r="I88" s="242" t="str">
        <f>IF(Sheet1!I326="","",Sheet1!I326)</f>
        <v/>
      </c>
      <c r="J88" s="242">
        <f>IF(Sheet1!J326="","",Sheet1!J326)</f>
        <v>0</v>
      </c>
      <c r="K88" s="242">
        <f>IF(Sheet1!K326="","",Sheet1!K326)</f>
        <v>287.64</v>
      </c>
      <c r="L88" s="242">
        <f>IF(Sheet1!L326="","",Sheet1!L326)</f>
        <v>575.28</v>
      </c>
      <c r="M88" s="242">
        <f>IF(Sheet1!M326="","",Sheet1!M326)</f>
        <v>575.28</v>
      </c>
      <c r="N88" s="242">
        <f>IF(Sheet1!N326="","",Sheet1!N326)</f>
        <v>575.28</v>
      </c>
      <c r="O88" s="242">
        <f>IF(Sheet1!O326="","",Sheet1!O326)</f>
        <v>575.28</v>
      </c>
      <c r="P88" s="242">
        <f>IF(Sheet1!P326="","",Sheet1!P326)</f>
        <v>575.28</v>
      </c>
      <c r="Q88" s="242">
        <f>IF(Sheet1!Q326="","",Sheet1!Q326)</f>
        <v>575.28</v>
      </c>
      <c r="R88" s="242">
        <f>IF(Sheet1!R326="","",Sheet1!R326)</f>
        <v>575.28</v>
      </c>
      <c r="S88" s="242">
        <f>IF(Sheet1!S326="","",Sheet1!S326)</f>
        <v>575.28</v>
      </c>
    </row>
    <row r="89" spans="2:19">
      <c r="B89" t="s">
        <v>555</v>
      </c>
      <c r="D89" t="s">
        <v>1597</v>
      </c>
      <c r="E89" s="242">
        <f>IF(Sheet1!E327="","",Sheet1!E327)</f>
        <v>25122.769</v>
      </c>
      <c r="F89" s="242">
        <f>IF(Sheet1!F327="","",Sheet1!F327)</f>
        <v>33109.949000000001</v>
      </c>
      <c r="G89" s="242">
        <f>IF(Sheet1!G327="","",Sheet1!G327)</f>
        <v>38115.228000000003</v>
      </c>
      <c r="H89" s="242">
        <f>IF(Sheet1!H327="","",Sheet1!H327)</f>
        <v>43951.330999999998</v>
      </c>
      <c r="I89" s="242">
        <f>IF(Sheet1!I327="","",Sheet1!I327)</f>
        <v>50573.14</v>
      </c>
      <c r="J89" s="242">
        <f>IF(Sheet1!J327="","",Sheet1!J327)</f>
        <v>57497.469389564503</v>
      </c>
      <c r="K89" s="242">
        <f>IF(Sheet1!K327="","",Sheet1!K327)</f>
        <v>72192.049905734297</v>
      </c>
      <c r="L89" s="242">
        <f>IF(Sheet1!L327="","",Sheet1!L327)</f>
        <v>81245.549766519674</v>
      </c>
      <c r="M89" s="242">
        <f>IF(Sheet1!M327="","",Sheet1!M327)</f>
        <v>91318.45142531718</v>
      </c>
      <c r="N89" s="242">
        <f>IF(Sheet1!N327="","",Sheet1!N327)</f>
        <v>102081.9712082749</v>
      </c>
      <c r="O89" s="242">
        <f>IF(Sheet1!O327="","",Sheet1!O327)</f>
        <v>113786.21335057645</v>
      </c>
      <c r="P89" s="242">
        <f>IF(Sheet1!P327="","",Sheet1!P327)</f>
        <v>124902.57519202505</v>
      </c>
      <c r="Q89" s="242">
        <f>IF(Sheet1!Q327="","",Sheet1!Q327)</f>
        <v>135139.57746918569</v>
      </c>
      <c r="R89" s="242">
        <f>IF(Sheet1!R327="","",Sheet1!R327)</f>
        <v>145147.39656609084</v>
      </c>
      <c r="S89" s="242">
        <f>IF(Sheet1!S327="","",Sheet1!S327)</f>
        <v>154759.55066820636</v>
      </c>
    </row>
    <row r="90" spans="2:19">
      <c r="B90" t="s">
        <v>556</v>
      </c>
      <c r="D90" t="s">
        <v>1259</v>
      </c>
      <c r="E90" s="242">
        <f>IF(Sheet1!E328="","",Sheet1!E328)</f>
        <v>0.22086521815038754</v>
      </c>
      <c r="F90" s="242">
        <f>IF(Sheet1!F328="","",Sheet1!F328)</f>
        <v>0.20293205958405799</v>
      </c>
      <c r="G90" s="242">
        <f>IF(Sheet1!G328="","",Sheet1!G328)</f>
        <v>0.21044249323486508</v>
      </c>
      <c r="H90" s="242">
        <f>IF(Sheet1!H328="","",Sheet1!H328)</f>
        <v>0.21403664446695822</v>
      </c>
      <c r="I90" s="242">
        <f>IF(Sheet1!I328="","",Sheet1!I328)</f>
        <v>0.21996524721384358</v>
      </c>
      <c r="J90" s="242">
        <f>IF(Sheet1!J328="","",Sheet1!J328)</f>
        <v>0.22000883624760575</v>
      </c>
      <c r="K90" s="242">
        <f>IF(Sheet1!K328="","",Sheet1!K328)</f>
        <v>0.24524347352430514</v>
      </c>
      <c r="L90" s="242">
        <f>IF(Sheet1!L328="","",Sheet1!L328)</f>
        <v>0.24758546831325884</v>
      </c>
      <c r="M90" s="242">
        <f>IF(Sheet1!M328="","",Sheet1!M328)</f>
        <v>0.25175609540588806</v>
      </c>
      <c r="N90" s="242">
        <f>IF(Sheet1!N328="","",Sheet1!N328)</f>
        <v>0.25651249954318212</v>
      </c>
      <c r="O90" s="242">
        <f>IF(Sheet1!O328="","",Sheet1!O328)</f>
        <v>0.26208880727592776</v>
      </c>
      <c r="P90" s="242">
        <f>IF(Sheet1!P328="","",Sheet1!P328)</f>
        <v>0.26524103865691562</v>
      </c>
      <c r="Q90" s="242">
        <f>IF(Sheet1!Q328="","",Sheet1!Q328)</f>
        <v>0.26615704261128365</v>
      </c>
      <c r="R90" s="242">
        <f>IF(Sheet1!R328="","",Sheet1!R328)</f>
        <v>0.26672525733579877</v>
      </c>
      <c r="S90" s="242">
        <f>IF(Sheet1!S328="","",Sheet1!S328)</f>
        <v>0.26696652662695464</v>
      </c>
    </row>
    <row r="91" spans="2:19">
      <c r="B91" t="s">
        <v>557</v>
      </c>
      <c r="D91" t="s">
        <v>1598</v>
      </c>
      <c r="E91" s="242">
        <f>IF(Sheet1!E329="","",Sheet1!E329)</f>
        <v>2373.3571999999986</v>
      </c>
      <c r="F91" s="242">
        <f>IF(Sheet1!F329="","",Sheet1!F329)</f>
        <v>478.38839999999618</v>
      </c>
      <c r="G91" s="242">
        <f>IF(Sheet1!G329="","",Sheet1!G329)</f>
        <v>1891.3386000000028</v>
      </c>
      <c r="H91" s="242">
        <f>IF(Sheet1!H329="","",Sheet1!H329)</f>
        <v>2882.3531999999977</v>
      </c>
      <c r="I91" s="242">
        <f>IF(Sheet1!I329="","",Sheet1!I329)</f>
        <v>4590.2943999999989</v>
      </c>
      <c r="J91" s="242">
        <f>IF(Sheet1!J329="","",Sheet1!J329)</f>
        <v>5229.1420166995231</v>
      </c>
      <c r="K91" s="242">
        <f>IF(Sheet1!K329="","",Sheet1!K329)</f>
        <v>13318.271233226937</v>
      </c>
      <c r="L91" s="242">
        <f>IF(Sheet1!L329="","",Sheet1!L329)</f>
        <v>15615.244143151416</v>
      </c>
      <c r="M91" s="242">
        <f>IF(Sheet1!M329="","",Sheet1!M329)</f>
        <v>18773.275287205339</v>
      </c>
      <c r="N91" s="242">
        <f>IF(Sheet1!N329="","",Sheet1!N329)</f>
        <v>22489.770913887216</v>
      </c>
      <c r="O91" s="242">
        <f>IF(Sheet1!O329="","",Sheet1!O329)</f>
        <v>26955.9404112349</v>
      </c>
      <c r="P91" s="242">
        <f>IF(Sheet1!P329="","",Sheet1!P329)</f>
        <v>30722.145327561855</v>
      </c>
      <c r="Q91" s="242">
        <f>IF(Sheet1!Q329="","",Sheet1!Q329)</f>
        <v>33590.825541885381</v>
      </c>
      <c r="R91" s="242">
        <f>IF(Sheet1!R329="","",Sheet1!R329)</f>
        <v>36310.762183652274</v>
      </c>
      <c r="S91" s="242">
        <f>IF(Sheet1!S329="","",Sheet1!S329)</f>
        <v>38820.2584853632</v>
      </c>
    </row>
    <row r="92" spans="2:19">
      <c r="B92" t="s">
        <v>1619</v>
      </c>
      <c r="D92" t="s">
        <v>1620</v>
      </c>
      <c r="E92" s="242" t="str">
        <f>IF(Sheet1!E330="","",Sheet1!E330)</f>
        <v/>
      </c>
      <c r="F92" s="242" t="str">
        <f>IF(Sheet1!F330="","",Sheet1!F330)</f>
        <v/>
      </c>
      <c r="G92" s="242" t="str">
        <f>IF(Sheet1!G330="","",Sheet1!G330)</f>
        <v/>
      </c>
      <c r="H92" s="242" t="str">
        <f>IF(Sheet1!H330="","",Sheet1!H330)</f>
        <v/>
      </c>
      <c r="I92" s="242" t="str">
        <f>IF(Sheet1!I330="","",Sheet1!I330)</f>
        <v/>
      </c>
      <c r="J92" s="242" t="str">
        <f>IF(Sheet1!J330="","",Sheet1!J330)</f>
        <v/>
      </c>
      <c r="K92" s="242" t="str">
        <f>IF(Sheet1!K330="","",Sheet1!K330)</f>
        <v/>
      </c>
      <c r="L92" s="242" t="str">
        <f>IF(Sheet1!L330="","",Sheet1!L330)</f>
        <v/>
      </c>
      <c r="M92" s="242" t="str">
        <f>IF(Sheet1!M330="","",Sheet1!M330)</f>
        <v/>
      </c>
      <c r="N92" s="242" t="str">
        <f>IF(Sheet1!N330="","",Sheet1!N330)</f>
        <v/>
      </c>
      <c r="O92" s="242" t="str">
        <f>IF(Sheet1!O330="","",Sheet1!O330)</f>
        <v/>
      </c>
      <c r="P92" s="242" t="str">
        <f>IF(Sheet1!P330="","",Sheet1!P330)</f>
        <v/>
      </c>
      <c r="Q92" s="242" t="str">
        <f>IF(Sheet1!Q330="","",Sheet1!Q330)</f>
        <v/>
      </c>
      <c r="R92" s="242" t="str">
        <f>IF(Sheet1!R330="","",Sheet1!R330)</f>
        <v/>
      </c>
      <c r="S92" s="242" t="str">
        <f>IF(Sheet1!S330="","",Sheet1!S330)</f>
        <v/>
      </c>
    </row>
    <row r="93" spans="2:19">
      <c r="B93" t="s">
        <v>558</v>
      </c>
      <c r="D93" t="s">
        <v>1600</v>
      </c>
      <c r="E93" s="242" t="str">
        <f>IF(Sheet1!E331="","",Sheet1!E331)</f>
        <v>FY21A</v>
      </c>
      <c r="F93" s="242" t="str">
        <f>IF(Sheet1!F331="","",Sheet1!F331)</f>
        <v>FY22A</v>
      </c>
      <c r="G93" s="242" t="str">
        <f>IF(Sheet1!G331="","",Sheet1!G331)</f>
        <v>FY23A</v>
      </c>
      <c r="H93" s="242" t="str">
        <f>IF(Sheet1!H331="","",Sheet1!H331)</f>
        <v>FY24A</v>
      </c>
      <c r="I93" s="242" t="str">
        <f>IF(Sheet1!I331="","",Sheet1!I331)</f>
        <v>FY25A</v>
      </c>
      <c r="J93" s="242" t="str">
        <f>IF(Sheet1!J331="","",Sheet1!J331)</f>
        <v>FY26E</v>
      </c>
      <c r="K93" s="242" t="str">
        <f>IF(Sheet1!K331="","",Sheet1!K331)</f>
        <v>FY27E</v>
      </c>
      <c r="L93" s="242" t="str">
        <f>IF(Sheet1!L331="","",Sheet1!L331)</f>
        <v>FY28E</v>
      </c>
      <c r="M93" s="242" t="str">
        <f>IF(Sheet1!M331="","",Sheet1!M331)</f>
        <v>FY29E</v>
      </c>
      <c r="N93" s="242" t="str">
        <f>IF(Sheet1!N331="","",Sheet1!N331)</f>
        <v>FY30E</v>
      </c>
      <c r="O93" s="242" t="str">
        <f>IF(Sheet1!O331="","",Sheet1!O331)</f>
        <v>FY31E</v>
      </c>
      <c r="P93" s="242" t="str">
        <f>IF(Sheet1!P331="","",Sheet1!P331)</f>
        <v>FY32E</v>
      </c>
      <c r="Q93" s="242" t="str">
        <f>IF(Sheet1!Q331="","",Sheet1!Q331)</f>
        <v>FY33E</v>
      </c>
      <c r="R93" s="242" t="str">
        <f>IF(Sheet1!R331="","",Sheet1!R331)</f>
        <v>FY34E</v>
      </c>
      <c r="S93" s="242" t="str">
        <f>IF(Sheet1!S331="","",Sheet1!S331)</f>
        <v>FY35E</v>
      </c>
    </row>
    <row r="94" spans="2:19">
      <c r="B94" t="s">
        <v>559</v>
      </c>
      <c r="D94" t="s">
        <v>1601</v>
      </c>
      <c r="E94" s="242" t="str">
        <f>IF(Sheet1!E332="","",Sheet1!E332)</f>
        <v/>
      </c>
      <c r="F94" s="242">
        <f>IF(Sheet1!F332="","",Sheet1!F332)</f>
        <v>25013.934000000001</v>
      </c>
      <c r="G94" s="242">
        <f>IF(Sheet1!G332="","",Sheet1!G332)</f>
        <v>33506</v>
      </c>
      <c r="H94" s="242">
        <f>IF(Sheet1!H332="","",Sheet1!H332)</f>
        <v>38739.120999999999</v>
      </c>
      <c r="I94" s="242">
        <f>IF(Sheet1!I332="","",Sheet1!I332)</f>
        <v>45041.572</v>
      </c>
      <c r="J94" s="242">
        <f>IF(Sheet1!J332="","",Sheet1!J332)</f>
        <v>51952.874000000003</v>
      </c>
      <c r="K94" s="242">
        <f>IF(Sheet1!K332="","",Sheet1!K332)</f>
        <v>58860.656224132057</v>
      </c>
      <c r="L94" s="242">
        <f>IF(Sheet1!L332="","",Sheet1!L332)</f>
        <v>73781.747347036915</v>
      </c>
      <c r="M94" s="242">
        <f>IF(Sheet1!M332="","",Sheet1!M332)</f>
        <v>83256.630600368619</v>
      </c>
      <c r="N94" s="242">
        <f>IF(Sheet1!N332="","",Sheet1!N332)</f>
        <v>93604.340683110131</v>
      </c>
      <c r="O94" s="242">
        <f>IF(Sheet1!O332="","",Sheet1!O332)</f>
        <v>104661.51030082637</v>
      </c>
      <c r="P94" s="242">
        <f>IF(Sheet1!P332="","",Sheet1!P332)</f>
        <v>116685.06702054919</v>
      </c>
      <c r="Q94" s="242">
        <f>IF(Sheet1!Q332="","",Sheet1!Q332)</f>
        <v>128104.70491701334</v>
      </c>
      <c r="R94" s="242">
        <f>IF(Sheet1!R332="","",Sheet1!R332)</f>
        <v>138620.99260338282</v>
      </c>
      <c r="S94" s="242">
        <f>IF(Sheet1!S332="","",Sheet1!S332)</f>
        <v>148901.84454487404</v>
      </c>
    </row>
    <row r="95" spans="2:19">
      <c r="B95" t="s">
        <v>560</v>
      </c>
      <c r="D95" t="s">
        <v>1602</v>
      </c>
      <c r="E95" s="242">
        <f>IF(Sheet1!E333="","",Sheet1!E333)</f>
        <v>3028.2049999999999</v>
      </c>
      <c r="F95" s="242">
        <f>IF(Sheet1!F333="","",Sheet1!F333)</f>
        <v>4260</v>
      </c>
      <c r="G95" s="242">
        <f>IF(Sheet1!G333="","",Sheet1!G333)</f>
        <v>5703.7430000000004</v>
      </c>
      <c r="H95" s="242">
        <f>IF(Sheet1!H333="","",Sheet1!H333)</f>
        <v>7005.8879999999999</v>
      </c>
      <c r="I95" s="242">
        <f>IF(Sheet1!I333="","",Sheet1!I333)</f>
        <v>7567.5230000000001</v>
      </c>
      <c r="J95" s="242">
        <f>IF(Sheet1!J333="","",Sheet1!J333)</f>
        <v>8421.2868241320521</v>
      </c>
      <c r="K95" s="242">
        <f>IF(Sheet1!K333="","",Sheet1!K333)</f>
        <v>10381.774224213914</v>
      </c>
      <c r="L95" s="242">
        <f>IF(Sheet1!L333="","",Sheet1!L333)</f>
        <v>12070.326809385186</v>
      </c>
      <c r="M95" s="242">
        <f>IF(Sheet1!M333="","",Sheet1!M333)</f>
        <v>13606.69832127552</v>
      </c>
      <c r="N95" s="242">
        <f>IF(Sheet1!N333="","",Sheet1!N333)</f>
        <v>15139.179114098893</v>
      </c>
      <c r="O95" s="242">
        <f>IF(Sheet1!O333="","",Sheet1!O333)</f>
        <v>16565.310453952501</v>
      </c>
      <c r="P95" s="242">
        <f>IF(Sheet1!P333="","",Sheet1!P333)</f>
        <v>18045.762078045143</v>
      </c>
      <c r="Q95" s="242">
        <f>IF(Sheet1!Q333="","",Sheet1!Q333)</f>
        <v>19539.168725392068</v>
      </c>
      <c r="R95" s="242">
        <f>IF(Sheet1!R333="","",Sheet1!R333)</f>
        <v>21027.394740456861</v>
      </c>
      <c r="S95" s="242">
        <f>IF(Sheet1!S333="","",Sheet1!S333)</f>
        <v>22490.829277407418</v>
      </c>
    </row>
    <row r="96" spans="2:19">
      <c r="B96" t="s">
        <v>561</v>
      </c>
      <c r="D96" t="s">
        <v>1603</v>
      </c>
      <c r="E96" s="242" t="str">
        <f>IF(Sheet1!E334="","",Sheet1!E334)</f>
        <v/>
      </c>
      <c r="F96" s="242" t="str">
        <f>IF(Sheet1!F334="","",Sheet1!F334)</f>
        <v/>
      </c>
      <c r="G96" s="242" t="str">
        <f>IF(Sheet1!G334="","",Sheet1!G334)</f>
        <v/>
      </c>
      <c r="H96" s="242">
        <f>IF(Sheet1!H334="","",Sheet1!H334)</f>
        <v>152.124</v>
      </c>
      <c r="I96" s="242">
        <f>IF(Sheet1!I334="","",Sheet1!I334)</f>
        <v>394.66199999999998</v>
      </c>
      <c r="J96" s="242">
        <f>IF(Sheet1!J334="","",Sheet1!J334)</f>
        <v>0</v>
      </c>
      <c r="K96" s="242">
        <f>IF(Sheet1!K334="","",Sheet1!K334)</f>
        <v>0</v>
      </c>
      <c r="L96" s="242">
        <f>IF(Sheet1!L334="","",Sheet1!L334)</f>
        <v>0</v>
      </c>
      <c r="M96" s="242">
        <f>IF(Sheet1!M334="","",Sheet1!M334)</f>
        <v>0</v>
      </c>
      <c r="N96" s="242">
        <f>IF(Sheet1!N334="","",Sheet1!N334)</f>
        <v>0</v>
      </c>
      <c r="O96" s="242">
        <f>IF(Sheet1!O334="","",Sheet1!O334)</f>
        <v>0</v>
      </c>
      <c r="P96" s="242">
        <f>IF(Sheet1!P334="","",Sheet1!P334)</f>
        <v>0</v>
      </c>
      <c r="Q96" s="242">
        <f>IF(Sheet1!Q334="","",Sheet1!Q334)</f>
        <v>0</v>
      </c>
      <c r="R96" s="242">
        <f>IF(Sheet1!R334="","",Sheet1!R334)</f>
        <v>0</v>
      </c>
      <c r="S96" s="242">
        <f>IF(Sheet1!S334="","",Sheet1!S334)</f>
        <v>0</v>
      </c>
    </row>
    <row r="97" spans="2:19">
      <c r="B97" t="s">
        <v>426</v>
      </c>
      <c r="D97" t="s">
        <v>1604</v>
      </c>
      <c r="E97" s="242" t="str">
        <f>IF(Sheet1!E335="","",Sheet1!E335)</f>
        <v/>
      </c>
      <c r="F97" s="242" t="str">
        <f>IF(Sheet1!F335="","",Sheet1!F335)</f>
        <v/>
      </c>
      <c r="G97" s="242" t="str">
        <f>IF(Sheet1!G335="","",Sheet1!G335)</f>
        <v/>
      </c>
      <c r="H97" s="242">
        <f>IF(Sheet1!H335="","",Sheet1!H335)</f>
        <v>-855.56145000000004</v>
      </c>
      <c r="I97" s="242">
        <f>IF(Sheet1!I335="","",Sheet1!I335)</f>
        <v>-1050.8832</v>
      </c>
      <c r="J97" s="242">
        <f>IF(Sheet1!J335="","",Sheet1!J335)</f>
        <v>-1513.5046000000002</v>
      </c>
      <c r="K97" s="242">
        <f>IF(Sheet1!K335="","",Sheet1!K335)</f>
        <v>-1852.6831013090514</v>
      </c>
      <c r="L97" s="242">
        <f>IF(Sheet1!L335="","",Sheet1!L335)</f>
        <v>-2595.4435560534785</v>
      </c>
      <c r="M97" s="242">
        <f>IF(Sheet1!M335="","",Sheet1!M335)</f>
        <v>-3258.9882385340002</v>
      </c>
      <c r="N97" s="242">
        <f>IF(Sheet1!N335="","",Sheet1!N335)</f>
        <v>-4082.0094963826559</v>
      </c>
      <c r="O97" s="242">
        <f>IF(Sheet1!O335="","",Sheet1!O335)</f>
        <v>-4541.7537342296682</v>
      </c>
      <c r="P97" s="242">
        <f>IF(Sheet1!P335="","",Sheet1!P335)</f>
        <v>-6626.1241815810008</v>
      </c>
      <c r="Q97" s="242">
        <f>IF(Sheet1!Q335="","",Sheet1!Q335)</f>
        <v>-9022.8810390225717</v>
      </c>
      <c r="R97" s="242">
        <f>IF(Sheet1!R335="","",Sheet1!R335)</f>
        <v>-10746.542798965638</v>
      </c>
      <c r="S97" s="242">
        <f>IF(Sheet1!S335="","",Sheet1!S335)</f>
        <v>-12616.436844274116</v>
      </c>
    </row>
    <row r="98" spans="2:19">
      <c r="B98" t="s">
        <v>428</v>
      </c>
      <c r="D98" t="s">
        <v>1605</v>
      </c>
      <c r="E98" s="242" t="str">
        <f>IF(Sheet1!E336="","",Sheet1!E336)</f>
        <v/>
      </c>
      <c r="F98" s="242" t="str">
        <f>IF(Sheet1!F336="","",Sheet1!F336)</f>
        <v/>
      </c>
      <c r="G98" s="242" t="str">
        <f>IF(Sheet1!G336="","",Sheet1!G336)</f>
        <v/>
      </c>
      <c r="H98" s="242" t="str">
        <f>IF(Sheet1!H336="","",Sheet1!H336)</f>
        <v/>
      </c>
      <c r="I98" s="242" t="str">
        <f>IF(Sheet1!I336="","",Sheet1!I336)</f>
        <v/>
      </c>
      <c r="J98" s="242">
        <f>IF(Sheet1!J336="","",Sheet1!J336)</f>
        <v>0</v>
      </c>
      <c r="K98" s="242">
        <f>IF(Sheet1!K336="","",Sheet1!K336)</f>
        <v>6392</v>
      </c>
      <c r="L98" s="242">
        <f>IF(Sheet1!L336="","",Sheet1!L336)</f>
        <v>0</v>
      </c>
      <c r="M98" s="242">
        <f>IF(Sheet1!M336="","",Sheet1!M336)</f>
        <v>0</v>
      </c>
      <c r="N98" s="242">
        <f>IF(Sheet1!N336="","",Sheet1!N336)</f>
        <v>0</v>
      </c>
      <c r="O98" s="242">
        <f>IF(Sheet1!O336="","",Sheet1!O336)</f>
        <v>0</v>
      </c>
      <c r="P98" s="242">
        <f>IF(Sheet1!P336="","",Sheet1!P336)</f>
        <v>0</v>
      </c>
      <c r="Q98" s="242">
        <f>IF(Sheet1!Q336="","",Sheet1!Q336)</f>
        <v>0</v>
      </c>
      <c r="R98" s="242">
        <f>IF(Sheet1!R336="","",Sheet1!R336)</f>
        <v>0</v>
      </c>
      <c r="S98" s="242">
        <f>IF(Sheet1!S336="","",Sheet1!S336)</f>
        <v>0</v>
      </c>
    </row>
    <row r="99" spans="2:19">
      <c r="B99" t="s">
        <v>562</v>
      </c>
      <c r="D99" t="s">
        <v>1606</v>
      </c>
      <c r="E99" s="242" t="str">
        <f>IF(Sheet1!E337="","",Sheet1!E337)</f>
        <v/>
      </c>
      <c r="F99" s="242" t="str">
        <f>IF(Sheet1!F337="","",Sheet1!F337)</f>
        <v/>
      </c>
      <c r="G99" s="242" t="str">
        <f>IF(Sheet1!G337="","",Sheet1!G337)</f>
        <v/>
      </c>
      <c r="H99" s="242">
        <f>IF(Sheet1!H337="","",Sheet1!H337)</f>
        <v>45041.571550000001</v>
      </c>
      <c r="I99" s="242">
        <f>IF(Sheet1!I337="","",Sheet1!I337)</f>
        <v>51952.873800000001</v>
      </c>
      <c r="J99" s="242">
        <f>IF(Sheet1!J337="","",Sheet1!J337)</f>
        <v>58860.656224132057</v>
      </c>
      <c r="K99" s="242">
        <f>IF(Sheet1!K337="","",Sheet1!K337)</f>
        <v>73781.747347036915</v>
      </c>
      <c r="L99" s="242">
        <f>IF(Sheet1!L337="","",Sheet1!L337)</f>
        <v>83256.630600368619</v>
      </c>
      <c r="M99" s="242">
        <f>IF(Sheet1!M337="","",Sheet1!M337)</f>
        <v>93604.340683110131</v>
      </c>
      <c r="N99" s="242">
        <f>IF(Sheet1!N337="","",Sheet1!N337)</f>
        <v>104661.51030082637</v>
      </c>
      <c r="O99" s="242">
        <f>IF(Sheet1!O337="","",Sheet1!O337)</f>
        <v>116685.06702054919</v>
      </c>
      <c r="P99" s="242">
        <f>IF(Sheet1!P337="","",Sheet1!P337)</f>
        <v>128104.70491701334</v>
      </c>
      <c r="Q99" s="242">
        <f>IF(Sheet1!Q337="","",Sheet1!Q337)</f>
        <v>138620.99260338282</v>
      </c>
      <c r="R99" s="242">
        <f>IF(Sheet1!R337="","",Sheet1!R337)</f>
        <v>148901.84454487404</v>
      </c>
      <c r="S99" s="242">
        <f>IF(Sheet1!S337="","",Sheet1!S337)</f>
        <v>158776.23697800733</v>
      </c>
    </row>
    <row r="100" spans="2:19">
      <c r="B100" t="s">
        <v>563</v>
      </c>
      <c r="D100" t="s">
        <v>1607</v>
      </c>
      <c r="E100" s="242">
        <f>IF(Sheet1!E338="","",Sheet1!E338)</f>
        <v>757.05124999999998</v>
      </c>
      <c r="F100" s="242">
        <f>IF(Sheet1!F338="","",Sheet1!F338)</f>
        <v>426</v>
      </c>
      <c r="G100" s="242">
        <f>IF(Sheet1!G338="","",Sheet1!G338)</f>
        <v>855.56145000000004</v>
      </c>
      <c r="H100" s="242">
        <f>IF(Sheet1!H338="","",Sheet1!H338)</f>
        <v>1050.8832</v>
      </c>
      <c r="I100" s="242">
        <f>IF(Sheet1!I338="","",Sheet1!I338)</f>
        <v>1513.5046000000002</v>
      </c>
      <c r="J100" s="242">
        <f>IF(Sheet1!J338="","",Sheet1!J338)</f>
        <v>1852.6831013090514</v>
      </c>
      <c r="K100" s="242">
        <f>IF(Sheet1!K338="","",Sheet1!K338)</f>
        <v>2595.4435560534785</v>
      </c>
      <c r="L100" s="242">
        <f>IF(Sheet1!L338="","",Sheet1!L338)</f>
        <v>3258.9882385340002</v>
      </c>
      <c r="M100" s="242">
        <f>IF(Sheet1!M338="","",Sheet1!M338)</f>
        <v>4082.0094963826559</v>
      </c>
      <c r="N100" s="242">
        <f>IF(Sheet1!N338="","",Sheet1!N338)</f>
        <v>4541.7537342296682</v>
      </c>
      <c r="O100" s="242">
        <f>IF(Sheet1!O338="","",Sheet1!O338)</f>
        <v>6626.1241815810008</v>
      </c>
      <c r="P100" s="242">
        <f>IF(Sheet1!P338="","",Sheet1!P338)</f>
        <v>9022.8810390225717</v>
      </c>
      <c r="Q100" s="242">
        <f>IF(Sheet1!Q338="","",Sheet1!Q338)</f>
        <v>10746.542798965638</v>
      </c>
      <c r="R100" s="242">
        <f>IF(Sheet1!R338="","",Sheet1!R338)</f>
        <v>12616.436844274116</v>
      </c>
      <c r="S100" s="242">
        <f>IF(Sheet1!S338="","",Sheet1!S338)</f>
        <v>14619.039030314822</v>
      </c>
    </row>
    <row r="101" spans="2:19">
      <c r="B101" t="s">
        <v>565</v>
      </c>
      <c r="D101" t="s">
        <v>1608</v>
      </c>
      <c r="E101" s="242" t="str">
        <f>IF(Sheet1!E339="","",Sheet1!E339)</f>
        <v/>
      </c>
      <c r="F101" s="242">
        <f>IF(Sheet1!F339="","",Sheet1!F339)</f>
        <v>757.05124999999998</v>
      </c>
      <c r="G101" s="242">
        <f>IF(Sheet1!G339="","",Sheet1!G339)</f>
        <v>426</v>
      </c>
      <c r="H101" s="242">
        <f>IF(Sheet1!H339="","",Sheet1!H339)</f>
        <v>855.56145000000004</v>
      </c>
      <c r="I101" s="242">
        <f>IF(Sheet1!I339="","",Sheet1!I339)</f>
        <v>1050.8832</v>
      </c>
      <c r="J101" s="242">
        <f>IF(Sheet1!J339="","",Sheet1!J339)</f>
        <v>1513.5046000000002</v>
      </c>
      <c r="K101" s="242">
        <f>IF(Sheet1!K339="","",Sheet1!K339)</f>
        <v>1852.6831013090514</v>
      </c>
      <c r="L101" s="242">
        <f>IF(Sheet1!L339="","",Sheet1!L339)</f>
        <v>2595.4435560534785</v>
      </c>
      <c r="M101" s="242">
        <f>IF(Sheet1!M339="","",Sheet1!M339)</f>
        <v>3258.9882385340002</v>
      </c>
      <c r="N101" s="242">
        <f>IF(Sheet1!N339="","",Sheet1!N339)</f>
        <v>4082.0094963826559</v>
      </c>
      <c r="O101" s="242">
        <f>IF(Sheet1!O339="","",Sheet1!O339)</f>
        <v>4541.7537342296682</v>
      </c>
      <c r="P101" s="242">
        <f>IF(Sheet1!P339="","",Sheet1!P339)</f>
        <v>6626.1241815810008</v>
      </c>
      <c r="Q101" s="242">
        <f>IF(Sheet1!Q339="","",Sheet1!Q339)</f>
        <v>9022.8810390225717</v>
      </c>
      <c r="R101" s="242">
        <f>IF(Sheet1!R339="","",Sheet1!R339)</f>
        <v>10746.542798965638</v>
      </c>
      <c r="S101" s="242">
        <f>IF(Sheet1!S339="","",Sheet1!S339)</f>
        <v>12616.436844274116</v>
      </c>
    </row>
    <row r="102" spans="2:19">
      <c r="B102" t="s">
        <v>566</v>
      </c>
      <c r="D102" t="s">
        <v>1609</v>
      </c>
      <c r="E102" s="242">
        <f>IF(Sheet1!E340="","",Sheet1!E340)</f>
        <v>18.406613318332838</v>
      </c>
      <c r="F102" s="242">
        <f>IF(Sheet1!F340="","",Sheet1!F340)</f>
        <v>9.2349194415865323</v>
      </c>
      <c r="G102" s="242">
        <f>IF(Sheet1!G340="","",Sheet1!G340)</f>
        <v>18.547044760744051</v>
      </c>
      <c r="H102" s="242">
        <f>IF(Sheet1!H340="","",Sheet1!H340)</f>
        <v>22.781271583372462</v>
      </c>
      <c r="I102" s="242">
        <f>IF(Sheet1!I340="","",Sheet1!I340)</f>
        <v>32.81007759500153</v>
      </c>
      <c r="J102" s="242">
        <f>IF(Sheet1!J340="","",Sheet1!J340)</f>
        <v>40.162861951591054</v>
      </c>
      <c r="K102" s="242">
        <f>IF(Sheet1!K340="","",Sheet1!K340)</f>
        <v>49.036082424985317</v>
      </c>
      <c r="L102" s="242">
        <f>IF(Sheet1!L340="","",Sheet1!L340)</f>
        <v>61.572526019332216</v>
      </c>
      <c r="M102" s="242">
        <f>IF(Sheet1!M340="","",Sheet1!M340)</f>
        <v>77.12198312205112</v>
      </c>
      <c r="N102" s="242">
        <f>IF(Sheet1!N340="","",Sheet1!N340)</f>
        <v>85.807996073054269</v>
      </c>
      <c r="O102" s="242">
        <f>IF(Sheet1!O340="","",Sheet1!O340)</f>
        <v>125.18830192564567</v>
      </c>
      <c r="P102" s="242">
        <f>IF(Sheet1!P340="","",Sheet1!P340)</f>
        <v>170.47056843459688</v>
      </c>
      <c r="Q102" s="242">
        <f>IF(Sheet1!Q340="","",Sheet1!Q340)</f>
        <v>203.03595400664278</v>
      </c>
      <c r="R102" s="242">
        <f>IF(Sheet1!R340="","",Sheet1!R340)</f>
        <v>238.36412684163949</v>
      </c>
      <c r="S102" s="242">
        <f>IF(Sheet1!S340="","",Sheet1!S340)</f>
        <v>276.19957336102601</v>
      </c>
    </row>
    <row r="103" spans="2:19">
      <c r="B103" t="s">
        <v>567</v>
      </c>
      <c r="D103" t="s">
        <v>1610</v>
      </c>
      <c r="E103" s="242" t="str">
        <f>IF(Sheet1!E341="","",Sheet1!E341)</f>
        <v/>
      </c>
      <c r="F103" s="242">
        <f>IF(Sheet1!F341="","",Sheet1!F341)</f>
        <v>16.411519499770858</v>
      </c>
      <c r="G103" s="242">
        <f>IF(Sheet1!G341="","",Sheet1!G341)</f>
        <v>9.2349194415865323</v>
      </c>
      <c r="H103" s="242">
        <f>IF(Sheet1!H341="","",Sheet1!H341)</f>
        <v>18.547044760744051</v>
      </c>
      <c r="I103" s="242">
        <f>IF(Sheet1!I341="","",Sheet1!I341)</f>
        <v>22.781271583372462</v>
      </c>
      <c r="J103" s="242">
        <f>IF(Sheet1!J341="","",Sheet1!J341)</f>
        <v>32.81007759500153</v>
      </c>
      <c r="K103" s="242">
        <f>IF(Sheet1!K341="","",Sheet1!K341)</f>
        <v>35.003004034234586</v>
      </c>
      <c r="L103" s="242">
        <f>IF(Sheet1!L341="","",Sheet1!L341)</f>
        <v>49.036082424985317</v>
      </c>
      <c r="M103" s="242">
        <f>IF(Sheet1!M341="","",Sheet1!M341)</f>
        <v>61.572526019332216</v>
      </c>
      <c r="N103" s="242">
        <f>IF(Sheet1!N341="","",Sheet1!N341)</f>
        <v>77.12198312205112</v>
      </c>
      <c r="O103" s="242">
        <f>IF(Sheet1!O341="","",Sheet1!O341)</f>
        <v>85.807996073054269</v>
      </c>
      <c r="P103" s="242">
        <f>IF(Sheet1!P341="","",Sheet1!P341)</f>
        <v>125.18830192564567</v>
      </c>
      <c r="Q103" s="242">
        <f>IF(Sheet1!Q341="","",Sheet1!Q341)</f>
        <v>170.47056843459688</v>
      </c>
      <c r="R103" s="242">
        <f>IF(Sheet1!R341="","",Sheet1!R341)</f>
        <v>203.03595400664278</v>
      </c>
      <c r="S103" s="242">
        <f>IF(Sheet1!S341="","",Sheet1!S341)</f>
        <v>238.36412684163949</v>
      </c>
    </row>
    <row r="104" spans="2:19">
      <c r="B104" t="s">
        <v>568</v>
      </c>
      <c r="D104" t="s">
        <v>1611</v>
      </c>
      <c r="E104" s="242" t="str">
        <f>IF(Sheet1!E342="","",Sheet1!E342)</f>
        <v/>
      </c>
      <c r="F104" s="242" t="str">
        <f>IF(Sheet1!F342="","",Sheet1!F342)</f>
        <v/>
      </c>
      <c r="G104" s="242" t="str">
        <f>IF(Sheet1!G342="","",Sheet1!G342)</f>
        <v/>
      </c>
      <c r="H104" s="242" t="str">
        <f>IF(Sheet1!H342="","",Sheet1!H342)</f>
        <v/>
      </c>
      <c r="I104" s="242" t="str">
        <f>IF(Sheet1!I342="","",Sheet1!I342)</f>
        <v/>
      </c>
      <c r="J104" s="242">
        <f>IF(Sheet1!J342="","",Sheet1!J342)</f>
        <v>3.6678412741179042E-2</v>
      </c>
      <c r="K104" s="242">
        <f>IF(Sheet1!K342="","",Sheet1!K342)</f>
        <v>4.4781810433776548E-2</v>
      </c>
      <c r="L104" s="242">
        <f>IF(Sheet1!L342="","",Sheet1!L342)</f>
        <v>5.6230617369253166E-2</v>
      </c>
      <c r="M104" s="242">
        <f>IF(Sheet1!M342="","",Sheet1!M342)</f>
        <v>7.0431034814658552E-2</v>
      </c>
      <c r="N104" s="242">
        <f>IF(Sheet1!N342="","",Sheet1!N342)</f>
        <v>7.8363466733382889E-2</v>
      </c>
      <c r="O104" s="242">
        <f>IF(Sheet1!O342="","",Sheet1!O342)</f>
        <v>0.11432721637045268</v>
      </c>
      <c r="P104" s="242">
        <f>IF(Sheet1!P342="","",Sheet1!P342)</f>
        <v>0.15568088441515698</v>
      </c>
      <c r="Q104" s="242">
        <f>IF(Sheet1!Q342="","",Sheet1!Q342)</f>
        <v>0.18542096256314408</v>
      </c>
      <c r="R104" s="242">
        <f>IF(Sheet1!R342="","",Sheet1!R342)</f>
        <v>0.21768413410195386</v>
      </c>
      <c r="S104" s="242">
        <f>IF(Sheet1!S342="","",Sheet1!S342)</f>
        <v>0.25223705329774065</v>
      </c>
    </row>
    <row r="105" spans="2:19">
      <c r="B105" t="s">
        <v>569</v>
      </c>
      <c r="D105" t="s">
        <v>1612</v>
      </c>
      <c r="E105" s="242" t="str">
        <f>IF(Sheet1!E343="","",Sheet1!E343)</f>
        <v/>
      </c>
      <c r="F105" s="242" t="str">
        <f>IF(Sheet1!F343="","",Sheet1!F343)</f>
        <v/>
      </c>
      <c r="G105" s="242">
        <f>IF(Sheet1!G343="","",Sheet1!G343)</f>
        <v>1140.749</v>
      </c>
      <c r="H105" s="242">
        <f>IF(Sheet1!H343="","",Sheet1!H343)</f>
        <v>1401.1769999999999</v>
      </c>
      <c r="I105" s="242" t="str">
        <f>IF(Sheet1!I343="","",Sheet1!I343)</f>
        <v/>
      </c>
      <c r="J105" s="242" t="str">
        <f>IF(Sheet1!J343="","",Sheet1!J343)</f>
        <v/>
      </c>
      <c r="K105" s="242" t="str">
        <f>IF(Sheet1!K343="","",Sheet1!K343)</f>
        <v/>
      </c>
      <c r="L105" s="242" t="str">
        <f>IF(Sheet1!L343="","",Sheet1!L343)</f>
        <v/>
      </c>
      <c r="M105" s="242" t="str">
        <f>IF(Sheet1!M343="","",Sheet1!M343)</f>
        <v/>
      </c>
      <c r="N105" s="242" t="str">
        <f>IF(Sheet1!N343="","",Sheet1!N343)</f>
        <v/>
      </c>
      <c r="O105" s="242" t="str">
        <f>IF(Sheet1!O343="","",Sheet1!O343)</f>
        <v/>
      </c>
      <c r="P105" s="242" t="str">
        <f>IF(Sheet1!P343="","",Sheet1!P343)</f>
        <v/>
      </c>
      <c r="Q105" s="242" t="str">
        <f>IF(Sheet1!Q343="","",Sheet1!Q343)</f>
        <v/>
      </c>
      <c r="R105" s="242" t="str">
        <f>IF(Sheet1!R343="","",Sheet1!R343)</f>
        <v/>
      </c>
      <c r="S105" s="242" t="str">
        <f>IF(Sheet1!S343="","",Sheet1!S343)</f>
        <v/>
      </c>
    </row>
    <row r="106" spans="2:19">
      <c r="E106" s="242"/>
      <c r="F106" s="242"/>
      <c r="G106" s="242"/>
      <c r="H106" s="242"/>
      <c r="I106" s="242"/>
      <c r="J106" s="242"/>
      <c r="K106" s="242"/>
      <c r="L106" s="242"/>
      <c r="M106" s="242"/>
      <c r="N106" s="242"/>
      <c r="O106" s="242"/>
      <c r="P106" s="242"/>
      <c r="Q106" s="242"/>
      <c r="R106" s="242"/>
      <c r="S106" s="242"/>
    </row>
  </sheetData>
  <mergeCells count="6">
    <mergeCell ref="B75:S75"/>
    <mergeCell ref="A1:U2"/>
    <mergeCell ref="A3:U3"/>
    <mergeCell ref="B6:S6"/>
    <mergeCell ref="B24:S24"/>
    <mergeCell ref="B64:S64"/>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7"/>
  <sheetViews>
    <sheetView workbookViewId="0">
      <pane ySplit="5" topLeftCell="A6" activePane="bottomLeft" state="frozen"/>
      <selection pane="bottomLeft"/>
    </sheetView>
  </sheetViews>
  <sheetFormatPr defaultRowHeight="12.75"/>
  <cols>
    <col min="1" max="1" width="6" customWidth="1"/>
    <col min="2" max="2" width="53" customWidth="1"/>
    <col min="3" max="3" width="13" customWidth="1"/>
    <col min="4" max="4" width="14" customWidth="1"/>
    <col min="5" max="21" width="13" customWidth="1"/>
  </cols>
  <sheetData>
    <row r="1" spans="1:21" ht="23.1" customHeight="1">
      <c r="A1" s="5" t="s">
        <v>1621</v>
      </c>
      <c r="B1" s="5"/>
      <c r="C1" s="5"/>
      <c r="D1" s="5"/>
      <c r="E1" s="5"/>
      <c r="F1" s="5"/>
      <c r="G1" s="5"/>
      <c r="H1" s="5"/>
      <c r="I1" s="5"/>
      <c r="J1" s="5"/>
      <c r="K1" s="5"/>
      <c r="L1" s="5"/>
      <c r="M1" s="5"/>
      <c r="N1" s="5"/>
      <c r="O1" s="5"/>
      <c r="P1" s="5"/>
      <c r="Q1" s="5"/>
      <c r="R1" s="5"/>
      <c r="S1" s="5"/>
      <c r="T1" s="5"/>
      <c r="U1" s="5"/>
    </row>
    <row r="2" spans="1:21" ht="23.1" customHeight="1">
      <c r="A2" s="5"/>
      <c r="B2" s="5"/>
      <c r="C2" s="5"/>
      <c r="D2" s="5"/>
      <c r="E2" s="5"/>
      <c r="F2" s="5"/>
      <c r="G2" s="5"/>
      <c r="H2" s="5"/>
      <c r="I2" s="5"/>
      <c r="J2" s="5"/>
      <c r="K2" s="5"/>
      <c r="L2" s="5"/>
      <c r="M2" s="5"/>
      <c r="N2" s="5"/>
      <c r="O2" s="5"/>
      <c r="P2" s="5"/>
      <c r="Q2" s="5"/>
      <c r="R2" s="5"/>
      <c r="S2" s="5"/>
      <c r="T2" s="5"/>
      <c r="U2" s="5"/>
    </row>
    <row r="3" spans="1:21" ht="24" customHeight="1">
      <c r="A3" s="4" t="s">
        <v>1622</v>
      </c>
      <c r="B3" s="4"/>
      <c r="C3" s="4"/>
      <c r="D3" s="4"/>
      <c r="E3" s="4"/>
      <c r="F3" s="4"/>
      <c r="G3" s="4"/>
      <c r="H3" s="4"/>
      <c r="I3" s="4"/>
      <c r="J3" s="4"/>
      <c r="K3" s="4"/>
      <c r="L3" s="4"/>
      <c r="M3" s="4"/>
      <c r="N3" s="4"/>
      <c r="O3" s="4"/>
      <c r="P3" s="4"/>
      <c r="Q3" s="4"/>
      <c r="R3" s="4"/>
      <c r="S3" s="4"/>
      <c r="T3" s="4"/>
      <c r="U3" s="4"/>
    </row>
    <row r="5" spans="1:21" ht="26.1" customHeight="1">
      <c r="B5" s="241" t="s">
        <v>1233</v>
      </c>
      <c r="C5" s="241" t="s">
        <v>1234</v>
      </c>
      <c r="D5" s="241" t="s">
        <v>1235</v>
      </c>
      <c r="E5" s="241" t="str">
        <f>Sheet1!E40</f>
        <v>FY21A</v>
      </c>
      <c r="F5" s="241" t="str">
        <f>Sheet1!F40</f>
        <v>FY22A</v>
      </c>
      <c r="G5" s="241" t="str">
        <f>Sheet1!G40</f>
        <v>FY23A</v>
      </c>
      <c r="H5" s="241" t="str">
        <f>Sheet1!H40</f>
        <v>FY24A</v>
      </c>
      <c r="I5" s="241" t="str">
        <f>Sheet1!I40</f>
        <v>FY25A</v>
      </c>
      <c r="J5" s="241" t="str">
        <f>Sheet1!J40</f>
        <v>FY26E</v>
      </c>
      <c r="K5" s="241" t="str">
        <f>Sheet1!K40</f>
        <v>FY27E</v>
      </c>
      <c r="L5" s="241" t="str">
        <f>Sheet1!L40</f>
        <v>FY28E</v>
      </c>
      <c r="M5" s="241" t="str">
        <f>Sheet1!M40</f>
        <v>FY29E</v>
      </c>
      <c r="N5" s="241" t="str">
        <f>Sheet1!N40</f>
        <v>FY30E</v>
      </c>
      <c r="O5" s="241" t="str">
        <f>Sheet1!O40</f>
        <v>FY31E</v>
      </c>
      <c r="P5" s="241" t="str">
        <f>Sheet1!P40</f>
        <v>FY32E</v>
      </c>
      <c r="Q5" s="241" t="str">
        <f>Sheet1!Q40</f>
        <v>FY33E</v>
      </c>
      <c r="R5" s="241" t="str">
        <f>Sheet1!R40</f>
        <v>FY34E</v>
      </c>
      <c r="S5" s="241" t="str">
        <f>Sheet1!S40</f>
        <v>FY35E</v>
      </c>
    </row>
    <row r="6" spans="1:21" ht="20.100000000000001" customHeight="1">
      <c r="B6" s="3" t="s">
        <v>1623</v>
      </c>
      <c r="C6" s="3"/>
      <c r="D6" s="3"/>
      <c r="E6" s="2"/>
      <c r="F6" s="2"/>
      <c r="G6" s="2"/>
      <c r="H6" s="2"/>
      <c r="I6" s="2"/>
      <c r="J6" s="2"/>
      <c r="K6" s="2"/>
      <c r="L6" s="2"/>
      <c r="M6" s="2"/>
      <c r="N6" s="2"/>
      <c r="O6" s="2"/>
      <c r="P6" s="2"/>
      <c r="Q6" s="2"/>
      <c r="R6" s="2"/>
      <c r="S6" s="2"/>
    </row>
    <row r="7" spans="1:21">
      <c r="B7" t="s">
        <v>600</v>
      </c>
      <c r="D7" t="s">
        <v>1624</v>
      </c>
      <c r="E7" s="242" t="str">
        <f>IF(Sheet1!E376="","",Sheet1!E376)</f>
        <v/>
      </c>
      <c r="F7" s="242" t="str">
        <f>IF(Sheet1!F376="","",Sheet1!F376)</f>
        <v/>
      </c>
      <c r="G7" s="242" t="str">
        <f>IF(Sheet1!G376="","",Sheet1!G376)</f>
        <v/>
      </c>
      <c r="H7" s="242" t="str">
        <f>IF(Sheet1!H376="","",Sheet1!H376)</f>
        <v/>
      </c>
      <c r="I7" s="242" t="str">
        <f>IF(Sheet1!I376="","",Sheet1!I376)</f>
        <v/>
      </c>
      <c r="J7" s="242">
        <f>IF(Sheet1!J376="","",Sheet1!J376)</f>
        <v>1</v>
      </c>
      <c r="K7" s="242">
        <f>IF(Sheet1!K376="","",Sheet1!K376)</f>
        <v>2</v>
      </c>
      <c r="L7" s="242">
        <f>IF(Sheet1!L376="","",Sheet1!L376)</f>
        <v>3</v>
      </c>
      <c r="M7" s="242">
        <f>IF(Sheet1!M376="","",Sheet1!M376)</f>
        <v>4</v>
      </c>
      <c r="N7" s="242">
        <f>IF(Sheet1!N376="","",Sheet1!N376)</f>
        <v>5</v>
      </c>
      <c r="O7" s="242">
        <f>IF(Sheet1!O376="","",Sheet1!O376)</f>
        <v>6</v>
      </c>
      <c r="P7" s="242">
        <f>IF(Sheet1!P376="","",Sheet1!P376)</f>
        <v>7</v>
      </c>
      <c r="Q7" s="242">
        <f>IF(Sheet1!Q376="","",Sheet1!Q376)</f>
        <v>8</v>
      </c>
      <c r="R7" s="242">
        <f>IF(Sheet1!R376="","",Sheet1!R376)</f>
        <v>9</v>
      </c>
      <c r="S7" s="242">
        <f>IF(Sheet1!S376="","",Sheet1!S376)</f>
        <v>10</v>
      </c>
    </row>
    <row r="8" spans="1:21">
      <c r="B8" t="s">
        <v>601</v>
      </c>
      <c r="D8" t="s">
        <v>1625</v>
      </c>
      <c r="E8" s="242" t="str">
        <f>IF(Sheet1!E377="","",Sheet1!E377)</f>
        <v/>
      </c>
      <c r="F8" s="242" t="str">
        <f>IF(Sheet1!F377="","",Sheet1!F377)</f>
        <v/>
      </c>
      <c r="G8" s="242" t="str">
        <f>IF(Sheet1!G377="","",Sheet1!G377)</f>
        <v/>
      </c>
      <c r="H8" s="242" t="str">
        <f>IF(Sheet1!H377="","",Sheet1!H377)</f>
        <v/>
      </c>
      <c r="I8" s="242" t="str">
        <f>IF(Sheet1!I377="","",Sheet1!I377)</f>
        <v/>
      </c>
      <c r="J8" s="242">
        <f>IF(Sheet1!J377="","",Sheet1!J377)</f>
        <v>0.89904026013765892</v>
      </c>
      <c r="K8" s="242">
        <f>IF(Sheet1!K377="","",Sheet1!K377)</f>
        <v>0.80745044554329126</v>
      </c>
      <c r="L8" s="242">
        <f>IF(Sheet1!L377="","",Sheet1!L377)</f>
        <v>0.72445374947274588</v>
      </c>
      <c r="M8" s="242">
        <f>IF(Sheet1!M377="","",Sheet1!M377)</f>
        <v>0.64932772630255653</v>
      </c>
      <c r="N8" s="242">
        <f>IF(Sheet1!N377="","",Sheet1!N377)</f>
        <v>0.58140153808528428</v>
      </c>
      <c r="O8" s="242">
        <f>IF(Sheet1!O377="","",Sheet1!O377)</f>
        <v>0.52005322998650494</v>
      </c>
      <c r="P8" s="242">
        <f>IF(Sheet1!P377="","",Sheet1!P377)</f>
        <v>0.46470704808952656</v>
      </c>
      <c r="Q8" s="242">
        <f>IF(Sheet1!Q377="","",Sheet1!Q377)</f>
        <v>0.41483081130635657</v>
      </c>
      <c r="R8" s="242">
        <f>IF(Sheet1!R377="","",Sheet1!R377)</f>
        <v>0.36993334748008361</v>
      </c>
      <c r="S8" s="242">
        <f>IF(Sheet1!S377="","",Sheet1!S377)</f>
        <v>0.32956200220942861</v>
      </c>
    </row>
    <row r="9" spans="1:21">
      <c r="B9" t="s">
        <v>602</v>
      </c>
      <c r="D9" t="s">
        <v>1626</v>
      </c>
      <c r="E9" s="242" t="str">
        <f>IF(Sheet1!E378="","",Sheet1!E378)</f>
        <v/>
      </c>
      <c r="F9" s="242" t="str">
        <f>IF(Sheet1!F378="","",Sheet1!F378)</f>
        <v/>
      </c>
      <c r="G9" s="242" t="str">
        <f>IF(Sheet1!G378="","",Sheet1!G378)</f>
        <v/>
      </c>
      <c r="H9" s="242" t="str">
        <f>IF(Sheet1!H378="","",Sheet1!H378)</f>
        <v/>
      </c>
      <c r="I9" s="242" t="str">
        <f>IF(Sheet1!I378="","",Sheet1!I378)</f>
        <v/>
      </c>
      <c r="J9" s="242">
        <f>IF(Sheet1!J378="","",Sheet1!J378)</f>
        <v>0.11229724000000002</v>
      </c>
      <c r="K9" s="242">
        <f>IF(Sheet1!K378="","",Sheet1!K378)</f>
        <v>0.11343088000000001</v>
      </c>
      <c r="L9" s="242">
        <f>IF(Sheet1!L378="","",Sheet1!L378)</f>
        <v>0.11456452</v>
      </c>
      <c r="M9" s="242">
        <f>IF(Sheet1!M378="","",Sheet1!M378)</f>
        <v>0.11569816000000002</v>
      </c>
      <c r="N9" s="242">
        <f>IF(Sheet1!N378="","",Sheet1!N378)</f>
        <v>0.11683180000000001</v>
      </c>
      <c r="O9" s="242">
        <f>IF(Sheet1!O378="","",Sheet1!O378)</f>
        <v>0.11796544</v>
      </c>
      <c r="P9" s="242">
        <f>IF(Sheet1!P378="","",Sheet1!P378)</f>
        <v>0.11909908</v>
      </c>
      <c r="Q9" s="242">
        <f>IF(Sheet1!Q378="","",Sheet1!Q378)</f>
        <v>0.12023272000000002</v>
      </c>
      <c r="R9" s="242">
        <f>IF(Sheet1!R378="","",Sheet1!R378)</f>
        <v>0.12136636000000001</v>
      </c>
      <c r="S9" s="242">
        <f>IF(Sheet1!S378="","",Sheet1!S378)</f>
        <v>0.1225</v>
      </c>
    </row>
    <row r="10" spans="1:21" ht="20.100000000000001" customHeight="1">
      <c r="B10" s="3" t="s">
        <v>1627</v>
      </c>
      <c r="C10" s="3"/>
      <c r="D10" s="3"/>
      <c r="E10" s="2"/>
      <c r="F10" s="2"/>
      <c r="G10" s="2"/>
      <c r="H10" s="2"/>
      <c r="I10" s="2"/>
      <c r="J10" s="2"/>
      <c r="K10" s="2"/>
      <c r="L10" s="2"/>
      <c r="M10" s="2"/>
      <c r="N10" s="2"/>
      <c r="O10" s="2"/>
      <c r="P10" s="2"/>
      <c r="Q10" s="2"/>
      <c r="R10" s="2"/>
      <c r="S10" s="2"/>
    </row>
    <row r="11" spans="1:21">
      <c r="B11" t="s">
        <v>603</v>
      </c>
      <c r="D11" t="s">
        <v>1628</v>
      </c>
      <c r="E11" s="242" t="str">
        <f>IF(Sheet1!E379="","",Sheet1!E379)</f>
        <v>FY21A</v>
      </c>
      <c r="F11" s="242" t="str">
        <f>IF(Sheet1!F379="","",Sheet1!F379)</f>
        <v>FY22A</v>
      </c>
      <c r="G11" s="242" t="str">
        <f>IF(Sheet1!G379="","",Sheet1!G379)</f>
        <v>FY23A</v>
      </c>
      <c r="H11" s="242" t="str">
        <f>IF(Sheet1!H379="","",Sheet1!H379)</f>
        <v>FY24A</v>
      </c>
      <c r="I11" s="242" t="str">
        <f>IF(Sheet1!I379="","",Sheet1!I379)</f>
        <v>FY25A</v>
      </c>
      <c r="J11" s="242" t="str">
        <f>IF(Sheet1!J379="","",Sheet1!J379)</f>
        <v>FY26E</v>
      </c>
      <c r="K11" s="242" t="str">
        <f>IF(Sheet1!K379="","",Sheet1!K379)</f>
        <v>FY27E</v>
      </c>
      <c r="L11" s="242" t="str">
        <f>IF(Sheet1!L379="","",Sheet1!L379)</f>
        <v>FY28E</v>
      </c>
      <c r="M11" s="242" t="str">
        <f>IF(Sheet1!M379="","",Sheet1!M379)</f>
        <v>FY29E</v>
      </c>
      <c r="N11" s="242" t="str">
        <f>IF(Sheet1!N379="","",Sheet1!N379)</f>
        <v>FY30E</v>
      </c>
      <c r="O11" s="242" t="str">
        <f>IF(Sheet1!O379="","",Sheet1!O379)</f>
        <v>FY31E</v>
      </c>
      <c r="P11" s="242" t="str">
        <f>IF(Sheet1!P379="","",Sheet1!P379)</f>
        <v>FY32E</v>
      </c>
      <c r="Q11" s="242" t="str">
        <f>IF(Sheet1!Q379="","",Sheet1!Q379)</f>
        <v>FY33E</v>
      </c>
      <c r="R11" s="242" t="str">
        <f>IF(Sheet1!R379="","",Sheet1!R379)</f>
        <v>FY34E</v>
      </c>
      <c r="S11" s="242" t="str">
        <f>IF(Sheet1!S379="","",Sheet1!S379)</f>
        <v>FY35E</v>
      </c>
    </row>
    <row r="12" spans="1:21">
      <c r="B12" t="s">
        <v>604</v>
      </c>
      <c r="D12" t="s">
        <v>1629</v>
      </c>
      <c r="E12" s="242" t="str">
        <f>IF(Sheet1!E380="","",Sheet1!E380)</f>
        <v/>
      </c>
      <c r="F12" s="242" t="str">
        <f>IF(Sheet1!F380="","",Sheet1!F380)</f>
        <v/>
      </c>
      <c r="G12" s="242" t="str">
        <f>IF(Sheet1!G380="","",Sheet1!G380)</f>
        <v/>
      </c>
      <c r="H12" s="242" t="str">
        <f>IF(Sheet1!H380="","",Sheet1!H380)</f>
        <v/>
      </c>
      <c r="I12" s="242" t="str">
        <f>IF(Sheet1!I380="","",Sheet1!I380)</f>
        <v/>
      </c>
      <c r="J12" s="242">
        <f>IF(Sheet1!J380="","",Sheet1!J380)</f>
        <v>32.81007759500153</v>
      </c>
      <c r="K12" s="242">
        <f>IF(Sheet1!K380="","",Sheet1!K380)</f>
        <v>-98.404286101510152</v>
      </c>
      <c r="L12" s="242">
        <f>IF(Sheet1!L380="","",Sheet1!L380)</f>
        <v>56.264582524269379</v>
      </c>
      <c r="M12" s="242">
        <f>IF(Sheet1!M380="","",Sheet1!M380)</f>
        <v>70.649046582017576</v>
      </c>
      <c r="N12" s="242">
        <f>IF(Sheet1!N380="","",Sheet1!N380)</f>
        <v>88.490678072500089</v>
      </c>
      <c r="O12" s="242">
        <f>IF(Sheet1!O380="","",Sheet1!O380)</f>
        <v>98.457112345389206</v>
      </c>
      <c r="P12" s="242">
        <f>IF(Sheet1!P380="","",Sheet1!P380)</f>
        <v>143.64254231654704</v>
      </c>
      <c r="Q12" s="242">
        <f>IF(Sheet1!Q380="","",Sheet1!Q380)</f>
        <v>195.5999519398874</v>
      </c>
      <c r="R12" s="242">
        <f>IF(Sheet1!R380="","",Sheet1!R380)</f>
        <v>232.96586155870779</v>
      </c>
      <c r="S12" s="242">
        <f>IF(Sheet1!S380="","",Sheet1!S380)</f>
        <v>273.5018260486753</v>
      </c>
    </row>
    <row r="13" spans="1:21">
      <c r="B13" t="s">
        <v>605</v>
      </c>
      <c r="D13" t="s">
        <v>1630</v>
      </c>
      <c r="E13" s="242" t="str">
        <f>IF(Sheet1!E381="","",Sheet1!E381)</f>
        <v/>
      </c>
      <c r="F13" s="242" t="str">
        <f>IF(Sheet1!F381="","",Sheet1!F381)</f>
        <v/>
      </c>
      <c r="G13" s="242" t="str">
        <f>IF(Sheet1!G381="","",Sheet1!G381)</f>
        <v/>
      </c>
      <c r="H13" s="242" t="str">
        <f>IF(Sheet1!H381="","",Sheet1!H381)</f>
        <v/>
      </c>
      <c r="I13" s="242" t="str">
        <f>IF(Sheet1!I381="","",Sheet1!I381)</f>
        <v/>
      </c>
      <c r="J13" s="242">
        <f>IF(Sheet1!J381="","",Sheet1!J381)</f>
        <v>29.497580696146951</v>
      </c>
      <c r="K13" s="242">
        <f>IF(Sheet1!K381="","",Sheet1!K381)</f>
        <v>-79.456584656033883</v>
      </c>
      <c r="L13" s="242">
        <f>IF(Sheet1!L381="","",Sheet1!L381)</f>
        <v>40.761087772225686</v>
      </c>
      <c r="M13" s="242">
        <f>IF(Sheet1!M381="","",Sheet1!M381)</f>
        <v>45.874384782544873</v>
      </c>
      <c r="N13" s="242">
        <f>IF(Sheet1!N381="","",Sheet1!N381)</f>
        <v>51.44861633756129</v>
      </c>
      <c r="O13" s="242">
        <f>IF(Sheet1!O381="","",Sheet1!O381)</f>
        <v>51.202939290363844</v>
      </c>
      <c r="P13" s="242">
        <f>IF(Sheet1!P381="","",Sheet1!P381)</f>
        <v>66.751701819997479</v>
      </c>
      <c r="Q13" s="242">
        <f>IF(Sheet1!Q381="","",Sheet1!Q381)</f>
        <v>81.14088675470785</v>
      </c>
      <c r="R13" s="242">
        <f>IF(Sheet1!R381="","",Sheet1!R381)</f>
        <v>86.181841014994504</v>
      </c>
      <c r="S13" s="242">
        <f>IF(Sheet1!S381="","",Sheet1!S381)</f>
        <v>90.135809400536289</v>
      </c>
    </row>
    <row r="14" spans="1:21">
      <c r="B14" t="s">
        <v>606</v>
      </c>
      <c r="D14" t="s">
        <v>1631</v>
      </c>
      <c r="E14" s="242">
        <f>IF(Sheet1!E382="","",Sheet1!E382)</f>
        <v>0.14249999999999999</v>
      </c>
      <c r="F14" s="242" t="str">
        <f>IF(Sheet1!F382="","",Sheet1!F382)</f>
        <v/>
      </c>
      <c r="G14" s="242" t="str">
        <f>IF(Sheet1!G382="","",Sheet1!G382)</f>
        <v/>
      </c>
      <c r="H14" s="242" t="str">
        <f>IF(Sheet1!H382="","",Sheet1!H382)</f>
        <v/>
      </c>
      <c r="I14" s="242" t="str">
        <f>IF(Sheet1!I382="","",Sheet1!I382)</f>
        <v/>
      </c>
      <c r="J14" s="242" t="str">
        <f>IF(Sheet1!J382="","",Sheet1!J382)</f>
        <v/>
      </c>
      <c r="K14" s="242" t="str">
        <f>IF(Sheet1!K382="","",Sheet1!K382)</f>
        <v/>
      </c>
      <c r="L14" s="242" t="str">
        <f>IF(Sheet1!L382="","",Sheet1!L382)</f>
        <v/>
      </c>
      <c r="M14" s="242" t="str">
        <f>IF(Sheet1!M382="","",Sheet1!M382)</f>
        <v/>
      </c>
      <c r="N14" s="242" t="str">
        <f>IF(Sheet1!N382="","",Sheet1!N382)</f>
        <v/>
      </c>
      <c r="O14" s="242" t="str">
        <f>IF(Sheet1!O382="","",Sheet1!O382)</f>
        <v/>
      </c>
      <c r="P14" s="242" t="str">
        <f>IF(Sheet1!P382="","",Sheet1!P382)</f>
        <v/>
      </c>
      <c r="Q14" s="242" t="str">
        <f>IF(Sheet1!Q382="","",Sheet1!Q382)</f>
        <v/>
      </c>
      <c r="R14" s="242" t="str">
        <f>IF(Sheet1!R382="","",Sheet1!R382)</f>
        <v/>
      </c>
      <c r="S14" s="242" t="str">
        <f>IF(Sheet1!S382="","",Sheet1!S382)</f>
        <v/>
      </c>
    </row>
    <row r="15" spans="1:21">
      <c r="B15" t="s">
        <v>607</v>
      </c>
      <c r="D15" t="s">
        <v>1632</v>
      </c>
      <c r="E15" s="242">
        <f>IF(Sheet1!E383="","",Sheet1!E383)</f>
        <v>0.68421052631578938</v>
      </c>
      <c r="F15" s="242" t="str">
        <f>IF(Sheet1!F383="","",Sheet1!F383)</f>
        <v/>
      </c>
      <c r="G15" s="242" t="str">
        <f>IF(Sheet1!G383="","",Sheet1!G383)</f>
        <v/>
      </c>
      <c r="H15" s="242" t="str">
        <f>IF(Sheet1!H383="","",Sheet1!H383)</f>
        <v/>
      </c>
      <c r="I15" s="242" t="str">
        <f>IF(Sheet1!I383="","",Sheet1!I383)</f>
        <v/>
      </c>
      <c r="J15" s="242" t="str">
        <f>IF(Sheet1!J383="","",Sheet1!J383)</f>
        <v/>
      </c>
      <c r="K15" s="242" t="str">
        <f>IF(Sheet1!K383="","",Sheet1!K383)</f>
        <v/>
      </c>
      <c r="L15" s="242" t="str">
        <f>IF(Sheet1!L383="","",Sheet1!L383)</f>
        <v/>
      </c>
      <c r="M15" s="242" t="str">
        <f>IF(Sheet1!M383="","",Sheet1!M383)</f>
        <v/>
      </c>
      <c r="N15" s="242" t="str">
        <f>IF(Sheet1!N383="","",Sheet1!N383)</f>
        <v/>
      </c>
      <c r="O15" s="242" t="str">
        <f>IF(Sheet1!O383="","",Sheet1!O383)</f>
        <v/>
      </c>
      <c r="P15" s="242" t="str">
        <f>IF(Sheet1!P383="","",Sheet1!P383)</f>
        <v/>
      </c>
      <c r="Q15" s="242" t="str">
        <f>IF(Sheet1!Q383="","",Sheet1!Q383)</f>
        <v/>
      </c>
      <c r="R15" s="242" t="str">
        <f>IF(Sheet1!R383="","",Sheet1!R383)</f>
        <v/>
      </c>
      <c r="S15" s="242" t="str">
        <f>IF(Sheet1!S383="","",Sheet1!S383)</f>
        <v/>
      </c>
    </row>
    <row r="16" spans="1:21">
      <c r="B16" t="s">
        <v>609</v>
      </c>
      <c r="D16" t="s">
        <v>1633</v>
      </c>
      <c r="E16" s="242">
        <f>IF(Sheet1!E384="","",Sheet1!E384)</f>
        <v>335.593571311478</v>
      </c>
      <c r="F16" s="242" t="str">
        <f>IF(Sheet1!F384="","",Sheet1!F384)</f>
        <v/>
      </c>
      <c r="G16" s="242" t="str">
        <f>IF(Sheet1!G384="","",Sheet1!G384)</f>
        <v/>
      </c>
      <c r="H16" s="242" t="str">
        <f>IF(Sheet1!H384="","",Sheet1!H384)</f>
        <v/>
      </c>
      <c r="I16" s="242" t="str">
        <f>IF(Sheet1!I384="","",Sheet1!I384)</f>
        <v/>
      </c>
      <c r="J16" s="242" t="str">
        <f>IF(Sheet1!J384="","",Sheet1!J384)</f>
        <v/>
      </c>
      <c r="K16" s="242" t="str">
        <f>IF(Sheet1!K384="","",Sheet1!K384)</f>
        <v/>
      </c>
      <c r="L16" s="242" t="str">
        <f>IF(Sheet1!L384="","",Sheet1!L384)</f>
        <v/>
      </c>
      <c r="M16" s="242" t="str">
        <f>IF(Sheet1!M384="","",Sheet1!M384)</f>
        <v/>
      </c>
      <c r="N16" s="242" t="str">
        <f>IF(Sheet1!N384="","",Sheet1!N384)</f>
        <v/>
      </c>
      <c r="O16" s="242" t="str">
        <f>IF(Sheet1!O384="","",Sheet1!O384)</f>
        <v/>
      </c>
      <c r="P16" s="242" t="str">
        <f>IF(Sheet1!P384="","",Sheet1!P384)</f>
        <v/>
      </c>
      <c r="Q16" s="242" t="str">
        <f>IF(Sheet1!Q384="","",Sheet1!Q384)</f>
        <v/>
      </c>
      <c r="R16" s="242" t="str">
        <f>IF(Sheet1!R384="","",Sheet1!R384)</f>
        <v/>
      </c>
      <c r="S16" s="242" t="str">
        <f>IF(Sheet1!S384="","",Sheet1!S384)</f>
        <v/>
      </c>
    </row>
    <row r="17" spans="2:19">
      <c r="B17" t="s">
        <v>610</v>
      </c>
      <c r="D17" t="s">
        <v>1634</v>
      </c>
      <c r="E17" s="242">
        <f>IF(Sheet1!E385="","",Sheet1!E385)</f>
        <v>4330.2396298255226</v>
      </c>
      <c r="F17" s="242" t="str">
        <f>IF(Sheet1!F385="","",Sheet1!F385)</f>
        <v/>
      </c>
      <c r="G17" s="242" t="str">
        <f>IF(Sheet1!G385="","",Sheet1!G385)</f>
        <v/>
      </c>
      <c r="H17" s="242" t="str">
        <f>IF(Sheet1!H385="","",Sheet1!H385)</f>
        <v/>
      </c>
      <c r="I17" s="242" t="str">
        <f>IF(Sheet1!I385="","",Sheet1!I385)</f>
        <v/>
      </c>
      <c r="J17" s="242" t="str">
        <f>IF(Sheet1!J385="","",Sheet1!J385)</f>
        <v/>
      </c>
      <c r="K17" s="242" t="str">
        <f>IF(Sheet1!K385="","",Sheet1!K385)</f>
        <v/>
      </c>
      <c r="L17" s="242" t="str">
        <f>IF(Sheet1!L385="","",Sheet1!L385)</f>
        <v/>
      </c>
      <c r="M17" s="242" t="str">
        <f>IF(Sheet1!M385="","",Sheet1!M385)</f>
        <v/>
      </c>
      <c r="N17" s="242" t="str">
        <f>IF(Sheet1!N385="","",Sheet1!N385)</f>
        <v/>
      </c>
      <c r="O17" s="242" t="str">
        <f>IF(Sheet1!O385="","",Sheet1!O385)</f>
        <v/>
      </c>
      <c r="P17" s="242" t="str">
        <f>IF(Sheet1!P385="","",Sheet1!P385)</f>
        <v/>
      </c>
      <c r="Q17" s="242" t="str">
        <f>IF(Sheet1!Q385="","",Sheet1!Q385)</f>
        <v/>
      </c>
      <c r="R17" s="242" t="str">
        <f>IF(Sheet1!R385="","",Sheet1!R385)</f>
        <v/>
      </c>
      <c r="S17" s="242" t="str">
        <f>IF(Sheet1!S385="","",Sheet1!S385)</f>
        <v/>
      </c>
    </row>
    <row r="18" spans="2:19">
      <c r="B18" t="s">
        <v>611</v>
      </c>
      <c r="D18" t="s">
        <v>1635</v>
      </c>
      <c r="E18" s="242">
        <f>IF(Sheet1!E386="","",Sheet1!E386)</f>
        <v>1427.0824424519142</v>
      </c>
      <c r="F18" s="242" t="str">
        <f>IF(Sheet1!F386="","",Sheet1!F386)</f>
        <v/>
      </c>
      <c r="G18" s="242" t="str">
        <f>IF(Sheet1!G386="","",Sheet1!G386)</f>
        <v/>
      </c>
      <c r="H18" s="242" t="str">
        <f>IF(Sheet1!H386="","",Sheet1!H386)</f>
        <v/>
      </c>
      <c r="I18" s="242" t="str">
        <f>IF(Sheet1!I386="","",Sheet1!I386)</f>
        <v/>
      </c>
      <c r="J18" s="242" t="str">
        <f>IF(Sheet1!J386="","",Sheet1!J386)</f>
        <v/>
      </c>
      <c r="K18" s="242" t="str">
        <f>IF(Sheet1!K386="","",Sheet1!K386)</f>
        <v/>
      </c>
      <c r="L18" s="242" t="str">
        <f>IF(Sheet1!L386="","",Sheet1!L386)</f>
        <v/>
      </c>
      <c r="M18" s="242" t="str">
        <f>IF(Sheet1!M386="","",Sheet1!M386)</f>
        <v/>
      </c>
      <c r="N18" s="242" t="str">
        <f>IF(Sheet1!N386="","",Sheet1!N386)</f>
        <v/>
      </c>
      <c r="O18" s="242" t="str">
        <f>IF(Sheet1!O386="","",Sheet1!O386)</f>
        <v/>
      </c>
      <c r="P18" s="242" t="str">
        <f>IF(Sheet1!P386="","",Sheet1!P386)</f>
        <v/>
      </c>
      <c r="Q18" s="242" t="str">
        <f>IF(Sheet1!Q386="","",Sheet1!Q386)</f>
        <v/>
      </c>
      <c r="R18" s="242" t="str">
        <f>IF(Sheet1!R386="","",Sheet1!R386)</f>
        <v/>
      </c>
      <c r="S18" s="242" t="str">
        <f>IF(Sheet1!S386="","",Sheet1!S386)</f>
        <v/>
      </c>
    </row>
    <row r="19" spans="2:19">
      <c r="B19" t="s">
        <v>612</v>
      </c>
      <c r="D19" t="s">
        <v>1636</v>
      </c>
      <c r="E19" s="242">
        <f>IF(Sheet1!E387="","",Sheet1!E387)</f>
        <v>1890.6207056649591</v>
      </c>
      <c r="F19" s="242" t="str">
        <f>IF(Sheet1!F387="","",Sheet1!F387)</f>
        <v/>
      </c>
      <c r="G19" s="242" t="str">
        <f>IF(Sheet1!G387="","",Sheet1!G387)</f>
        <v/>
      </c>
      <c r="H19" s="242" t="str">
        <f>IF(Sheet1!H387="","",Sheet1!H387)</f>
        <v/>
      </c>
      <c r="I19" s="242" t="str">
        <f>IF(Sheet1!I387="","",Sheet1!I387)</f>
        <v/>
      </c>
      <c r="J19" s="242" t="str">
        <f>IF(Sheet1!J387="","",Sheet1!J387)</f>
        <v/>
      </c>
      <c r="K19" s="242" t="str">
        <f>IF(Sheet1!K387="","",Sheet1!K387)</f>
        <v/>
      </c>
      <c r="L19" s="242" t="str">
        <f>IF(Sheet1!L387="","",Sheet1!L387)</f>
        <v/>
      </c>
      <c r="M19" s="242" t="str">
        <f>IF(Sheet1!M387="","",Sheet1!M387)</f>
        <v/>
      </c>
      <c r="N19" s="242" t="str">
        <f>IF(Sheet1!N387="","",Sheet1!N387)</f>
        <v/>
      </c>
      <c r="O19" s="242" t="str">
        <f>IF(Sheet1!O387="","",Sheet1!O387)</f>
        <v/>
      </c>
      <c r="P19" s="242" t="str">
        <f>IF(Sheet1!P387="","",Sheet1!P387)</f>
        <v/>
      </c>
      <c r="Q19" s="242" t="str">
        <f>IF(Sheet1!Q387="","",Sheet1!Q387)</f>
        <v/>
      </c>
      <c r="R19" s="242" t="str">
        <f>IF(Sheet1!R387="","",Sheet1!R387)</f>
        <v/>
      </c>
      <c r="S19" s="242" t="str">
        <f>IF(Sheet1!S387="","",Sheet1!S387)</f>
        <v/>
      </c>
    </row>
    <row r="20" spans="2:19">
      <c r="B20" t="s">
        <v>613</v>
      </c>
      <c r="D20" t="s">
        <v>1637</v>
      </c>
      <c r="E20" s="242">
        <f>IF(Sheet1!E388="","",Sheet1!E388)</f>
        <v>0.75482217992000056</v>
      </c>
      <c r="F20" s="242" t="str">
        <f>IF(Sheet1!F388="","",Sheet1!F388)</f>
        <v/>
      </c>
      <c r="G20" s="242" t="str">
        <f>IF(Sheet1!G388="","",Sheet1!G388)</f>
        <v/>
      </c>
      <c r="H20" s="242" t="str">
        <f>IF(Sheet1!H388="","",Sheet1!H388)</f>
        <v/>
      </c>
      <c r="I20" s="242" t="str">
        <f>IF(Sheet1!I388="","",Sheet1!I388)</f>
        <v/>
      </c>
      <c r="J20" s="242" t="str">
        <f>IF(Sheet1!J388="","",Sheet1!J388)</f>
        <v/>
      </c>
      <c r="K20" s="242" t="str">
        <f>IF(Sheet1!K388="","",Sheet1!K388)</f>
        <v/>
      </c>
      <c r="L20" s="242" t="str">
        <f>IF(Sheet1!L388="","",Sheet1!L388)</f>
        <v/>
      </c>
      <c r="M20" s="242" t="str">
        <f>IF(Sheet1!M388="","",Sheet1!M388)</f>
        <v/>
      </c>
      <c r="N20" s="242" t="str">
        <f>IF(Sheet1!N388="","",Sheet1!N388)</f>
        <v/>
      </c>
      <c r="O20" s="242" t="str">
        <f>IF(Sheet1!O388="","",Sheet1!O388)</f>
        <v/>
      </c>
      <c r="P20" s="242" t="str">
        <f>IF(Sheet1!P388="","",Sheet1!P388)</f>
        <v/>
      </c>
      <c r="Q20" s="242" t="str">
        <f>IF(Sheet1!Q388="","",Sheet1!Q388)</f>
        <v/>
      </c>
      <c r="R20" s="242" t="str">
        <f>IF(Sheet1!R388="","",Sheet1!R388)</f>
        <v/>
      </c>
      <c r="S20" s="242" t="str">
        <f>IF(Sheet1!S388="","",Sheet1!S388)</f>
        <v/>
      </c>
    </row>
    <row r="21" spans="2:19" ht="20.100000000000001" customHeight="1">
      <c r="B21" s="3" t="s">
        <v>1638</v>
      </c>
      <c r="C21" s="3"/>
      <c r="D21" s="3"/>
      <c r="E21" s="2"/>
      <c r="F21" s="2"/>
      <c r="G21" s="2"/>
      <c r="H21" s="2"/>
      <c r="I21" s="2"/>
      <c r="J21" s="2"/>
      <c r="K21" s="2"/>
      <c r="L21" s="2"/>
      <c r="M21" s="2"/>
      <c r="N21" s="2"/>
      <c r="O21" s="2"/>
      <c r="P21" s="2"/>
      <c r="Q21" s="2"/>
      <c r="R21" s="2"/>
      <c r="S21" s="2"/>
    </row>
    <row r="22" spans="2:19">
      <c r="B22" t="s">
        <v>622</v>
      </c>
      <c r="D22" t="s">
        <v>1639</v>
      </c>
      <c r="E22" s="242">
        <f>IF(Sheet1!E399="","",Sheet1!E399)</f>
        <v>0.77260273972602744</v>
      </c>
      <c r="F22" s="242" t="str">
        <f>IF(Sheet1!F399="","",Sheet1!F399)</f>
        <v/>
      </c>
      <c r="G22" s="242" t="str">
        <f>IF(Sheet1!G399="","",Sheet1!G399)</f>
        <v/>
      </c>
      <c r="H22" s="242" t="str">
        <f>IF(Sheet1!H399="","",Sheet1!H399)</f>
        <v/>
      </c>
      <c r="I22" s="242" t="str">
        <f>IF(Sheet1!I399="","",Sheet1!I399)</f>
        <v/>
      </c>
      <c r="J22" s="242" t="str">
        <f>IF(Sheet1!J399="","",Sheet1!J399)</f>
        <v/>
      </c>
      <c r="K22" s="242" t="str">
        <f>IF(Sheet1!K399="","",Sheet1!K399)</f>
        <v/>
      </c>
      <c r="L22" s="242" t="str">
        <f>IF(Sheet1!L399="","",Sheet1!L399)</f>
        <v/>
      </c>
      <c r="M22" s="242" t="str">
        <f>IF(Sheet1!M399="","",Sheet1!M399)</f>
        <v/>
      </c>
      <c r="N22" s="242" t="str">
        <f>IF(Sheet1!N399="","",Sheet1!N399)</f>
        <v/>
      </c>
      <c r="O22" s="242" t="str">
        <f>IF(Sheet1!O399="","",Sheet1!O399)</f>
        <v/>
      </c>
      <c r="P22" s="242" t="str">
        <f>IF(Sheet1!P399="","",Sheet1!P399)</f>
        <v/>
      </c>
      <c r="Q22" s="242" t="str">
        <f>IF(Sheet1!Q399="","",Sheet1!Q399)</f>
        <v/>
      </c>
      <c r="R22" s="242" t="str">
        <f>IF(Sheet1!R399="","",Sheet1!R399)</f>
        <v/>
      </c>
      <c r="S22" s="242" t="str">
        <f>IF(Sheet1!S399="","",Sheet1!S399)</f>
        <v/>
      </c>
    </row>
    <row r="23" spans="2:19">
      <c r="B23" t="s">
        <v>624</v>
      </c>
      <c r="D23" t="s">
        <v>1640</v>
      </c>
      <c r="E23" s="242">
        <f>IF(Sheet1!E400="","",Sheet1!E400)</f>
        <v>32.81007759500153</v>
      </c>
      <c r="F23" s="242" t="str">
        <f>IF(Sheet1!F400="","",Sheet1!F400)</f>
        <v/>
      </c>
      <c r="G23" s="242" t="str">
        <f>IF(Sheet1!G400="","",Sheet1!G400)</f>
        <v/>
      </c>
      <c r="H23" s="242" t="str">
        <f>IF(Sheet1!H400="","",Sheet1!H400)</f>
        <v/>
      </c>
      <c r="I23" s="242" t="str">
        <f>IF(Sheet1!I400="","",Sheet1!I400)</f>
        <v/>
      </c>
      <c r="J23" s="242" t="str">
        <f>IF(Sheet1!J400="","",Sheet1!J400)</f>
        <v/>
      </c>
      <c r="K23" s="242" t="str">
        <f>IF(Sheet1!K400="","",Sheet1!K400)</f>
        <v/>
      </c>
      <c r="L23" s="242" t="str">
        <f>IF(Sheet1!L400="","",Sheet1!L400)</f>
        <v/>
      </c>
      <c r="M23" s="242" t="str">
        <f>IF(Sheet1!M400="","",Sheet1!M400)</f>
        <v/>
      </c>
      <c r="N23" s="242" t="str">
        <f>IF(Sheet1!N400="","",Sheet1!N400)</f>
        <v/>
      </c>
      <c r="O23" s="242" t="str">
        <f>IF(Sheet1!O400="","",Sheet1!O400)</f>
        <v/>
      </c>
      <c r="P23" s="242" t="str">
        <f>IF(Sheet1!P400="","",Sheet1!P400)</f>
        <v/>
      </c>
      <c r="Q23" s="242" t="str">
        <f>IF(Sheet1!Q400="","",Sheet1!Q400)</f>
        <v/>
      </c>
      <c r="R23" s="242" t="str">
        <f>IF(Sheet1!R400="","",Sheet1!R400)</f>
        <v/>
      </c>
      <c r="S23" s="242" t="str">
        <f>IF(Sheet1!S400="","",Sheet1!S400)</f>
        <v/>
      </c>
    </row>
    <row r="24" spans="2:19">
      <c r="B24" t="s">
        <v>625</v>
      </c>
      <c r="D24" t="s">
        <v>1641</v>
      </c>
      <c r="E24" s="242">
        <f>IF(Sheet1!E401="","",Sheet1!E401)</f>
        <v>40.162861951591054</v>
      </c>
      <c r="F24" s="242" t="str">
        <f>IF(Sheet1!F401="","",Sheet1!F401)</f>
        <v/>
      </c>
      <c r="G24" s="242" t="str">
        <f>IF(Sheet1!G401="","",Sheet1!G401)</f>
        <v/>
      </c>
      <c r="H24" s="242" t="str">
        <f>IF(Sheet1!H401="","",Sheet1!H401)</f>
        <v/>
      </c>
      <c r="I24" s="242" t="str">
        <f>IF(Sheet1!I401="","",Sheet1!I401)</f>
        <v/>
      </c>
      <c r="J24" s="242" t="str">
        <f>IF(Sheet1!J401="","",Sheet1!J401)</f>
        <v/>
      </c>
      <c r="K24" s="242" t="str">
        <f>IF(Sheet1!K401="","",Sheet1!K401)</f>
        <v/>
      </c>
      <c r="L24" s="242" t="str">
        <f>IF(Sheet1!L401="","",Sheet1!L401)</f>
        <v/>
      </c>
      <c r="M24" s="242" t="str">
        <f>IF(Sheet1!M401="","",Sheet1!M401)</f>
        <v/>
      </c>
      <c r="N24" s="242" t="str">
        <f>IF(Sheet1!N401="","",Sheet1!N401)</f>
        <v/>
      </c>
      <c r="O24" s="242" t="str">
        <f>IF(Sheet1!O401="","",Sheet1!O401)</f>
        <v/>
      </c>
      <c r="P24" s="242" t="str">
        <f>IF(Sheet1!P401="","",Sheet1!P401)</f>
        <v/>
      </c>
      <c r="Q24" s="242" t="str">
        <f>IF(Sheet1!Q401="","",Sheet1!Q401)</f>
        <v/>
      </c>
      <c r="R24" s="242" t="str">
        <f>IF(Sheet1!R401="","",Sheet1!R401)</f>
        <v/>
      </c>
      <c r="S24" s="242" t="str">
        <f>IF(Sheet1!S401="","",Sheet1!S401)</f>
        <v/>
      </c>
    </row>
    <row r="25" spans="2:19">
      <c r="B25" t="s">
        <v>626</v>
      </c>
      <c r="D25" t="s">
        <v>1244</v>
      </c>
      <c r="E25" s="242">
        <f>IF(Sheet1!E402="","",Sheet1!E402)</f>
        <v>2019.8393035289646</v>
      </c>
      <c r="F25" s="242" t="str">
        <f>IF(Sheet1!F402="","",Sheet1!F402)</f>
        <v/>
      </c>
      <c r="G25" s="242" t="str">
        <f>IF(Sheet1!G402="","",Sheet1!G402)</f>
        <v/>
      </c>
      <c r="H25" s="242" t="str">
        <f>IF(Sheet1!H402="","",Sheet1!H402)</f>
        <v/>
      </c>
      <c r="I25" s="242" t="str">
        <f>IF(Sheet1!I402="","",Sheet1!I402)</f>
        <v/>
      </c>
      <c r="J25" s="242" t="str">
        <f>IF(Sheet1!J402="","",Sheet1!J402)</f>
        <v/>
      </c>
      <c r="K25" s="242" t="str">
        <f>IF(Sheet1!K402="","",Sheet1!K402)</f>
        <v/>
      </c>
      <c r="L25" s="242" t="str">
        <f>IF(Sheet1!L402="","",Sheet1!L402)</f>
        <v/>
      </c>
      <c r="M25" s="242" t="str">
        <f>IF(Sheet1!M402="","",Sheet1!M402)</f>
        <v/>
      </c>
      <c r="N25" s="242" t="str">
        <f>IF(Sheet1!N402="","",Sheet1!N402)</f>
        <v/>
      </c>
      <c r="O25" s="242" t="str">
        <f>IF(Sheet1!O402="","",Sheet1!O402)</f>
        <v/>
      </c>
      <c r="P25" s="242" t="str">
        <f>IF(Sheet1!P402="","",Sheet1!P402)</f>
        <v/>
      </c>
      <c r="Q25" s="242" t="str">
        <f>IF(Sheet1!Q402="","",Sheet1!Q402)</f>
        <v/>
      </c>
      <c r="R25" s="242" t="str">
        <f>IF(Sheet1!R402="","",Sheet1!R402)</f>
        <v/>
      </c>
      <c r="S25" s="242" t="str">
        <f>IF(Sheet1!S402="","",Sheet1!S402)</f>
        <v/>
      </c>
    </row>
    <row r="26" spans="2:19">
      <c r="B26" t="s">
        <v>628</v>
      </c>
      <c r="D26" t="s">
        <v>1246</v>
      </c>
      <c r="E26" s="242">
        <f>IF(Sheet1!E404="","",Sheet1!E404)</f>
        <v>2206.4988206071985</v>
      </c>
      <c r="F26" s="242" t="str">
        <f>IF(Sheet1!F404="","",Sheet1!F404)</f>
        <v/>
      </c>
      <c r="G26" s="242" t="str">
        <f>IF(Sheet1!G404="","",Sheet1!G404)</f>
        <v/>
      </c>
      <c r="H26" s="242" t="str">
        <f>IF(Sheet1!H404="","",Sheet1!H404)</f>
        <v/>
      </c>
      <c r="I26" s="242" t="str">
        <f>IF(Sheet1!I404="","",Sheet1!I404)</f>
        <v/>
      </c>
      <c r="J26" s="242" t="str">
        <f>IF(Sheet1!J404="","",Sheet1!J404)</f>
        <v/>
      </c>
      <c r="K26" s="242" t="str">
        <f>IF(Sheet1!K404="","",Sheet1!K404)</f>
        <v/>
      </c>
      <c r="L26" s="242" t="str">
        <f>IF(Sheet1!L404="","",Sheet1!L404)</f>
        <v/>
      </c>
      <c r="M26" s="242" t="str">
        <f>IF(Sheet1!M404="","",Sheet1!M404)</f>
        <v/>
      </c>
      <c r="N26" s="242" t="str">
        <f>IF(Sheet1!N404="","",Sheet1!N404)</f>
        <v/>
      </c>
      <c r="O26" s="242" t="str">
        <f>IF(Sheet1!O404="","",Sheet1!O404)</f>
        <v/>
      </c>
      <c r="P26" s="242" t="str">
        <f>IF(Sheet1!P404="","",Sheet1!P404)</f>
        <v/>
      </c>
      <c r="Q26" s="242" t="str">
        <f>IF(Sheet1!Q404="","",Sheet1!Q404)</f>
        <v/>
      </c>
      <c r="R26" s="242" t="str">
        <f>IF(Sheet1!R404="","",Sheet1!R404)</f>
        <v/>
      </c>
      <c r="S26" s="242" t="str">
        <f>IF(Sheet1!S404="","",Sheet1!S404)</f>
        <v/>
      </c>
    </row>
    <row r="27" spans="2:19">
      <c r="E27" s="242"/>
      <c r="F27" s="242"/>
      <c r="G27" s="242"/>
      <c r="H27" s="242"/>
      <c r="I27" s="242"/>
      <c r="J27" s="242"/>
      <c r="K27" s="242"/>
      <c r="L27" s="242"/>
      <c r="M27" s="242"/>
      <c r="N27" s="242"/>
      <c r="O27" s="242"/>
      <c r="P27" s="242"/>
      <c r="Q27" s="242"/>
      <c r="R27" s="242"/>
      <c r="S27" s="242"/>
    </row>
  </sheetData>
  <mergeCells count="5">
    <mergeCell ref="A1:U2"/>
    <mergeCell ref="A3:U3"/>
    <mergeCell ref="B6:S6"/>
    <mergeCell ref="B10:S10"/>
    <mergeCell ref="B21:S2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3"/>
  <sheetViews>
    <sheetView workbookViewId="0">
      <pane ySplit="5" topLeftCell="A6" activePane="bottomLeft" state="frozen"/>
      <selection pane="bottomLeft"/>
    </sheetView>
  </sheetViews>
  <sheetFormatPr defaultRowHeight="12.75"/>
  <cols>
    <col min="1" max="1" width="6" customWidth="1"/>
    <col min="2" max="2" width="53" customWidth="1"/>
    <col min="3" max="3" width="13" customWidth="1"/>
    <col min="4" max="4" width="14" customWidth="1"/>
    <col min="5" max="21" width="13" customWidth="1"/>
  </cols>
  <sheetData>
    <row r="1" spans="1:21" ht="23.1" customHeight="1">
      <c r="A1" s="5" t="s">
        <v>1642</v>
      </c>
      <c r="B1" s="5"/>
      <c r="C1" s="5"/>
      <c r="D1" s="5"/>
      <c r="E1" s="5"/>
      <c r="F1" s="5"/>
      <c r="G1" s="5"/>
      <c r="H1" s="5"/>
      <c r="I1" s="5"/>
      <c r="J1" s="5"/>
      <c r="K1" s="5"/>
      <c r="L1" s="5"/>
      <c r="M1" s="5"/>
      <c r="N1" s="5"/>
      <c r="O1" s="5"/>
      <c r="P1" s="5"/>
      <c r="Q1" s="5"/>
      <c r="R1" s="5"/>
      <c r="S1" s="5"/>
      <c r="T1" s="5"/>
      <c r="U1" s="5"/>
    </row>
    <row r="2" spans="1:21" ht="23.1" customHeight="1">
      <c r="A2" s="5"/>
      <c r="B2" s="5"/>
      <c r="C2" s="5"/>
      <c r="D2" s="5"/>
      <c r="E2" s="5"/>
      <c r="F2" s="5"/>
      <c r="G2" s="5"/>
      <c r="H2" s="5"/>
      <c r="I2" s="5"/>
      <c r="J2" s="5"/>
      <c r="K2" s="5"/>
      <c r="L2" s="5"/>
      <c r="M2" s="5"/>
      <c r="N2" s="5"/>
      <c r="O2" s="5"/>
      <c r="P2" s="5"/>
      <c r="Q2" s="5"/>
      <c r="R2" s="5"/>
      <c r="S2" s="5"/>
      <c r="T2" s="5"/>
      <c r="U2" s="5"/>
    </row>
    <row r="3" spans="1:21" ht="24" customHeight="1">
      <c r="A3" s="4" t="s">
        <v>1643</v>
      </c>
      <c r="B3" s="4"/>
      <c r="C3" s="4"/>
      <c r="D3" s="4"/>
      <c r="E3" s="4"/>
      <c r="F3" s="4"/>
      <c r="G3" s="4"/>
      <c r="H3" s="4"/>
      <c r="I3" s="4"/>
      <c r="J3" s="4"/>
      <c r="K3" s="4"/>
      <c r="L3" s="4"/>
      <c r="M3" s="4"/>
      <c r="N3" s="4"/>
      <c r="O3" s="4"/>
      <c r="P3" s="4"/>
      <c r="Q3" s="4"/>
      <c r="R3" s="4"/>
      <c r="S3" s="4"/>
      <c r="T3" s="4"/>
      <c r="U3" s="4"/>
    </row>
    <row r="5" spans="1:21" ht="26.1" customHeight="1">
      <c r="B5" s="241" t="s">
        <v>1233</v>
      </c>
      <c r="C5" s="241" t="s">
        <v>1234</v>
      </c>
      <c r="D5" s="241" t="s">
        <v>1235</v>
      </c>
      <c r="E5" s="241" t="str">
        <f>Sheet1!E40</f>
        <v>FY21A</v>
      </c>
      <c r="F5" s="241" t="str">
        <f>Sheet1!F40</f>
        <v>FY22A</v>
      </c>
      <c r="G5" s="241" t="str">
        <f>Sheet1!G40</f>
        <v>FY23A</v>
      </c>
      <c r="H5" s="241" t="str">
        <f>Sheet1!H40</f>
        <v>FY24A</v>
      </c>
      <c r="I5" s="241" t="str">
        <f>Sheet1!I40</f>
        <v>FY25A</v>
      </c>
      <c r="J5" s="241" t="str">
        <f>Sheet1!J40</f>
        <v>FY26E</v>
      </c>
      <c r="K5" s="241" t="str">
        <f>Sheet1!K40</f>
        <v>FY27E</v>
      </c>
      <c r="L5" s="241" t="str">
        <f>Sheet1!L40</f>
        <v>FY28E</v>
      </c>
      <c r="M5" s="241" t="str">
        <f>Sheet1!M40</f>
        <v>FY29E</v>
      </c>
      <c r="N5" s="241" t="str">
        <f>Sheet1!N40</f>
        <v>FY30E</v>
      </c>
      <c r="O5" s="241" t="str">
        <f>Sheet1!O40</f>
        <v>FY31E</v>
      </c>
      <c r="P5" s="241" t="str">
        <f>Sheet1!P40</f>
        <v>FY32E</v>
      </c>
      <c r="Q5" s="241" t="str">
        <f>Sheet1!Q40</f>
        <v>FY33E</v>
      </c>
      <c r="R5" s="241" t="str">
        <f>Sheet1!R40</f>
        <v>FY34E</v>
      </c>
      <c r="S5" s="241" t="str">
        <f>Sheet1!S40</f>
        <v>FY35E</v>
      </c>
    </row>
    <row r="6" spans="1:21" ht="20.100000000000001" customHeight="1">
      <c r="B6" s="3" t="s">
        <v>1623</v>
      </c>
      <c r="C6" s="3"/>
      <c r="D6" s="3"/>
      <c r="E6" s="2"/>
      <c r="F6" s="2"/>
      <c r="G6" s="2"/>
      <c r="H6" s="2"/>
      <c r="I6" s="2"/>
      <c r="J6" s="2"/>
      <c r="K6" s="2"/>
      <c r="L6" s="2"/>
      <c r="M6" s="2"/>
      <c r="N6" s="2"/>
      <c r="O6" s="2"/>
      <c r="P6" s="2"/>
      <c r="Q6" s="2"/>
      <c r="R6" s="2"/>
      <c r="S6" s="2"/>
    </row>
    <row r="7" spans="1:21">
      <c r="B7" t="s">
        <v>600</v>
      </c>
      <c r="D7" t="s">
        <v>1624</v>
      </c>
      <c r="E7" s="242" t="str">
        <f>IF(Sheet1!E376="","",Sheet1!E376)</f>
        <v/>
      </c>
      <c r="F7" s="242" t="str">
        <f>IF(Sheet1!F376="","",Sheet1!F376)</f>
        <v/>
      </c>
      <c r="G7" s="242" t="str">
        <f>IF(Sheet1!G376="","",Sheet1!G376)</f>
        <v/>
      </c>
      <c r="H7" s="242" t="str">
        <f>IF(Sheet1!H376="","",Sheet1!H376)</f>
        <v/>
      </c>
      <c r="I7" s="242" t="str">
        <f>IF(Sheet1!I376="","",Sheet1!I376)</f>
        <v/>
      </c>
      <c r="J7" s="242">
        <f>IF(Sheet1!J376="","",Sheet1!J376)</f>
        <v>1</v>
      </c>
      <c r="K7" s="242">
        <f>IF(Sheet1!K376="","",Sheet1!K376)</f>
        <v>2</v>
      </c>
      <c r="L7" s="242">
        <f>IF(Sheet1!L376="","",Sheet1!L376)</f>
        <v>3</v>
      </c>
      <c r="M7" s="242">
        <f>IF(Sheet1!M376="","",Sheet1!M376)</f>
        <v>4</v>
      </c>
      <c r="N7" s="242">
        <f>IF(Sheet1!N376="","",Sheet1!N376)</f>
        <v>5</v>
      </c>
      <c r="O7" s="242">
        <f>IF(Sheet1!O376="","",Sheet1!O376)</f>
        <v>6</v>
      </c>
      <c r="P7" s="242">
        <f>IF(Sheet1!P376="","",Sheet1!P376)</f>
        <v>7</v>
      </c>
      <c r="Q7" s="242">
        <f>IF(Sheet1!Q376="","",Sheet1!Q376)</f>
        <v>8</v>
      </c>
      <c r="R7" s="242">
        <f>IF(Sheet1!R376="","",Sheet1!R376)</f>
        <v>9</v>
      </c>
      <c r="S7" s="242">
        <f>IF(Sheet1!S376="","",Sheet1!S376)</f>
        <v>10</v>
      </c>
    </row>
    <row r="8" spans="1:21">
      <c r="B8" t="s">
        <v>601</v>
      </c>
      <c r="D8" t="s">
        <v>1625</v>
      </c>
      <c r="E8" s="242" t="str">
        <f>IF(Sheet1!E377="","",Sheet1!E377)</f>
        <v/>
      </c>
      <c r="F8" s="242" t="str">
        <f>IF(Sheet1!F377="","",Sheet1!F377)</f>
        <v/>
      </c>
      <c r="G8" s="242" t="str">
        <f>IF(Sheet1!G377="","",Sheet1!G377)</f>
        <v/>
      </c>
      <c r="H8" s="242" t="str">
        <f>IF(Sheet1!H377="","",Sheet1!H377)</f>
        <v/>
      </c>
      <c r="I8" s="242" t="str">
        <f>IF(Sheet1!I377="","",Sheet1!I377)</f>
        <v/>
      </c>
      <c r="J8" s="242">
        <f>IF(Sheet1!J377="","",Sheet1!J377)</f>
        <v>0.89904026013765892</v>
      </c>
      <c r="K8" s="242">
        <f>IF(Sheet1!K377="","",Sheet1!K377)</f>
        <v>0.80745044554329126</v>
      </c>
      <c r="L8" s="242">
        <f>IF(Sheet1!L377="","",Sheet1!L377)</f>
        <v>0.72445374947274588</v>
      </c>
      <c r="M8" s="242">
        <f>IF(Sheet1!M377="","",Sheet1!M377)</f>
        <v>0.64932772630255653</v>
      </c>
      <c r="N8" s="242">
        <f>IF(Sheet1!N377="","",Sheet1!N377)</f>
        <v>0.58140153808528428</v>
      </c>
      <c r="O8" s="242">
        <f>IF(Sheet1!O377="","",Sheet1!O377)</f>
        <v>0.52005322998650494</v>
      </c>
      <c r="P8" s="242">
        <f>IF(Sheet1!P377="","",Sheet1!P377)</f>
        <v>0.46470704808952656</v>
      </c>
      <c r="Q8" s="242">
        <f>IF(Sheet1!Q377="","",Sheet1!Q377)</f>
        <v>0.41483081130635657</v>
      </c>
      <c r="R8" s="242">
        <f>IF(Sheet1!R377="","",Sheet1!R377)</f>
        <v>0.36993334748008361</v>
      </c>
      <c r="S8" s="242">
        <f>IF(Sheet1!S377="","",Sheet1!S377)</f>
        <v>0.32956200220942861</v>
      </c>
    </row>
    <row r="9" spans="1:21">
      <c r="B9" t="s">
        <v>602</v>
      </c>
      <c r="D9" t="s">
        <v>1626</v>
      </c>
      <c r="E9" s="242" t="str">
        <f>IF(Sheet1!E378="","",Sheet1!E378)</f>
        <v/>
      </c>
      <c r="F9" s="242" t="str">
        <f>IF(Sheet1!F378="","",Sheet1!F378)</f>
        <v/>
      </c>
      <c r="G9" s="242" t="str">
        <f>IF(Sheet1!G378="","",Sheet1!G378)</f>
        <v/>
      </c>
      <c r="H9" s="242" t="str">
        <f>IF(Sheet1!H378="","",Sheet1!H378)</f>
        <v/>
      </c>
      <c r="I9" s="242" t="str">
        <f>IF(Sheet1!I378="","",Sheet1!I378)</f>
        <v/>
      </c>
      <c r="J9" s="242">
        <f>IF(Sheet1!J378="","",Sheet1!J378)</f>
        <v>0.11229724000000002</v>
      </c>
      <c r="K9" s="242">
        <f>IF(Sheet1!K378="","",Sheet1!K378)</f>
        <v>0.11343088000000001</v>
      </c>
      <c r="L9" s="242">
        <f>IF(Sheet1!L378="","",Sheet1!L378)</f>
        <v>0.11456452</v>
      </c>
      <c r="M9" s="242">
        <f>IF(Sheet1!M378="","",Sheet1!M378)</f>
        <v>0.11569816000000002</v>
      </c>
      <c r="N9" s="242">
        <f>IF(Sheet1!N378="","",Sheet1!N378)</f>
        <v>0.11683180000000001</v>
      </c>
      <c r="O9" s="242">
        <f>IF(Sheet1!O378="","",Sheet1!O378)</f>
        <v>0.11796544</v>
      </c>
      <c r="P9" s="242">
        <f>IF(Sheet1!P378="","",Sheet1!P378)</f>
        <v>0.11909908</v>
      </c>
      <c r="Q9" s="242">
        <f>IF(Sheet1!Q378="","",Sheet1!Q378)</f>
        <v>0.12023272000000002</v>
      </c>
      <c r="R9" s="242">
        <f>IF(Sheet1!R378="","",Sheet1!R378)</f>
        <v>0.12136636000000001</v>
      </c>
      <c r="S9" s="242">
        <f>IF(Sheet1!S378="","",Sheet1!S378)</f>
        <v>0.1225</v>
      </c>
    </row>
    <row r="10" spans="1:21" ht="20.100000000000001" customHeight="1">
      <c r="B10" s="3" t="s">
        <v>1644</v>
      </c>
      <c r="C10" s="3"/>
      <c r="D10" s="3"/>
      <c r="E10" s="2"/>
      <c r="F10" s="2"/>
      <c r="G10" s="2"/>
      <c r="H10" s="2"/>
      <c r="I10" s="2"/>
      <c r="J10" s="2"/>
      <c r="K10" s="2"/>
      <c r="L10" s="2"/>
      <c r="M10" s="2"/>
      <c r="N10" s="2"/>
      <c r="O10" s="2"/>
      <c r="P10" s="2"/>
      <c r="Q10" s="2"/>
      <c r="R10" s="2"/>
      <c r="S10" s="2"/>
    </row>
    <row r="11" spans="1:21">
      <c r="B11" t="s">
        <v>614</v>
      </c>
      <c r="D11" t="s">
        <v>1645</v>
      </c>
      <c r="E11" s="242" t="str">
        <f>IF(Sheet1!E390="","",Sheet1!E390)</f>
        <v>FY21A</v>
      </c>
      <c r="F11" s="242" t="str">
        <f>IF(Sheet1!F390="","",Sheet1!F390)</f>
        <v>FY22A</v>
      </c>
      <c r="G11" s="242" t="str">
        <f>IF(Sheet1!G390="","",Sheet1!G390)</f>
        <v>FY23A</v>
      </c>
      <c r="H11" s="242" t="str">
        <f>IF(Sheet1!H390="","",Sheet1!H390)</f>
        <v>FY24A</v>
      </c>
      <c r="I11" s="242" t="str">
        <f>IF(Sheet1!I390="","",Sheet1!I390)</f>
        <v>FY25A</v>
      </c>
      <c r="J11" s="242" t="str">
        <f>IF(Sheet1!J390="","",Sheet1!J390)</f>
        <v>FY26E</v>
      </c>
      <c r="K11" s="242" t="str">
        <f>IF(Sheet1!K390="","",Sheet1!K390)</f>
        <v>FY27E</v>
      </c>
      <c r="L11" s="242" t="str">
        <f>IF(Sheet1!L390="","",Sheet1!L390)</f>
        <v>FY28E</v>
      </c>
      <c r="M11" s="242" t="str">
        <f>IF(Sheet1!M390="","",Sheet1!M390)</f>
        <v>FY29E</v>
      </c>
      <c r="N11" s="242" t="str">
        <f>IF(Sheet1!N390="","",Sheet1!N390)</f>
        <v>FY30E</v>
      </c>
      <c r="O11" s="242" t="str">
        <f>IF(Sheet1!O390="","",Sheet1!O390)</f>
        <v>FY31E</v>
      </c>
      <c r="P11" s="242" t="str">
        <f>IF(Sheet1!P390="","",Sheet1!P390)</f>
        <v>FY32E</v>
      </c>
      <c r="Q11" s="242" t="str">
        <f>IF(Sheet1!Q390="","",Sheet1!Q390)</f>
        <v>FY33E</v>
      </c>
      <c r="R11" s="242" t="str">
        <f>IF(Sheet1!R390="","",Sheet1!R390)</f>
        <v>FY34E</v>
      </c>
      <c r="S11" s="242" t="str">
        <f>IF(Sheet1!S390="","",Sheet1!S390)</f>
        <v>FY35E</v>
      </c>
    </row>
    <row r="12" spans="1:21">
      <c r="B12" t="s">
        <v>615</v>
      </c>
      <c r="D12" t="s">
        <v>1646</v>
      </c>
      <c r="E12" s="242" t="str">
        <f>IF(Sheet1!E391="","",Sheet1!E391)</f>
        <v/>
      </c>
      <c r="F12" s="242" t="str">
        <f>IF(Sheet1!F391="","",Sheet1!F391)</f>
        <v/>
      </c>
      <c r="G12" s="242" t="str">
        <f>IF(Sheet1!G391="","",Sheet1!G391)</f>
        <v/>
      </c>
      <c r="H12" s="242" t="str">
        <f>IF(Sheet1!H391="","",Sheet1!H391)</f>
        <v/>
      </c>
      <c r="I12" s="242" t="str">
        <f>IF(Sheet1!I391="","",Sheet1!I391)</f>
        <v/>
      </c>
      <c r="J12" s="242">
        <f>IF(Sheet1!J391="","",Sheet1!J391)</f>
        <v>2587.1224638642907</v>
      </c>
      <c r="K12" s="242">
        <f>IF(Sheet1!K391="","",Sheet1!K391)</f>
        <v>3705.1581913331365</v>
      </c>
      <c r="L12" s="242">
        <f>IF(Sheet1!L391="","",Sheet1!L391)</f>
        <v>3617.5563398106278</v>
      </c>
      <c r="M12" s="242">
        <f>IF(Sheet1!M391="","",Sheet1!M391)</f>
        <v>3974.0593530131737</v>
      </c>
      <c r="N12" s="242">
        <f>IF(Sheet1!N391="","",Sheet1!N391)</f>
        <v>4203.2155042779068</v>
      </c>
      <c r="O12" s="242">
        <f>IF(Sheet1!O391="","",Sheet1!O391)</f>
        <v>4218.8693402509853</v>
      </c>
      <c r="P12" s="242">
        <f>IF(Sheet1!P391="","",Sheet1!P391)</f>
        <v>4148.6779461593942</v>
      </c>
      <c r="Q12" s="242">
        <f>IF(Sheet1!Q391="","",Sheet1!Q391)</f>
        <v>4136.7916084221779</v>
      </c>
      <c r="R12" s="242">
        <f>IF(Sheet1!R391="","",Sheet1!R391)</f>
        <v>4203.4694485973632</v>
      </c>
      <c r="S12" s="242">
        <f>IF(Sheet1!S391="","",Sheet1!S391)</f>
        <v>4250.3533206603497</v>
      </c>
    </row>
    <row r="13" spans="1:21">
      <c r="B13" t="s">
        <v>616</v>
      </c>
      <c r="D13" t="s">
        <v>1647</v>
      </c>
      <c r="E13" s="242" t="str">
        <f>IF(Sheet1!E392="","",Sheet1!E392)</f>
        <v/>
      </c>
      <c r="F13" s="242" t="str">
        <f>IF(Sheet1!F392="","",Sheet1!F392)</f>
        <v/>
      </c>
      <c r="G13" s="242" t="str">
        <f>IF(Sheet1!G392="","",Sheet1!G392)</f>
        <v/>
      </c>
      <c r="H13" s="242" t="str">
        <f>IF(Sheet1!H392="","",Sheet1!H392)</f>
        <v/>
      </c>
      <c r="I13" s="242" t="str">
        <f>IF(Sheet1!I392="","",Sheet1!I392)</f>
        <v/>
      </c>
      <c r="J13" s="242">
        <f>IF(Sheet1!J392="","",Sheet1!J392)</f>
        <v>2325.9272529205332</v>
      </c>
      <c r="K13" s="242">
        <f>IF(Sheet1!K392="","",Sheet1!K392)</f>
        <v>2991.7316324003164</v>
      </c>
      <c r="L13" s="242">
        <f>IF(Sheet1!L392="","",Sheet1!L392)</f>
        <v>2620.7522543047121</v>
      </c>
      <c r="M13" s="242">
        <f>IF(Sheet1!M392="","",Sheet1!M392)</f>
        <v>2580.4669238834531</v>
      </c>
      <c r="N13" s="242">
        <f>IF(Sheet1!N392="","",Sheet1!N392)</f>
        <v>2443.7559590910887</v>
      </c>
      <c r="O13" s="242">
        <f>IF(Sheet1!O392="","",Sheet1!O392)</f>
        <v>2194.0366272885599</v>
      </c>
      <c r="P13" s="242">
        <f>IF(Sheet1!P392="","",Sheet1!P392)</f>
        <v>1927.9198818338518</v>
      </c>
      <c r="Q13" s="242">
        <f>IF(Sheet1!Q392="","",Sheet1!Q392)</f>
        <v>1716.0686191270997</v>
      </c>
      <c r="R13" s="242">
        <f>IF(Sheet1!R392="","",Sheet1!R392)</f>
        <v>1555.0035241498838</v>
      </c>
      <c r="S13" s="242">
        <f>IF(Sheet1!S392="","",Sheet1!S392)</f>
        <v>1400.7549504543183</v>
      </c>
    </row>
    <row r="14" spans="1:21">
      <c r="B14" t="s">
        <v>617</v>
      </c>
      <c r="D14" t="s">
        <v>1648</v>
      </c>
      <c r="E14" s="242">
        <f>IF(Sheet1!E393="","",Sheet1!E393)</f>
        <v>40974.512768517998</v>
      </c>
      <c r="F14" s="242" t="str">
        <f>IF(Sheet1!F393="","",Sheet1!F393)</f>
        <v/>
      </c>
      <c r="G14" s="242" t="str">
        <f>IF(Sheet1!G393="","",Sheet1!G393)</f>
        <v/>
      </c>
      <c r="H14" s="242" t="str">
        <f>IF(Sheet1!H393="","",Sheet1!H393)</f>
        <v/>
      </c>
      <c r="I14" s="242" t="str">
        <f>IF(Sheet1!I393="","",Sheet1!I393)</f>
        <v/>
      </c>
      <c r="J14" s="242" t="str">
        <f>IF(Sheet1!J393="","",Sheet1!J393)</f>
        <v/>
      </c>
      <c r="K14" s="242" t="str">
        <f>IF(Sheet1!K393="","",Sheet1!K393)</f>
        <v/>
      </c>
      <c r="L14" s="242" t="str">
        <f>IF(Sheet1!L393="","",Sheet1!L393)</f>
        <v/>
      </c>
      <c r="M14" s="242" t="str">
        <f>IF(Sheet1!M393="","",Sheet1!M393)</f>
        <v/>
      </c>
      <c r="N14" s="242" t="str">
        <f>IF(Sheet1!N393="","",Sheet1!N393)</f>
        <v/>
      </c>
      <c r="O14" s="242" t="str">
        <f>IF(Sheet1!O393="","",Sheet1!O393)</f>
        <v/>
      </c>
      <c r="P14" s="242" t="str">
        <f>IF(Sheet1!P393="","",Sheet1!P393)</f>
        <v/>
      </c>
      <c r="Q14" s="242" t="str">
        <f>IF(Sheet1!Q393="","",Sheet1!Q393)</f>
        <v/>
      </c>
      <c r="R14" s="242" t="str">
        <f>IF(Sheet1!R393="","",Sheet1!R393)</f>
        <v/>
      </c>
      <c r="S14" s="242" t="str">
        <f>IF(Sheet1!S393="","",Sheet1!S393)</f>
        <v/>
      </c>
    </row>
    <row r="15" spans="1:21">
      <c r="B15" t="s">
        <v>618</v>
      </c>
      <c r="D15" t="s">
        <v>1649</v>
      </c>
      <c r="E15" s="242">
        <f>IF(Sheet1!E394="","",Sheet1!E394)</f>
        <v>13503.642467548589</v>
      </c>
      <c r="F15" s="242" t="str">
        <f>IF(Sheet1!F394="","",Sheet1!F394)</f>
        <v/>
      </c>
      <c r="G15" s="242" t="str">
        <f>IF(Sheet1!G394="","",Sheet1!G394)</f>
        <v/>
      </c>
      <c r="H15" s="242" t="str">
        <f>IF(Sheet1!H394="","",Sheet1!H394)</f>
        <v/>
      </c>
      <c r="I15" s="242" t="str">
        <f>IF(Sheet1!I394="","",Sheet1!I394)</f>
        <v/>
      </c>
      <c r="J15" s="242" t="str">
        <f>IF(Sheet1!J394="","",Sheet1!J394)</f>
        <v/>
      </c>
      <c r="K15" s="242" t="str">
        <f>IF(Sheet1!K394="","",Sheet1!K394)</f>
        <v/>
      </c>
      <c r="L15" s="242" t="str">
        <f>IF(Sheet1!L394="","",Sheet1!L394)</f>
        <v/>
      </c>
      <c r="M15" s="242" t="str">
        <f>IF(Sheet1!M394="","",Sheet1!M394)</f>
        <v/>
      </c>
      <c r="N15" s="242" t="str">
        <f>IF(Sheet1!N394="","",Sheet1!N394)</f>
        <v/>
      </c>
      <c r="O15" s="242" t="str">
        <f>IF(Sheet1!O394="","",Sheet1!O394)</f>
        <v/>
      </c>
      <c r="P15" s="242" t="str">
        <f>IF(Sheet1!P394="","",Sheet1!P394)</f>
        <v/>
      </c>
      <c r="Q15" s="242" t="str">
        <f>IF(Sheet1!Q394="","",Sheet1!Q394)</f>
        <v/>
      </c>
      <c r="R15" s="242" t="str">
        <f>IF(Sheet1!R394="","",Sheet1!R394)</f>
        <v/>
      </c>
      <c r="S15" s="242" t="str">
        <f>IF(Sheet1!S394="","",Sheet1!S394)</f>
        <v/>
      </c>
    </row>
    <row r="16" spans="1:21">
      <c r="B16" t="s">
        <v>619</v>
      </c>
      <c r="D16" t="s">
        <v>1650</v>
      </c>
      <c r="E16" s="242">
        <f>IF(Sheet1!E395="","",Sheet1!E395)</f>
        <v>87212.934093002419</v>
      </c>
      <c r="F16" s="242" t="str">
        <f>IF(Sheet1!F395="","",Sheet1!F395)</f>
        <v/>
      </c>
      <c r="G16" s="242" t="str">
        <f>IF(Sheet1!G395="","",Sheet1!G395)</f>
        <v/>
      </c>
      <c r="H16" s="242" t="str">
        <f>IF(Sheet1!H395="","",Sheet1!H395)</f>
        <v/>
      </c>
      <c r="I16" s="242" t="str">
        <f>IF(Sheet1!I395="","",Sheet1!I395)</f>
        <v/>
      </c>
      <c r="J16" s="242" t="str">
        <f>IF(Sheet1!J395="","",Sheet1!J395)</f>
        <v/>
      </c>
      <c r="K16" s="242" t="str">
        <f>IF(Sheet1!K395="","",Sheet1!K395)</f>
        <v/>
      </c>
      <c r="L16" s="242" t="str">
        <f>IF(Sheet1!L395="","",Sheet1!L395)</f>
        <v/>
      </c>
      <c r="M16" s="242" t="str">
        <f>IF(Sheet1!M395="","",Sheet1!M395)</f>
        <v/>
      </c>
      <c r="N16" s="242" t="str">
        <f>IF(Sheet1!N395="","",Sheet1!N395)</f>
        <v/>
      </c>
      <c r="O16" s="242" t="str">
        <f>IF(Sheet1!O395="","",Sheet1!O395)</f>
        <v/>
      </c>
      <c r="P16" s="242" t="str">
        <f>IF(Sheet1!P395="","",Sheet1!P395)</f>
        <v/>
      </c>
      <c r="Q16" s="242" t="str">
        <f>IF(Sheet1!Q395="","",Sheet1!Q395)</f>
        <v/>
      </c>
      <c r="R16" s="242" t="str">
        <f>IF(Sheet1!R395="","",Sheet1!R395)</f>
        <v/>
      </c>
      <c r="S16" s="242" t="str">
        <f>IF(Sheet1!S395="","",Sheet1!S395)</f>
        <v/>
      </c>
    </row>
    <row r="17" spans="2:19">
      <c r="B17" t="s">
        <v>620</v>
      </c>
      <c r="D17" t="s">
        <v>1651</v>
      </c>
      <c r="E17" s="242">
        <f>IF(Sheet1!E396="","",Sheet1!E396)</f>
        <v>1890.62070566496</v>
      </c>
      <c r="F17" s="242" t="str">
        <f>IF(Sheet1!F396="","",Sheet1!F396)</f>
        <v/>
      </c>
      <c r="G17" s="242" t="str">
        <f>IF(Sheet1!G396="","",Sheet1!G396)</f>
        <v/>
      </c>
      <c r="H17" s="242" t="str">
        <f>IF(Sheet1!H396="","",Sheet1!H396)</f>
        <v/>
      </c>
      <c r="I17" s="242" t="str">
        <f>IF(Sheet1!I396="","",Sheet1!I396)</f>
        <v/>
      </c>
      <c r="J17" s="242" t="str">
        <f>IF(Sheet1!J396="","",Sheet1!J396)</f>
        <v/>
      </c>
      <c r="K17" s="242" t="str">
        <f>IF(Sheet1!K396="","",Sheet1!K396)</f>
        <v/>
      </c>
      <c r="L17" s="242" t="str">
        <f>IF(Sheet1!L396="","",Sheet1!L396)</f>
        <v/>
      </c>
      <c r="M17" s="242" t="str">
        <f>IF(Sheet1!M396="","",Sheet1!M396)</f>
        <v/>
      </c>
      <c r="N17" s="242" t="str">
        <f>IF(Sheet1!N396="","",Sheet1!N396)</f>
        <v/>
      </c>
      <c r="O17" s="242" t="str">
        <f>IF(Sheet1!O396="","",Sheet1!O396)</f>
        <v/>
      </c>
      <c r="P17" s="242" t="str">
        <f>IF(Sheet1!P396="","",Sheet1!P396)</f>
        <v/>
      </c>
      <c r="Q17" s="242" t="str">
        <f>IF(Sheet1!Q396="","",Sheet1!Q396)</f>
        <v/>
      </c>
      <c r="R17" s="242" t="str">
        <f>IF(Sheet1!R396="","",Sheet1!R396)</f>
        <v/>
      </c>
      <c r="S17" s="242" t="str">
        <f>IF(Sheet1!S396="","",Sheet1!S396)</f>
        <v/>
      </c>
    </row>
    <row r="18" spans="2:19" ht="20.100000000000001" customHeight="1">
      <c r="B18" s="3" t="s">
        <v>1652</v>
      </c>
      <c r="C18" s="3"/>
      <c r="D18" s="3"/>
      <c r="E18" s="2"/>
      <c r="F18" s="2"/>
      <c r="G18" s="2"/>
      <c r="H18" s="2"/>
      <c r="I18" s="2"/>
      <c r="J18" s="2"/>
      <c r="K18" s="2"/>
      <c r="L18" s="2"/>
      <c r="M18" s="2"/>
      <c r="N18" s="2"/>
      <c r="O18" s="2"/>
      <c r="P18" s="2"/>
      <c r="Q18" s="2"/>
      <c r="R18" s="2"/>
      <c r="S18" s="2"/>
    </row>
    <row r="19" spans="2:19">
      <c r="B19" t="s">
        <v>627</v>
      </c>
      <c r="D19" t="s">
        <v>1245</v>
      </c>
      <c r="E19" s="242">
        <f>IF(Sheet1!E403="","",Sheet1!E403)</f>
        <v>2019.8393035289655</v>
      </c>
      <c r="F19" s="242" t="str">
        <f>IF(Sheet1!F403="","",Sheet1!F403)</f>
        <v/>
      </c>
      <c r="G19" s="242" t="str">
        <f>IF(Sheet1!G403="","",Sheet1!G403)</f>
        <v/>
      </c>
      <c r="H19" s="242" t="str">
        <f>IF(Sheet1!H403="","",Sheet1!H403)</f>
        <v/>
      </c>
      <c r="I19" s="242" t="str">
        <f>IF(Sheet1!I403="","",Sheet1!I403)</f>
        <v/>
      </c>
      <c r="J19" s="242" t="str">
        <f>IF(Sheet1!J403="","",Sheet1!J403)</f>
        <v/>
      </c>
      <c r="K19" s="242" t="str">
        <f>IF(Sheet1!K403="","",Sheet1!K403)</f>
        <v/>
      </c>
      <c r="L19" s="242" t="str">
        <f>IF(Sheet1!L403="","",Sheet1!L403)</f>
        <v/>
      </c>
      <c r="M19" s="242" t="str">
        <f>IF(Sheet1!M403="","",Sheet1!M403)</f>
        <v/>
      </c>
      <c r="N19" s="242" t="str">
        <f>IF(Sheet1!N403="","",Sheet1!N403)</f>
        <v/>
      </c>
      <c r="O19" s="242" t="str">
        <f>IF(Sheet1!O403="","",Sheet1!O403)</f>
        <v/>
      </c>
      <c r="P19" s="242" t="str">
        <f>IF(Sheet1!P403="","",Sheet1!P403)</f>
        <v/>
      </c>
      <c r="Q19" s="242" t="str">
        <f>IF(Sheet1!Q403="","",Sheet1!Q403)</f>
        <v/>
      </c>
      <c r="R19" s="242" t="str">
        <f>IF(Sheet1!R403="","",Sheet1!R403)</f>
        <v/>
      </c>
      <c r="S19" s="242" t="str">
        <f>IF(Sheet1!S403="","",Sheet1!S403)</f>
        <v/>
      </c>
    </row>
    <row r="20" spans="2:19">
      <c r="B20" t="s">
        <v>629</v>
      </c>
      <c r="D20" t="s">
        <v>1247</v>
      </c>
      <c r="E20" s="242">
        <f>IF(Sheet1!E405="","",Sheet1!E405)</f>
        <v>2206.4988206071994</v>
      </c>
      <c r="F20" s="242" t="str">
        <f>IF(Sheet1!F405="","",Sheet1!F405)</f>
        <v/>
      </c>
      <c r="G20" s="242" t="str">
        <f>IF(Sheet1!G405="","",Sheet1!G405)</f>
        <v/>
      </c>
      <c r="H20" s="242" t="str">
        <f>IF(Sheet1!H405="","",Sheet1!H405)</f>
        <v/>
      </c>
      <c r="I20" s="242" t="str">
        <f>IF(Sheet1!I405="","",Sheet1!I405)</f>
        <v/>
      </c>
      <c r="J20" s="242" t="str">
        <f>IF(Sheet1!J405="","",Sheet1!J405)</f>
        <v/>
      </c>
      <c r="K20" s="242" t="str">
        <f>IF(Sheet1!K405="","",Sheet1!K405)</f>
        <v/>
      </c>
      <c r="L20" s="242" t="str">
        <f>IF(Sheet1!L405="","",Sheet1!L405)</f>
        <v/>
      </c>
      <c r="M20" s="242" t="str">
        <f>IF(Sheet1!M405="","",Sheet1!M405)</f>
        <v/>
      </c>
      <c r="N20" s="242" t="str">
        <f>IF(Sheet1!N405="","",Sheet1!N405)</f>
        <v/>
      </c>
      <c r="O20" s="242" t="str">
        <f>IF(Sheet1!O405="","",Sheet1!O405)</f>
        <v/>
      </c>
      <c r="P20" s="242" t="str">
        <f>IF(Sheet1!P405="","",Sheet1!P405)</f>
        <v/>
      </c>
      <c r="Q20" s="242" t="str">
        <f>IF(Sheet1!Q405="","",Sheet1!Q405)</f>
        <v/>
      </c>
      <c r="R20" s="242" t="str">
        <f>IF(Sheet1!R405="","",Sheet1!R405)</f>
        <v/>
      </c>
      <c r="S20" s="242" t="str">
        <f>IF(Sheet1!S405="","",Sheet1!S405)</f>
        <v/>
      </c>
    </row>
    <row r="21" spans="2:19">
      <c r="B21" t="s">
        <v>644</v>
      </c>
      <c r="D21" t="s">
        <v>1653</v>
      </c>
      <c r="E21" s="242">
        <f>IF(Sheet1!E418="","",Sheet1!E418)</f>
        <v>0</v>
      </c>
      <c r="F21" s="242" t="str">
        <f>IF(Sheet1!F418="","",Sheet1!F418)</f>
        <v/>
      </c>
      <c r="G21" s="242" t="str">
        <f>IF(Sheet1!G418="","",Sheet1!G418)</f>
        <v/>
      </c>
      <c r="H21" s="242" t="str">
        <f>IF(Sheet1!H418="","",Sheet1!H418)</f>
        <v/>
      </c>
      <c r="I21" s="242" t="str">
        <f>IF(Sheet1!I418="","",Sheet1!I418)</f>
        <v/>
      </c>
      <c r="J21" s="242" t="str">
        <f>IF(Sheet1!J418="","",Sheet1!J418)</f>
        <v/>
      </c>
      <c r="K21" s="242" t="str">
        <f>IF(Sheet1!K418="","",Sheet1!K418)</f>
        <v/>
      </c>
      <c r="L21" s="242" t="str">
        <f>IF(Sheet1!L418="","",Sheet1!L418)</f>
        <v/>
      </c>
      <c r="M21" s="242" t="str">
        <f>IF(Sheet1!M418="","",Sheet1!M418)</f>
        <v/>
      </c>
      <c r="N21" s="242" t="str">
        <f>IF(Sheet1!N418="","",Sheet1!N418)</f>
        <v/>
      </c>
      <c r="O21" s="242" t="str">
        <f>IF(Sheet1!O418="","",Sheet1!O418)</f>
        <v/>
      </c>
      <c r="P21" s="242" t="str">
        <f>IF(Sheet1!P418="","",Sheet1!P418)</f>
        <v/>
      </c>
      <c r="Q21" s="242" t="str">
        <f>IF(Sheet1!Q418="","",Sheet1!Q418)</f>
        <v/>
      </c>
      <c r="R21" s="242" t="str">
        <f>IF(Sheet1!R418="","",Sheet1!R418)</f>
        <v/>
      </c>
      <c r="S21" s="242" t="str">
        <f>IF(Sheet1!S418="","",Sheet1!S418)</f>
        <v/>
      </c>
    </row>
    <row r="22" spans="2:19">
      <c r="B22" t="s">
        <v>645</v>
      </c>
      <c r="D22" t="s">
        <v>1654</v>
      </c>
      <c r="E22" s="242">
        <f>IF(Sheet1!E419="","",Sheet1!E419)</f>
        <v>0</v>
      </c>
      <c r="F22" s="242" t="str">
        <f>IF(Sheet1!F419="","",Sheet1!F419)</f>
        <v/>
      </c>
      <c r="G22" s="242" t="str">
        <f>IF(Sheet1!G419="","",Sheet1!G419)</f>
        <v/>
      </c>
      <c r="H22" s="242" t="str">
        <f>IF(Sheet1!H419="","",Sheet1!H419)</f>
        <v/>
      </c>
      <c r="I22" s="242" t="str">
        <f>IF(Sheet1!I419="","",Sheet1!I419)</f>
        <v/>
      </c>
      <c r="J22" s="242" t="str">
        <f>IF(Sheet1!J419="","",Sheet1!J419)</f>
        <v/>
      </c>
      <c r="K22" s="242" t="str">
        <f>IF(Sheet1!K419="","",Sheet1!K419)</f>
        <v/>
      </c>
      <c r="L22" s="242" t="str">
        <f>IF(Sheet1!L419="","",Sheet1!L419)</f>
        <v/>
      </c>
      <c r="M22" s="242" t="str">
        <f>IF(Sheet1!M419="","",Sheet1!M419)</f>
        <v/>
      </c>
      <c r="N22" s="242" t="str">
        <f>IF(Sheet1!N419="","",Sheet1!N419)</f>
        <v/>
      </c>
      <c r="O22" s="242" t="str">
        <f>IF(Sheet1!O419="","",Sheet1!O419)</f>
        <v/>
      </c>
      <c r="P22" s="242" t="str">
        <f>IF(Sheet1!P419="","",Sheet1!P419)</f>
        <v/>
      </c>
      <c r="Q22" s="242" t="str">
        <f>IF(Sheet1!Q419="","",Sheet1!Q419)</f>
        <v/>
      </c>
      <c r="R22" s="242" t="str">
        <f>IF(Sheet1!R419="","",Sheet1!R419)</f>
        <v/>
      </c>
      <c r="S22" s="242" t="str">
        <f>IF(Sheet1!S419="","",Sheet1!S419)</f>
        <v/>
      </c>
    </row>
    <row r="23" spans="2:19">
      <c r="E23" s="242"/>
      <c r="F23" s="242"/>
      <c r="G23" s="242"/>
      <c r="H23" s="242"/>
      <c r="I23" s="242"/>
      <c r="J23" s="242"/>
      <c r="K23" s="242"/>
      <c r="L23" s="242"/>
      <c r="M23" s="242"/>
      <c r="N23" s="242"/>
      <c r="O23" s="242"/>
      <c r="P23" s="242"/>
      <c r="Q23" s="242"/>
      <c r="R23" s="242"/>
      <c r="S23" s="242"/>
    </row>
  </sheetData>
  <mergeCells count="5">
    <mergeCell ref="A1:U2"/>
    <mergeCell ref="A3:U3"/>
    <mergeCell ref="B6:S6"/>
    <mergeCell ref="B10:S10"/>
    <mergeCell ref="B18:S18"/>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41"/>
  <sheetViews>
    <sheetView workbookViewId="0">
      <pane ySplit="5" topLeftCell="A6" activePane="bottomLeft" state="frozen"/>
      <selection pane="bottomLeft"/>
    </sheetView>
  </sheetViews>
  <sheetFormatPr defaultRowHeight="12.75"/>
  <cols>
    <col min="1" max="1" width="6" customWidth="1"/>
    <col min="2" max="2" width="53" customWidth="1"/>
    <col min="3" max="3" width="13" customWidth="1"/>
    <col min="4" max="4" width="14" customWidth="1"/>
    <col min="5" max="21" width="13" customWidth="1"/>
  </cols>
  <sheetData>
    <row r="1" spans="1:21" ht="23.1" customHeight="1">
      <c r="A1" s="5" t="s">
        <v>1655</v>
      </c>
      <c r="B1" s="5"/>
      <c r="C1" s="5"/>
      <c r="D1" s="5"/>
      <c r="E1" s="5"/>
      <c r="F1" s="5"/>
      <c r="G1" s="5"/>
      <c r="H1" s="5"/>
      <c r="I1" s="5"/>
      <c r="J1" s="5"/>
      <c r="K1" s="5"/>
      <c r="L1" s="5"/>
      <c r="M1" s="5"/>
      <c r="N1" s="5"/>
      <c r="O1" s="5"/>
      <c r="P1" s="5"/>
      <c r="Q1" s="5"/>
      <c r="R1" s="5"/>
      <c r="S1" s="5"/>
      <c r="T1" s="5"/>
      <c r="U1" s="5"/>
    </row>
    <row r="2" spans="1:21" ht="23.1" customHeight="1">
      <c r="A2" s="5"/>
      <c r="B2" s="5"/>
      <c r="C2" s="5"/>
      <c r="D2" s="5"/>
      <c r="E2" s="5"/>
      <c r="F2" s="5"/>
      <c r="G2" s="5"/>
      <c r="H2" s="5"/>
      <c r="I2" s="5"/>
      <c r="J2" s="5"/>
      <c r="K2" s="5"/>
      <c r="L2" s="5"/>
      <c r="M2" s="5"/>
      <c r="N2" s="5"/>
      <c r="O2" s="5"/>
      <c r="P2" s="5"/>
      <c r="Q2" s="5"/>
      <c r="R2" s="5"/>
      <c r="S2" s="5"/>
      <c r="T2" s="5"/>
      <c r="U2" s="5"/>
    </row>
    <row r="3" spans="1:21" ht="24" customHeight="1">
      <c r="A3" s="4" t="s">
        <v>1656</v>
      </c>
      <c r="B3" s="4"/>
      <c r="C3" s="4"/>
      <c r="D3" s="4"/>
      <c r="E3" s="4"/>
      <c r="F3" s="4"/>
      <c r="G3" s="4"/>
      <c r="H3" s="4"/>
      <c r="I3" s="4"/>
      <c r="J3" s="4"/>
      <c r="K3" s="4"/>
      <c r="L3" s="4"/>
      <c r="M3" s="4"/>
      <c r="N3" s="4"/>
      <c r="O3" s="4"/>
      <c r="P3" s="4"/>
      <c r="Q3" s="4"/>
      <c r="R3" s="4"/>
      <c r="S3" s="4"/>
      <c r="T3" s="4"/>
      <c r="U3" s="4"/>
    </row>
    <row r="5" spans="1:21" ht="26.1" customHeight="1">
      <c r="B5" s="241" t="s">
        <v>1233</v>
      </c>
      <c r="C5" s="241" t="s">
        <v>1234</v>
      </c>
      <c r="D5" s="241" t="s">
        <v>1235</v>
      </c>
      <c r="E5" s="241" t="str">
        <f>Sheet1!E40</f>
        <v>FY21A</v>
      </c>
      <c r="F5" s="241" t="str">
        <f>Sheet1!F40</f>
        <v>FY22A</v>
      </c>
      <c r="G5" s="241" t="str">
        <f>Sheet1!G40</f>
        <v>FY23A</v>
      </c>
      <c r="H5" s="241" t="str">
        <f>Sheet1!H40</f>
        <v>FY24A</v>
      </c>
      <c r="I5" s="241" t="str">
        <f>Sheet1!I40</f>
        <v>FY25A</v>
      </c>
      <c r="J5" s="241" t="str">
        <f>Sheet1!J40</f>
        <v>FY26E</v>
      </c>
      <c r="K5" s="241" t="str">
        <f>Sheet1!K40</f>
        <v>FY27E</v>
      </c>
      <c r="L5" s="241" t="str">
        <f>Sheet1!L40</f>
        <v>FY28E</v>
      </c>
      <c r="M5" s="241" t="str">
        <f>Sheet1!M40</f>
        <v>FY29E</v>
      </c>
      <c r="N5" s="241" t="str">
        <f>Sheet1!N40</f>
        <v>FY30E</v>
      </c>
      <c r="O5" s="241" t="str">
        <f>Sheet1!O40</f>
        <v>FY31E</v>
      </c>
      <c r="P5" s="241" t="str">
        <f>Sheet1!P40</f>
        <v>FY32E</v>
      </c>
      <c r="Q5" s="241" t="str">
        <f>Sheet1!Q40</f>
        <v>FY33E</v>
      </c>
      <c r="R5" s="241" t="str">
        <f>Sheet1!R40</f>
        <v>FY34E</v>
      </c>
      <c r="S5" s="241" t="str">
        <f>Sheet1!S40</f>
        <v>FY35E</v>
      </c>
    </row>
    <row r="6" spans="1:21" ht="20.100000000000001" customHeight="1">
      <c r="B6" s="3" t="s">
        <v>1657</v>
      </c>
      <c r="C6" s="3"/>
      <c r="D6" s="3"/>
      <c r="E6" s="2"/>
      <c r="F6" s="2"/>
      <c r="G6" s="2"/>
      <c r="H6" s="2"/>
      <c r="I6" s="2"/>
      <c r="J6" s="2"/>
      <c r="K6" s="2"/>
      <c r="L6" s="2"/>
      <c r="M6" s="2"/>
      <c r="N6" s="2"/>
      <c r="O6" s="2"/>
      <c r="P6" s="2"/>
      <c r="Q6" s="2"/>
      <c r="R6" s="2"/>
      <c r="S6" s="2"/>
    </row>
    <row r="7" spans="1:21">
      <c r="B7" t="s">
        <v>681</v>
      </c>
      <c r="D7" t="s">
        <v>1658</v>
      </c>
      <c r="E7" s="242" t="str">
        <f>IF(Sheet1!E457="","",Sheet1!E457)</f>
        <v/>
      </c>
      <c r="F7" s="242" t="str">
        <f>IF(Sheet1!F457="","",Sheet1!F457)</f>
        <v/>
      </c>
      <c r="G7" s="242" t="str">
        <f>IF(Sheet1!G457="","",Sheet1!G457)</f>
        <v/>
      </c>
      <c r="H7" s="242" t="str">
        <f>IF(Sheet1!H457="","",Sheet1!H457)</f>
        <v/>
      </c>
      <c r="I7" s="242" t="str">
        <f>IF(Sheet1!I457="","",Sheet1!I457)</f>
        <v/>
      </c>
      <c r="J7" s="242" t="str">
        <f>IF(Sheet1!J457="","",Sheet1!J457)</f>
        <v/>
      </c>
      <c r="K7" s="242" t="str">
        <f>IF(Sheet1!K457="","",Sheet1!K457)</f>
        <v/>
      </c>
      <c r="L7" s="242" t="str">
        <f>IF(Sheet1!L457="","",Sheet1!L457)</f>
        <v/>
      </c>
      <c r="M7" s="242" t="str">
        <f>IF(Sheet1!M457="","",Sheet1!M457)</f>
        <v/>
      </c>
      <c r="N7" s="242" t="str">
        <f>IF(Sheet1!N457="","",Sheet1!N457)</f>
        <v/>
      </c>
      <c r="O7" s="242" t="str">
        <f>IF(Sheet1!O457="","",Sheet1!O457)</f>
        <v/>
      </c>
      <c r="P7" s="242" t="str">
        <f>IF(Sheet1!P457="","",Sheet1!P457)</f>
        <v/>
      </c>
      <c r="Q7" s="242" t="str">
        <f>IF(Sheet1!Q457="","",Sheet1!Q457)</f>
        <v/>
      </c>
      <c r="R7" s="242" t="str">
        <f>IF(Sheet1!R457="","",Sheet1!R457)</f>
        <v/>
      </c>
      <c r="S7" s="242" t="str">
        <f>IF(Sheet1!S457="","",Sheet1!S457)</f>
        <v/>
      </c>
    </row>
    <row r="8" spans="1:21">
      <c r="B8" t="s">
        <v>682</v>
      </c>
      <c r="D8" t="s">
        <v>1659</v>
      </c>
      <c r="E8" s="242" t="str">
        <f>IF(Sheet1!E458="","",Sheet1!E458)</f>
        <v>Price 16-Oct-26 (Rp)</v>
      </c>
      <c r="F8" s="242" t="str">
        <f>IF(Sheet1!F458="","",Sheet1!F458)</f>
        <v>EPS, 1H26 annualised (Rp)</v>
      </c>
      <c r="G8" s="242" t="str">
        <f>IF(Sheet1!G458="","",Sheet1!G458)</f>
        <v>P/B on Jun-26 book (x)</v>
      </c>
      <c r="H8" s="242" t="str">
        <f>IF(Sheet1!H458="","",Sheet1!H458)</f>
        <v>P/E on 1H26 annualised EPS (x)</v>
      </c>
      <c r="I8" s="242" t="str">
        <f>IF(Sheet1!I458="","",Sheet1!I458)</f>
        <v>BVPS Jun-26 (Rp)</v>
      </c>
      <c r="J8" s="242" t="str">
        <f>IF(Sheet1!J458="","",Sheet1!J458)</f>
        <v>ROE, 1H26 annualised</v>
      </c>
      <c r="K8" s="242" t="str">
        <f>IF(Sheet1!K458="","",Sheet1!K458)</f>
        <v>Net profit 1H26 to owners (Rp bn)</v>
      </c>
      <c r="L8" s="242" t="str">
        <f>IF(Sheet1!L458="","",Sheet1!L458)</f>
        <v>Equity Jun-26 (Rp bn)</v>
      </c>
      <c r="M8" s="242" t="str">
        <f>IF(Sheet1!M458="","",Sheet1!M458)</f>
        <v>Equity Dec-25 (Rp bn)</v>
      </c>
      <c r="N8" s="242" t="str">
        <f>IF(Sheet1!N458="","",Sheet1!N458)</f>
        <v>Shares (mn)</v>
      </c>
      <c r="O8" s="242" t="str">
        <f>IF(Sheet1!O458="","",Sheet1!O458)</f>
        <v>NPL</v>
      </c>
      <c r="P8" s="242" t="str">
        <f>IF(Sheet1!P458="","",Sheet1!P458)</f>
        <v>CAR</v>
      </c>
      <c r="Q8" s="242" t="str">
        <f>IF(Sheet1!Q458="","",Sheet1!Q458)</f>
        <v/>
      </c>
      <c r="R8" s="242" t="str">
        <f>IF(Sheet1!R458="","",Sheet1!R458)</f>
        <v/>
      </c>
      <c r="S8" s="242" t="str">
        <f>IF(Sheet1!S458="","",Sheet1!S458)</f>
        <v/>
      </c>
    </row>
    <row r="9" spans="1:21">
      <c r="B9" t="s">
        <v>694</v>
      </c>
      <c r="D9" t="s">
        <v>1660</v>
      </c>
      <c r="E9" s="242">
        <f>IF(Sheet1!E459="","",Sheet1!E459)</f>
        <v>2640</v>
      </c>
      <c r="F9" s="242">
        <f>IF(Sheet1!F459="","",Sheet1!F459)</f>
        <v>407.30012734314693</v>
      </c>
      <c r="G9" s="242">
        <f>IF(Sheet1!G459="","",Sheet1!G459)</f>
        <v>1.2173598843842701</v>
      </c>
      <c r="H9" s="242">
        <f>IF(Sheet1!H459="","",Sheet1!H459)</f>
        <v>6.481706787623521</v>
      </c>
      <c r="I9" s="242">
        <f>IF(Sheet1!I459="","",Sheet1!I459)</f>
        <v>2168.6273992306628</v>
      </c>
      <c r="J9" s="242">
        <f>IF(Sheet1!J459="","",Sheet1!J459)</f>
        <v>0.18716950468151167</v>
      </c>
      <c r="K9" s="242">
        <f>IF(Sheet1!K459="","",Sheet1!K459)</f>
        <v>30865</v>
      </c>
      <c r="L9" s="242">
        <f>IF(Sheet1!L459="","",Sheet1!L459)</f>
        <v>328675</v>
      </c>
      <c r="M9" s="242">
        <f>IF(Sheet1!M459="","",Sheet1!M459)</f>
        <v>330941</v>
      </c>
      <c r="N9" s="242">
        <f>IF(Sheet1!N459="","",Sheet1!N459)</f>
        <v>151559</v>
      </c>
      <c r="O9" s="242">
        <f>IF(Sheet1!O459="","",Sheet1!O459)</f>
        <v>2.9000000000000001E-2</v>
      </c>
      <c r="P9" s="242">
        <f>IF(Sheet1!P459="","",Sheet1!P459)</f>
        <v>0.23699999999999999</v>
      </c>
      <c r="Q9" s="242" t="str">
        <f>IF(Sheet1!Q459="","",Sheet1!Q459)</f>
        <v/>
      </c>
      <c r="R9" s="242" t="str">
        <f>IF(Sheet1!R459="","",Sheet1!R459)</f>
        <v/>
      </c>
      <c r="S9" s="242" t="str">
        <f>IF(Sheet1!S459="","",Sheet1!S459)</f>
        <v/>
      </c>
    </row>
    <row r="10" spans="1:21">
      <c r="B10" t="s">
        <v>696</v>
      </c>
      <c r="D10" t="s">
        <v>1661</v>
      </c>
      <c r="E10" s="242">
        <f>IF(Sheet1!E460="","",Sheet1!E460)</f>
        <v>3390</v>
      </c>
      <c r="F10" s="242">
        <f>IF(Sheet1!F460="","",Sheet1!F460)</f>
        <v>651.69255232747332</v>
      </c>
      <c r="G10" s="242">
        <f>IF(Sheet1!G460="","",Sheet1!G460)</f>
        <v>1.1117615438665776</v>
      </c>
      <c r="H10" s="242">
        <f>IF(Sheet1!H460="","",Sheet1!H460)</f>
        <v>5.2018394070836891</v>
      </c>
      <c r="I10" s="242">
        <f>IF(Sheet1!I460="","",Sheet1!I460)</f>
        <v>3049.2150216043397</v>
      </c>
      <c r="J10" s="242">
        <f>IF(Sheet1!J460="","",Sheet1!J460)</f>
        <v>0.21034066451135219</v>
      </c>
      <c r="K10" s="242">
        <f>IF(Sheet1!K460="","",Sheet1!K460)</f>
        <v>30412.319</v>
      </c>
      <c r="L10" s="242">
        <f>IF(Sheet1!L460="","",Sheet1!L460)</f>
        <v>284593.40100000001</v>
      </c>
      <c r="M10" s="242">
        <f>IF(Sheet1!M460="","",Sheet1!M460)</f>
        <v>293750.66899999999</v>
      </c>
      <c r="N10" s="242">
        <f>IF(Sheet1!N460="","",Sheet1!N460)</f>
        <v>93333.332999999999</v>
      </c>
      <c r="O10" s="242">
        <f>IF(Sheet1!O460="","",Sheet1!O460)</f>
        <v>1.2500000000000001E-2</v>
      </c>
      <c r="P10" s="242">
        <f>IF(Sheet1!P460="","",Sheet1!P460)</f>
        <v>0.20799999999999999</v>
      </c>
      <c r="Q10" s="242" t="str">
        <f>IF(Sheet1!Q460="","",Sheet1!Q460)</f>
        <v/>
      </c>
      <c r="R10" s="242" t="str">
        <f>IF(Sheet1!R460="","",Sheet1!R460)</f>
        <v/>
      </c>
      <c r="S10" s="242" t="str">
        <f>IF(Sheet1!S460="","",Sheet1!S460)</f>
        <v/>
      </c>
    </row>
    <row r="11" spans="1:21">
      <c r="B11" t="s">
        <v>698</v>
      </c>
      <c r="D11" t="s">
        <v>1662</v>
      </c>
      <c r="E11" s="242">
        <f>IF(Sheet1!E461="","",Sheet1!E461)</f>
        <v>2970</v>
      </c>
      <c r="F11" s="242">
        <f>IF(Sheet1!F461="","",Sheet1!F461)</f>
        <v>578.00660988258051</v>
      </c>
      <c r="G11" s="242">
        <f>IF(Sheet1!G461="","",Sheet1!G461)</f>
        <v>0.68397280862788756</v>
      </c>
      <c r="H11" s="242">
        <f>IF(Sheet1!H461="","",Sheet1!H461)</f>
        <v>5.1383495434478554</v>
      </c>
      <c r="I11" s="242">
        <f>IF(Sheet1!I461="","",Sheet1!I461)</f>
        <v>4342.2778837627966</v>
      </c>
      <c r="J11" s="242">
        <f>IF(Sheet1!J461="","",Sheet1!J461)</f>
        <v>0.12994860149988052</v>
      </c>
      <c r="K11" s="242">
        <f>IF(Sheet1!K461="","",Sheet1!K461)</f>
        <v>10755.835999999999</v>
      </c>
      <c r="L11" s="242">
        <f>IF(Sheet1!L461="","",Sheet1!L461)</f>
        <v>161606.55600000001</v>
      </c>
      <c r="M11" s="242">
        <f>IF(Sheet1!M461="","",Sheet1!M461)</f>
        <v>169473.144</v>
      </c>
      <c r="N11" s="242">
        <f>IF(Sheet1!N461="","",Sheet1!N461)</f>
        <v>37217</v>
      </c>
      <c r="O11" s="242">
        <f>IF(Sheet1!O461="","",Sheet1!O461)</f>
        <v>1.95E-2</v>
      </c>
      <c r="P11" s="242">
        <f>IF(Sheet1!P461="","",Sheet1!P461)</f>
        <v>0.218</v>
      </c>
      <c r="Q11" s="242" t="str">
        <f>IF(Sheet1!Q461="","",Sheet1!Q461)</f>
        <v/>
      </c>
      <c r="R11" s="242" t="str">
        <f>IF(Sheet1!R461="","",Sheet1!R461)</f>
        <v/>
      </c>
      <c r="S11" s="242" t="str">
        <f>IF(Sheet1!S461="","",Sheet1!S461)</f>
        <v/>
      </c>
    </row>
    <row r="12" spans="1:21">
      <c r="B12" t="s">
        <v>700</v>
      </c>
      <c r="D12" t="s">
        <v>1663</v>
      </c>
      <c r="E12" s="242">
        <f>IF(Sheet1!E462="","",Sheet1!E462)</f>
        <v>5175</v>
      </c>
      <c r="F12" s="242">
        <f>IF(Sheet1!F462="","",Sheet1!F462)</f>
        <v>480.29273044146038</v>
      </c>
      <c r="G12" s="242">
        <f>IF(Sheet1!G462="","",Sheet1!G462)</f>
        <v>2.3544668941666673</v>
      </c>
      <c r="H12" s="242">
        <f>IF(Sheet1!H462="","",Sheet1!H462)</f>
        <v>10.774679007203391</v>
      </c>
      <c r="I12" s="242">
        <f>IF(Sheet1!I462="","",Sheet1!I462)</f>
        <v>2197.9497833761743</v>
      </c>
      <c r="J12" s="242">
        <f>IF(Sheet1!J462="","",Sheet1!J462)</f>
        <v>0.22306238185255198</v>
      </c>
      <c r="K12" s="242">
        <f>IF(Sheet1!K462="","",Sheet1!K462)</f>
        <v>29500</v>
      </c>
      <c r="L12" s="242">
        <f>IF(Sheet1!L462="","",Sheet1!L462)</f>
        <v>270000</v>
      </c>
      <c r="M12" s="242">
        <f>IF(Sheet1!M462="","",Sheet1!M462)</f>
        <v>259000</v>
      </c>
      <c r="N12" s="242">
        <f>IF(Sheet1!N462="","",Sheet1!N462)</f>
        <v>122841.751</v>
      </c>
      <c r="O12" s="242">
        <f>IF(Sheet1!O462="","",Sheet1!O462)</f>
        <v>1.8499999999999999E-2</v>
      </c>
      <c r="P12" s="242">
        <f>IF(Sheet1!P462="","",Sheet1!P462)</f>
        <v>0.28399999999999997</v>
      </c>
      <c r="Q12" s="242" t="str">
        <f>IF(Sheet1!Q462="","",Sheet1!Q462)</f>
        <v/>
      </c>
      <c r="R12" s="242" t="str">
        <f>IF(Sheet1!R462="","",Sheet1!R462)</f>
        <v/>
      </c>
      <c r="S12" s="242" t="str">
        <f>IF(Sheet1!S462="","",Sheet1!S462)</f>
        <v/>
      </c>
    </row>
    <row r="13" spans="1:21">
      <c r="B13" t="s">
        <v>702</v>
      </c>
      <c r="D13" t="s">
        <v>1664</v>
      </c>
      <c r="E13" s="242">
        <f>IF(Sheet1!E463="","",Sheet1!E463)</f>
        <v>880</v>
      </c>
      <c r="F13" s="242">
        <f>IF(Sheet1!F463="","",Sheet1!F463)</f>
        <v>170.16187027012995</v>
      </c>
      <c r="G13" s="242">
        <f>IF(Sheet1!G463="","",Sheet1!G463)</f>
        <v>0.66084931966479377</v>
      </c>
      <c r="H13" s="242">
        <f>IF(Sheet1!H463="","",Sheet1!H463)</f>
        <v>5.1715463552616718</v>
      </c>
      <c r="I13" s="242">
        <f>IF(Sheet1!I463="","",Sheet1!I463)</f>
        <v>1331.619741163337</v>
      </c>
      <c r="J13" s="242">
        <f>IF(Sheet1!J463="","",Sheet1!J463)</f>
        <v>0.12967800655267278</v>
      </c>
      <c r="K13" s="242">
        <f>IF(Sheet1!K463="","",Sheet1!K463)</f>
        <v>655.43799999999999</v>
      </c>
      <c r="L13" s="242">
        <f>IF(Sheet1!L463="","",Sheet1!L463)</f>
        <v>10258.398999999999</v>
      </c>
      <c r="M13" s="242">
        <f>IF(Sheet1!M463="","",Sheet1!M463)</f>
        <v>9959</v>
      </c>
      <c r="N13" s="242">
        <f>IF(Sheet1!N463="","",Sheet1!N463)</f>
        <v>7703.7</v>
      </c>
      <c r="O13" s="242">
        <f>IF(Sheet1!O463="","",Sheet1!O463)</f>
        <v>3.4000000000000002E-2</v>
      </c>
      <c r="P13" s="242">
        <f>IF(Sheet1!P463="","",Sheet1!P463)</f>
        <v>0.48499999999999999</v>
      </c>
      <c r="Q13" s="242" t="str">
        <f>IF(Sheet1!Q463="","",Sheet1!Q463)</f>
        <v/>
      </c>
      <c r="R13" s="242" t="str">
        <f>IF(Sheet1!R463="","",Sheet1!R463)</f>
        <v/>
      </c>
      <c r="S13" s="242" t="str">
        <f>IF(Sheet1!S463="","",Sheet1!S463)</f>
        <v/>
      </c>
    </row>
    <row r="14" spans="1:21">
      <c r="B14" t="s">
        <v>704</v>
      </c>
      <c r="D14" t="s">
        <v>1665</v>
      </c>
      <c r="E14" s="242">
        <f>IF(Sheet1!E464="","",Sheet1!E464)</f>
        <v>1095</v>
      </c>
      <c r="F14" s="242">
        <f>IF(Sheet1!F464="","",Sheet1!F464)</f>
        <v>180.17670346326818</v>
      </c>
      <c r="G14" s="242">
        <f>IF(Sheet1!G464="","",Sheet1!G464)</f>
        <v>0.98963411318996286</v>
      </c>
      <c r="H14" s="242">
        <f>IF(Sheet1!H464="","",Sheet1!H464)</f>
        <v>6.0773672675348553</v>
      </c>
      <c r="I14" s="242">
        <f>IF(Sheet1!I464="","",Sheet1!I464)</f>
        <v>1106.4695379895538</v>
      </c>
      <c r="J14" s="242">
        <f>IF(Sheet1!J464="","",Sheet1!J464)</f>
        <v>0.16139695036079707</v>
      </c>
      <c r="K14" s="242">
        <f>IF(Sheet1!K464="","",Sheet1!K464)</f>
        <v>4155.7089999999998</v>
      </c>
      <c r="L14" s="242">
        <f>IF(Sheet1!L464="","",Sheet1!L464)</f>
        <v>51040.620999999999</v>
      </c>
      <c r="M14" s="242">
        <f>IF(Sheet1!M464="","",Sheet1!M464)</f>
        <v>51952.874000000003</v>
      </c>
      <c r="N14" s="242">
        <f>IF(Sheet1!N464="","",Sheet1!N464)</f>
        <v>46129.26</v>
      </c>
      <c r="O14" s="242">
        <f>IF(Sheet1!O464="","",Sheet1!O464)</f>
        <v>1.8499999999999999E-2</v>
      </c>
      <c r="P14" s="242">
        <f>IF(Sheet1!P464="","",Sheet1!P464)</f>
        <v>0.22000883624760575</v>
      </c>
      <c r="Q14" s="242" t="str">
        <f>IF(Sheet1!Q464="","",Sheet1!Q464)</f>
        <v/>
      </c>
      <c r="R14" s="242" t="str">
        <f>IF(Sheet1!R464="","",Sheet1!R464)</f>
        <v/>
      </c>
      <c r="S14" s="242" t="str">
        <f>IF(Sheet1!S464="","",Sheet1!S464)</f>
        <v/>
      </c>
    </row>
    <row r="15" spans="1:21">
      <c r="B15" t="s">
        <v>706</v>
      </c>
      <c r="D15" t="s">
        <v>1666</v>
      </c>
      <c r="E15" s="242" t="str">
        <f>IF(Sheet1!E465="","",Sheet1!E465)</f>
        <v/>
      </c>
      <c r="F15" s="242" t="str">
        <f>IF(Sheet1!F465="","",Sheet1!F465)</f>
        <v/>
      </c>
      <c r="G15" s="242">
        <f>IF(Sheet1!G465="","",Sheet1!G465)</f>
        <v>1.2056820901420393</v>
      </c>
      <c r="H15" s="242">
        <f>IF(Sheet1!H465="","",Sheet1!H465)</f>
        <v>6.553624220124024</v>
      </c>
      <c r="I15" s="242" t="str">
        <f>IF(Sheet1!I465="","",Sheet1!I465)</f>
        <v/>
      </c>
      <c r="J15" s="242">
        <f>IF(Sheet1!J465="","",Sheet1!J465)</f>
        <v>0.17603983181959384</v>
      </c>
      <c r="K15" s="242" t="str">
        <f>IF(Sheet1!K465="","",Sheet1!K465)</f>
        <v/>
      </c>
      <c r="L15" s="242" t="str">
        <f>IF(Sheet1!L465="","",Sheet1!L465)</f>
        <v/>
      </c>
      <c r="M15" s="242" t="str">
        <f>IF(Sheet1!M465="","",Sheet1!M465)</f>
        <v/>
      </c>
      <c r="N15" s="242" t="str">
        <f>IF(Sheet1!N465="","",Sheet1!N465)</f>
        <v/>
      </c>
      <c r="O15" s="242">
        <f>IF(Sheet1!O465="","",Sheet1!O465)</f>
        <v>2.2700000000000001E-2</v>
      </c>
      <c r="P15" s="242">
        <f>IF(Sheet1!P465="","",Sheet1!P465)</f>
        <v>0.28639999999999999</v>
      </c>
      <c r="Q15" s="242" t="str">
        <f>IF(Sheet1!Q465="","",Sheet1!Q465)</f>
        <v/>
      </c>
      <c r="R15" s="242" t="str">
        <f>IF(Sheet1!R465="","",Sheet1!R465)</f>
        <v/>
      </c>
      <c r="S15" s="242" t="str">
        <f>IF(Sheet1!S465="","",Sheet1!S465)</f>
        <v/>
      </c>
    </row>
    <row r="16" spans="1:21">
      <c r="B16" t="s">
        <v>707</v>
      </c>
      <c r="D16" t="s">
        <v>1667</v>
      </c>
      <c r="E16" s="242" t="str">
        <f>IF(Sheet1!E466="","",Sheet1!E466)</f>
        <v/>
      </c>
      <c r="F16" s="242" t="str">
        <f>IF(Sheet1!F466="","",Sheet1!F466)</f>
        <v/>
      </c>
      <c r="G16" s="242">
        <f>IF(Sheet1!G466="","",Sheet1!G466)</f>
        <v>1.1117615438665776</v>
      </c>
      <c r="H16" s="242">
        <f>IF(Sheet1!H466="","",Sheet1!H466)</f>
        <v>5.2018394070836891</v>
      </c>
      <c r="I16" s="242" t="str">
        <f>IF(Sheet1!I466="","",Sheet1!I466)</f>
        <v/>
      </c>
      <c r="J16" s="242">
        <f>IF(Sheet1!J466="","",Sheet1!J466)</f>
        <v>0.18716950468151167</v>
      </c>
      <c r="K16" s="242" t="str">
        <f>IF(Sheet1!K466="","",Sheet1!K466)</f>
        <v/>
      </c>
      <c r="L16" s="242" t="str">
        <f>IF(Sheet1!L466="","",Sheet1!L466)</f>
        <v/>
      </c>
      <c r="M16" s="242" t="str">
        <f>IF(Sheet1!M466="","",Sheet1!M466)</f>
        <v/>
      </c>
      <c r="N16" s="242" t="str">
        <f>IF(Sheet1!N466="","",Sheet1!N466)</f>
        <v/>
      </c>
      <c r="O16" s="242">
        <f>IF(Sheet1!O466="","",Sheet1!O466)</f>
        <v>1.95E-2</v>
      </c>
      <c r="P16" s="242">
        <f>IF(Sheet1!P466="","",Sheet1!P466)</f>
        <v>0.23699999999999999</v>
      </c>
      <c r="Q16" s="242" t="str">
        <f>IF(Sheet1!Q466="","",Sheet1!Q466)</f>
        <v/>
      </c>
      <c r="R16" s="242" t="str">
        <f>IF(Sheet1!R466="","",Sheet1!R466)</f>
        <v/>
      </c>
      <c r="S16" s="242" t="str">
        <f>IF(Sheet1!S466="","",Sheet1!S466)</f>
        <v/>
      </c>
    </row>
    <row r="17" spans="2:19">
      <c r="B17" t="s">
        <v>708</v>
      </c>
      <c r="D17" t="s">
        <v>1668</v>
      </c>
      <c r="E17" s="242" t="str">
        <f>IF(Sheet1!E467="","",Sheet1!E467)</f>
        <v/>
      </c>
      <c r="F17" s="242" t="str">
        <f>IF(Sheet1!F467="","",Sheet1!F467)</f>
        <v/>
      </c>
      <c r="G17" s="242">
        <f>IF(Sheet1!G467="","",Sheet1!G467)</f>
        <v>-0.10985038235075995</v>
      </c>
      <c r="H17" s="242">
        <f>IF(Sheet1!H467="","",Sheet1!H467)</f>
        <v>0.168311205313048</v>
      </c>
      <c r="I17" s="242" t="str">
        <f>IF(Sheet1!I467="","",Sheet1!I467)</f>
        <v/>
      </c>
      <c r="J17" s="242" t="str">
        <f>IF(Sheet1!J467="","",Sheet1!J467)</f>
        <v/>
      </c>
      <c r="K17" s="242" t="str">
        <f>IF(Sheet1!K467="","",Sheet1!K467)</f>
        <v/>
      </c>
      <c r="L17" s="242" t="str">
        <f>IF(Sheet1!L467="","",Sheet1!L467)</f>
        <v/>
      </c>
      <c r="M17" s="242" t="str">
        <f>IF(Sheet1!M467="","",Sheet1!M467)</f>
        <v/>
      </c>
      <c r="N17" s="242" t="str">
        <f>IF(Sheet1!N467="","",Sheet1!N467)</f>
        <v/>
      </c>
      <c r="O17" s="242" t="str">
        <f>IF(Sheet1!O467="","",Sheet1!O467)</f>
        <v/>
      </c>
      <c r="P17" s="242" t="str">
        <f>IF(Sheet1!P467="","",Sheet1!P467)</f>
        <v/>
      </c>
      <c r="Q17" s="242" t="str">
        <f>IF(Sheet1!Q467="","",Sheet1!Q467)</f>
        <v/>
      </c>
      <c r="R17" s="242" t="str">
        <f>IF(Sheet1!R467="","",Sheet1!R467)</f>
        <v/>
      </c>
      <c r="S17" s="242" t="str">
        <f>IF(Sheet1!S467="","",Sheet1!S467)</f>
        <v/>
      </c>
    </row>
    <row r="18" spans="2:19">
      <c r="B18" t="s">
        <v>709</v>
      </c>
      <c r="D18" t="s">
        <v>1669</v>
      </c>
      <c r="E18" s="242" t="str">
        <f>IF(Sheet1!E468="","",Sheet1!E468)</f>
        <v/>
      </c>
      <c r="F18" s="242" t="str">
        <f>IF(Sheet1!F468="","",Sheet1!F468)</f>
        <v/>
      </c>
      <c r="G18" s="242" t="str">
        <f>IF(Sheet1!G468="","",Sheet1!G468)</f>
        <v/>
      </c>
      <c r="H18" s="242" t="str">
        <f>IF(Sheet1!H468="","",Sheet1!H468)</f>
        <v/>
      </c>
      <c r="I18" s="242" t="str">
        <f>IF(Sheet1!I468="","",Sheet1!I468)</f>
        <v/>
      </c>
      <c r="J18" s="242" t="str">
        <f>IF(Sheet1!J468="","",Sheet1!J468)</f>
        <v/>
      </c>
      <c r="K18" s="242" t="str">
        <f>IF(Sheet1!K468="","",Sheet1!K468)</f>
        <v/>
      </c>
      <c r="L18" s="242" t="str">
        <f>IF(Sheet1!L468="","",Sheet1!L468)</f>
        <v/>
      </c>
      <c r="M18" s="242" t="str">
        <f>IF(Sheet1!M468="","",Sheet1!M468)</f>
        <v/>
      </c>
      <c r="N18" s="242" t="str">
        <f>IF(Sheet1!N468="","",Sheet1!N468)</f>
        <v/>
      </c>
      <c r="O18" s="242" t="str">
        <f>IF(Sheet1!O468="","",Sheet1!O468)</f>
        <v/>
      </c>
      <c r="P18" s="242" t="str">
        <f>IF(Sheet1!P468="","",Sheet1!P468)</f>
        <v/>
      </c>
      <c r="Q18" s="242" t="str">
        <f>IF(Sheet1!Q468="","",Sheet1!Q468)</f>
        <v/>
      </c>
      <c r="R18" s="242" t="str">
        <f>IF(Sheet1!R468="","",Sheet1!R468)</f>
        <v/>
      </c>
      <c r="S18" s="242" t="str">
        <f>IF(Sheet1!S468="","",Sheet1!S468)</f>
        <v/>
      </c>
    </row>
    <row r="19" spans="2:19">
      <c r="B19" t="s">
        <v>710</v>
      </c>
      <c r="D19" t="s">
        <v>1670</v>
      </c>
      <c r="E19" s="242">
        <f>IF(Sheet1!E469="","",Sheet1!E469)</f>
        <v>12.874537212700519</v>
      </c>
      <c r="F19" s="242" t="str">
        <f>IF(Sheet1!F469="","",Sheet1!F469)</f>
        <v/>
      </c>
      <c r="G19" s="242" t="str">
        <f>IF(Sheet1!G469="","",Sheet1!G469)</f>
        <v/>
      </c>
      <c r="H19" s="242" t="str">
        <f>IF(Sheet1!H469="","",Sheet1!H469)</f>
        <v/>
      </c>
      <c r="I19" s="242" t="str">
        <f>IF(Sheet1!I469="","",Sheet1!I469)</f>
        <v/>
      </c>
      <c r="J19" s="242" t="str">
        <f>IF(Sheet1!J469="","",Sheet1!J469)</f>
        <v/>
      </c>
      <c r="K19" s="242" t="str">
        <f>IF(Sheet1!K469="","",Sheet1!K469)</f>
        <v/>
      </c>
      <c r="L19" s="242" t="str">
        <f>IF(Sheet1!L469="","",Sheet1!L469)</f>
        <v/>
      </c>
      <c r="M19" s="242" t="str">
        <f>IF(Sheet1!M469="","",Sheet1!M469)</f>
        <v/>
      </c>
      <c r="N19" s="242" t="str">
        <f>IF(Sheet1!N469="","",Sheet1!N469)</f>
        <v/>
      </c>
      <c r="O19" s="242" t="str">
        <f>IF(Sheet1!O469="","",Sheet1!O469)</f>
        <v/>
      </c>
      <c r="P19" s="242" t="str">
        <f>IF(Sheet1!P469="","",Sheet1!P469)</f>
        <v/>
      </c>
      <c r="Q19" s="242" t="str">
        <f>IF(Sheet1!Q469="","",Sheet1!Q469)</f>
        <v/>
      </c>
      <c r="R19" s="242" t="str">
        <f>IF(Sheet1!R469="","",Sheet1!R469)</f>
        <v/>
      </c>
      <c r="S19" s="242" t="str">
        <f>IF(Sheet1!S469="","",Sheet1!S469)</f>
        <v/>
      </c>
    </row>
    <row r="20" spans="2:19">
      <c r="B20" t="s">
        <v>711</v>
      </c>
      <c r="D20" t="s">
        <v>1671</v>
      </c>
      <c r="E20" s="242">
        <f>IF(Sheet1!E470="","",Sheet1!E470)</f>
        <v>-1.0607492755368624</v>
      </c>
      <c r="F20" s="242" t="str">
        <f>IF(Sheet1!F470="","",Sheet1!F470)</f>
        <v/>
      </c>
      <c r="G20" s="242" t="str">
        <f>IF(Sheet1!G470="","",Sheet1!G470)</f>
        <v/>
      </c>
      <c r="H20" s="242" t="str">
        <f>IF(Sheet1!H470="","",Sheet1!H470)</f>
        <v/>
      </c>
      <c r="I20" s="242" t="str">
        <f>IF(Sheet1!I470="","",Sheet1!I470)</f>
        <v/>
      </c>
      <c r="J20" s="242" t="str">
        <f>IF(Sheet1!J470="","",Sheet1!J470)</f>
        <v/>
      </c>
      <c r="K20" s="242" t="str">
        <f>IF(Sheet1!K470="","",Sheet1!K470)</f>
        <v/>
      </c>
      <c r="L20" s="242" t="str">
        <f>IF(Sheet1!L470="","",Sheet1!L470)</f>
        <v/>
      </c>
      <c r="M20" s="242" t="str">
        <f>IF(Sheet1!M470="","",Sheet1!M470)</f>
        <v/>
      </c>
      <c r="N20" s="242" t="str">
        <f>IF(Sheet1!N470="","",Sheet1!N470)</f>
        <v/>
      </c>
      <c r="O20" s="242" t="str">
        <f>IF(Sheet1!O470="","",Sheet1!O470)</f>
        <v/>
      </c>
      <c r="P20" s="242" t="str">
        <f>IF(Sheet1!P470="","",Sheet1!P470)</f>
        <v/>
      </c>
      <c r="Q20" s="242" t="str">
        <f>IF(Sheet1!Q470="","",Sheet1!Q470)</f>
        <v/>
      </c>
      <c r="R20" s="242" t="str">
        <f>IF(Sheet1!R470="","",Sheet1!R470)</f>
        <v/>
      </c>
      <c r="S20" s="242" t="str">
        <f>IF(Sheet1!S470="","",Sheet1!S470)</f>
        <v/>
      </c>
    </row>
    <row r="21" spans="2:19">
      <c r="B21" t="s">
        <v>712</v>
      </c>
      <c r="D21" t="s">
        <v>1672</v>
      </c>
      <c r="E21" s="242">
        <f>IF(Sheet1!E471="","",Sheet1!E471)</f>
        <v>0.68001290485023136</v>
      </c>
      <c r="F21" s="242" t="str">
        <f>IF(Sheet1!F471="","",Sheet1!F471)</f>
        <v/>
      </c>
      <c r="G21" s="242" t="str">
        <f>IF(Sheet1!G471="","",Sheet1!G471)</f>
        <v/>
      </c>
      <c r="H21" s="242" t="str">
        <f>IF(Sheet1!H471="","",Sheet1!H471)</f>
        <v/>
      </c>
      <c r="I21" s="242" t="str">
        <f>IF(Sheet1!I471="","",Sheet1!I471)</f>
        <v/>
      </c>
      <c r="J21" s="242" t="str">
        <f>IF(Sheet1!J471="","",Sheet1!J471)</f>
        <v/>
      </c>
      <c r="K21" s="242" t="str">
        <f>IF(Sheet1!K471="","",Sheet1!K471)</f>
        <v/>
      </c>
      <c r="L21" s="242" t="str">
        <f>IF(Sheet1!L471="","",Sheet1!L471)</f>
        <v/>
      </c>
      <c r="M21" s="242" t="str">
        <f>IF(Sheet1!M471="","",Sheet1!M471)</f>
        <v/>
      </c>
      <c r="N21" s="242" t="str">
        <f>IF(Sheet1!N471="","",Sheet1!N471)</f>
        <v/>
      </c>
      <c r="O21" s="242" t="str">
        <f>IF(Sheet1!O471="","",Sheet1!O471)</f>
        <v/>
      </c>
      <c r="P21" s="242" t="str">
        <f>IF(Sheet1!P471="","",Sheet1!P471)</f>
        <v/>
      </c>
      <c r="Q21" s="242" t="str">
        <f>IF(Sheet1!Q471="","",Sheet1!Q471)</f>
        <v/>
      </c>
      <c r="R21" s="242" t="str">
        <f>IF(Sheet1!R471="","",Sheet1!R471)</f>
        <v/>
      </c>
      <c r="S21" s="242" t="str">
        <f>IF(Sheet1!S471="","",Sheet1!S471)</f>
        <v/>
      </c>
    </row>
    <row r="22" spans="2:19">
      <c r="B22" t="s">
        <v>713</v>
      </c>
      <c r="D22" t="s">
        <v>1673</v>
      </c>
      <c r="E22" s="242">
        <f>IF(Sheet1!E472="","",Sheet1!E472)</f>
        <v>1.0171617678995981</v>
      </c>
      <c r="F22" s="242" t="str">
        <f>IF(Sheet1!F472="","",Sheet1!F472)</f>
        <v/>
      </c>
      <c r="G22" s="242" t="str">
        <f>IF(Sheet1!G472="","",Sheet1!G472)</f>
        <v/>
      </c>
      <c r="H22" s="242" t="str">
        <f>IF(Sheet1!H472="","",Sheet1!H472)</f>
        <v/>
      </c>
      <c r="I22" s="242" t="str">
        <f>IF(Sheet1!I472="","",Sheet1!I472)</f>
        <v/>
      </c>
      <c r="J22" s="242" t="str">
        <f>IF(Sheet1!J472="","",Sheet1!J472)</f>
        <v/>
      </c>
      <c r="K22" s="242" t="str">
        <f>IF(Sheet1!K472="","",Sheet1!K472)</f>
        <v/>
      </c>
      <c r="L22" s="242" t="str">
        <f>IF(Sheet1!L472="","",Sheet1!L472)</f>
        <v/>
      </c>
      <c r="M22" s="242" t="str">
        <f>IF(Sheet1!M472="","",Sheet1!M472)</f>
        <v/>
      </c>
      <c r="N22" s="242" t="str">
        <f>IF(Sheet1!N472="","",Sheet1!N472)</f>
        <v/>
      </c>
      <c r="O22" s="242" t="str">
        <f>IF(Sheet1!O472="","",Sheet1!O472)</f>
        <v/>
      </c>
      <c r="P22" s="242" t="str">
        <f>IF(Sheet1!P472="","",Sheet1!P472)</f>
        <v/>
      </c>
      <c r="Q22" s="242" t="str">
        <f>IF(Sheet1!Q472="","",Sheet1!Q472)</f>
        <v/>
      </c>
      <c r="R22" s="242" t="str">
        <f>IF(Sheet1!R472="","",Sheet1!R472)</f>
        <v/>
      </c>
      <c r="S22" s="242" t="str">
        <f>IF(Sheet1!S472="","",Sheet1!S472)</f>
        <v/>
      </c>
    </row>
    <row r="23" spans="2:19">
      <c r="B23" t="s">
        <v>714</v>
      </c>
      <c r="D23" t="s">
        <v>1674</v>
      </c>
      <c r="E23" s="242">
        <f>IF(Sheet1!E473="","",Sheet1!E473)</f>
        <v>1125.4585113885062</v>
      </c>
      <c r="F23" s="242" t="str">
        <f>IF(Sheet1!F473="","",Sheet1!F473)</f>
        <v/>
      </c>
      <c r="G23" s="242" t="str">
        <f>IF(Sheet1!G473="","",Sheet1!G473)</f>
        <v/>
      </c>
      <c r="H23" s="242" t="str">
        <f>IF(Sheet1!H473="","",Sheet1!H473)</f>
        <v/>
      </c>
      <c r="I23" s="242" t="str">
        <f>IF(Sheet1!I473="","",Sheet1!I473)</f>
        <v/>
      </c>
      <c r="J23" s="242" t="str">
        <f>IF(Sheet1!J473="","",Sheet1!J473)</f>
        <v/>
      </c>
      <c r="K23" s="242" t="str">
        <f>IF(Sheet1!K473="","",Sheet1!K473)</f>
        <v/>
      </c>
      <c r="L23" s="242" t="str">
        <f>IF(Sheet1!L473="","",Sheet1!L473)</f>
        <v/>
      </c>
      <c r="M23" s="242" t="str">
        <f>IF(Sheet1!M473="","",Sheet1!M473)</f>
        <v/>
      </c>
      <c r="N23" s="242" t="str">
        <f>IF(Sheet1!N473="","",Sheet1!N473)</f>
        <v/>
      </c>
      <c r="O23" s="242" t="str">
        <f>IF(Sheet1!O473="","",Sheet1!O473)</f>
        <v/>
      </c>
      <c r="P23" s="242" t="str">
        <f>IF(Sheet1!P473="","",Sheet1!P473)</f>
        <v/>
      </c>
      <c r="Q23" s="242" t="str">
        <f>IF(Sheet1!Q473="","",Sheet1!Q473)</f>
        <v/>
      </c>
      <c r="R23" s="242" t="str">
        <f>IF(Sheet1!R473="","",Sheet1!R473)</f>
        <v/>
      </c>
      <c r="S23" s="242" t="str">
        <f>IF(Sheet1!S473="","",Sheet1!S473)</f>
        <v/>
      </c>
    </row>
    <row r="24" spans="2:19">
      <c r="B24" t="s">
        <v>715</v>
      </c>
      <c r="D24" t="s">
        <v>1675</v>
      </c>
      <c r="E24" s="242">
        <f>IF(Sheet1!E474="","",Sheet1!E474)</f>
        <v>1230.1302817966052</v>
      </c>
      <c r="F24" s="242" t="str">
        <f>IF(Sheet1!F474="","",Sheet1!F474)</f>
        <v/>
      </c>
      <c r="G24" s="242" t="str">
        <f>IF(Sheet1!G474="","",Sheet1!G474)</f>
        <v/>
      </c>
      <c r="H24" s="242" t="str">
        <f>IF(Sheet1!H474="","",Sheet1!H474)</f>
        <v/>
      </c>
      <c r="I24" s="242" t="str">
        <f>IF(Sheet1!I474="","",Sheet1!I474)</f>
        <v/>
      </c>
      <c r="J24" s="242" t="str">
        <f>IF(Sheet1!J474="","",Sheet1!J474)</f>
        <v/>
      </c>
      <c r="K24" s="242" t="str">
        <f>IF(Sheet1!K474="","",Sheet1!K474)</f>
        <v/>
      </c>
      <c r="L24" s="242" t="str">
        <f>IF(Sheet1!L474="","",Sheet1!L474)</f>
        <v/>
      </c>
      <c r="M24" s="242" t="str">
        <f>IF(Sheet1!M474="","",Sheet1!M474)</f>
        <v/>
      </c>
      <c r="N24" s="242" t="str">
        <f>IF(Sheet1!N474="","",Sheet1!N474)</f>
        <v/>
      </c>
      <c r="O24" s="242" t="str">
        <f>IF(Sheet1!O474="","",Sheet1!O474)</f>
        <v/>
      </c>
      <c r="P24" s="242" t="str">
        <f>IF(Sheet1!P474="","",Sheet1!P474)</f>
        <v/>
      </c>
      <c r="Q24" s="242" t="str">
        <f>IF(Sheet1!Q474="","",Sheet1!Q474)</f>
        <v/>
      </c>
      <c r="R24" s="242" t="str">
        <f>IF(Sheet1!R474="","",Sheet1!R474)</f>
        <v/>
      </c>
      <c r="S24" s="242" t="str">
        <f>IF(Sheet1!S474="","",Sheet1!S474)</f>
        <v/>
      </c>
    </row>
    <row r="25" spans="2:19">
      <c r="B25" t="s">
        <v>716</v>
      </c>
      <c r="D25" t="s">
        <v>1676</v>
      </c>
      <c r="E25" s="242">
        <f>IF(Sheet1!E475="","",Sheet1!E475)</f>
        <v>1095</v>
      </c>
      <c r="F25" s="242" t="str">
        <f>IF(Sheet1!F475="","",Sheet1!F475)</f>
        <v/>
      </c>
      <c r="G25" s="242" t="str">
        <f>IF(Sheet1!G475="","",Sheet1!G475)</f>
        <v/>
      </c>
      <c r="H25" s="242" t="str">
        <f>IF(Sheet1!H475="","",Sheet1!H475)</f>
        <v/>
      </c>
      <c r="I25" s="242" t="str">
        <f>IF(Sheet1!I475="","",Sheet1!I475)</f>
        <v/>
      </c>
      <c r="J25" s="242" t="str">
        <f>IF(Sheet1!J475="","",Sheet1!J475)</f>
        <v/>
      </c>
      <c r="K25" s="242" t="str">
        <f>IF(Sheet1!K475="","",Sheet1!K475)</f>
        <v/>
      </c>
      <c r="L25" s="242" t="str">
        <f>IF(Sheet1!L475="","",Sheet1!L475)</f>
        <v/>
      </c>
      <c r="M25" s="242" t="str">
        <f>IF(Sheet1!M475="","",Sheet1!M475)</f>
        <v/>
      </c>
      <c r="N25" s="242" t="str">
        <f>IF(Sheet1!N475="","",Sheet1!N475)</f>
        <v/>
      </c>
      <c r="O25" s="242" t="str">
        <f>IF(Sheet1!O475="","",Sheet1!O475)</f>
        <v/>
      </c>
      <c r="P25" s="242" t="str">
        <f>IF(Sheet1!P475="","",Sheet1!P475)</f>
        <v/>
      </c>
      <c r="Q25" s="242" t="str">
        <f>IF(Sheet1!Q475="","",Sheet1!Q475)</f>
        <v/>
      </c>
      <c r="R25" s="242" t="str">
        <f>IF(Sheet1!R475="","",Sheet1!R475)</f>
        <v/>
      </c>
      <c r="S25" s="242" t="str">
        <f>IF(Sheet1!S475="","",Sheet1!S475)</f>
        <v/>
      </c>
    </row>
    <row r="26" spans="2:19">
      <c r="B26" t="s">
        <v>718</v>
      </c>
      <c r="D26" t="s">
        <v>1677</v>
      </c>
      <c r="E26" s="242">
        <f>IF(Sheet1!E476="","",Sheet1!E476)</f>
        <v>2740</v>
      </c>
      <c r="F26" s="242" t="str">
        <f>IF(Sheet1!F476="","",Sheet1!F476)</f>
        <v/>
      </c>
      <c r="G26" s="242" t="str">
        <f>IF(Sheet1!G476="","",Sheet1!G476)</f>
        <v/>
      </c>
      <c r="H26" s="242" t="str">
        <f>IF(Sheet1!H476="","",Sheet1!H476)</f>
        <v/>
      </c>
      <c r="I26" s="242" t="str">
        <f>IF(Sheet1!I476="","",Sheet1!I476)</f>
        <v/>
      </c>
      <c r="J26" s="242" t="str">
        <f>IF(Sheet1!J476="","",Sheet1!J476)</f>
        <v/>
      </c>
      <c r="K26" s="242" t="str">
        <f>IF(Sheet1!K476="","",Sheet1!K476)</f>
        <v/>
      </c>
      <c r="L26" s="242" t="str">
        <f>IF(Sheet1!L476="","",Sheet1!L476)</f>
        <v/>
      </c>
      <c r="M26" s="242" t="str">
        <f>IF(Sheet1!M476="","",Sheet1!M476)</f>
        <v/>
      </c>
      <c r="N26" s="242" t="str">
        <f>IF(Sheet1!N476="","",Sheet1!N476)</f>
        <v/>
      </c>
      <c r="O26" s="242" t="str">
        <f>IF(Sheet1!O476="","",Sheet1!O476)</f>
        <v/>
      </c>
      <c r="P26" s="242" t="str">
        <f>IF(Sheet1!P476="","",Sheet1!P476)</f>
        <v/>
      </c>
      <c r="Q26" s="242" t="str">
        <f>IF(Sheet1!Q476="","",Sheet1!Q476)</f>
        <v/>
      </c>
      <c r="R26" s="242" t="str">
        <f>IF(Sheet1!R476="","",Sheet1!R476)</f>
        <v/>
      </c>
      <c r="S26" s="242" t="str">
        <f>IF(Sheet1!S476="","",Sheet1!S476)</f>
        <v/>
      </c>
    </row>
    <row r="27" spans="2:19">
      <c r="B27" t="s">
        <v>720</v>
      </c>
      <c r="D27" t="s">
        <v>1678</v>
      </c>
      <c r="E27" s="242">
        <f>IF(Sheet1!E477="","",Sheet1!E477)</f>
        <v>2460</v>
      </c>
      <c r="F27" s="242" t="str">
        <f>IF(Sheet1!F477="","",Sheet1!F477)</f>
        <v/>
      </c>
      <c r="G27" s="242" t="str">
        <f>IF(Sheet1!G477="","",Sheet1!G477)</f>
        <v/>
      </c>
      <c r="H27" s="242" t="str">
        <f>IF(Sheet1!H477="","",Sheet1!H477)</f>
        <v/>
      </c>
      <c r="I27" s="242" t="str">
        <f>IF(Sheet1!I477="","",Sheet1!I477)</f>
        <v/>
      </c>
      <c r="J27" s="242" t="str">
        <f>IF(Sheet1!J477="","",Sheet1!J477)</f>
        <v/>
      </c>
      <c r="K27" s="242" t="str">
        <f>IF(Sheet1!K477="","",Sheet1!K477)</f>
        <v/>
      </c>
      <c r="L27" s="242" t="str">
        <f>IF(Sheet1!L477="","",Sheet1!L477)</f>
        <v/>
      </c>
      <c r="M27" s="242" t="str">
        <f>IF(Sheet1!M477="","",Sheet1!M477)</f>
        <v/>
      </c>
      <c r="N27" s="242" t="str">
        <f>IF(Sheet1!N477="","",Sheet1!N477)</f>
        <v/>
      </c>
      <c r="O27" s="242" t="str">
        <f>IF(Sheet1!O477="","",Sheet1!O477)</f>
        <v/>
      </c>
      <c r="P27" s="242" t="str">
        <f>IF(Sheet1!P477="","",Sheet1!P477)</f>
        <v/>
      </c>
      <c r="Q27" s="242" t="str">
        <f>IF(Sheet1!Q477="","",Sheet1!Q477)</f>
        <v/>
      </c>
      <c r="R27" s="242" t="str">
        <f>IF(Sheet1!R477="","",Sheet1!R477)</f>
        <v/>
      </c>
      <c r="S27" s="242" t="str">
        <f>IF(Sheet1!S477="","",Sheet1!S477)</f>
        <v/>
      </c>
    </row>
    <row r="28" spans="2:19">
      <c r="B28" t="s">
        <v>722</v>
      </c>
      <c r="D28" t="s">
        <v>1679</v>
      </c>
      <c r="E28" s="242">
        <f>IF(Sheet1!E478="","",Sheet1!E478)</f>
        <v>3800</v>
      </c>
      <c r="F28" s="242" t="str">
        <f>IF(Sheet1!F478="","",Sheet1!F478)</f>
        <v/>
      </c>
      <c r="G28" s="242" t="str">
        <f>IF(Sheet1!G478="","",Sheet1!G478)</f>
        <v/>
      </c>
      <c r="H28" s="242" t="str">
        <f>IF(Sheet1!H478="","",Sheet1!H478)</f>
        <v/>
      </c>
      <c r="I28" s="242" t="str">
        <f>IF(Sheet1!I478="","",Sheet1!I478)</f>
        <v/>
      </c>
      <c r="J28" s="242" t="str">
        <f>IF(Sheet1!J478="","",Sheet1!J478)</f>
        <v/>
      </c>
      <c r="K28" s="242" t="str">
        <f>IF(Sheet1!K478="","",Sheet1!K478)</f>
        <v/>
      </c>
      <c r="L28" s="242" t="str">
        <f>IF(Sheet1!L478="","",Sheet1!L478)</f>
        <v/>
      </c>
      <c r="M28" s="242" t="str">
        <f>IF(Sheet1!M478="","",Sheet1!M478)</f>
        <v/>
      </c>
      <c r="N28" s="242" t="str">
        <f>IF(Sheet1!N478="","",Sheet1!N478)</f>
        <v/>
      </c>
      <c r="O28" s="242" t="str">
        <f>IF(Sheet1!O478="","",Sheet1!O478)</f>
        <v/>
      </c>
      <c r="P28" s="242" t="str">
        <f>IF(Sheet1!P478="","",Sheet1!P478)</f>
        <v/>
      </c>
      <c r="Q28" s="242" t="str">
        <f>IF(Sheet1!Q478="","",Sheet1!Q478)</f>
        <v/>
      </c>
      <c r="R28" s="242" t="str">
        <f>IF(Sheet1!R478="","",Sheet1!R478)</f>
        <v/>
      </c>
      <c r="S28" s="242" t="str">
        <f>IF(Sheet1!S478="","",Sheet1!S478)</f>
        <v/>
      </c>
    </row>
    <row r="29" spans="2:19">
      <c r="B29" t="s">
        <v>724</v>
      </c>
      <c r="D29" t="s">
        <v>1680</v>
      </c>
      <c r="E29" s="242">
        <f>IF(Sheet1!E479="","",Sheet1!E479)</f>
        <v>3741.2280000000001</v>
      </c>
      <c r="F29" s="242">
        <f>IF(Sheet1!F479="","",Sheet1!F479)</f>
        <v>4155.7089999999998</v>
      </c>
      <c r="G29" s="242">
        <f>IF(Sheet1!G479="","",Sheet1!G479)</f>
        <v>51040.620999999999</v>
      </c>
      <c r="H29" s="242" t="str">
        <f>IF(Sheet1!H479="","",Sheet1!H479)</f>
        <v/>
      </c>
      <c r="I29" s="242" t="str">
        <f>IF(Sheet1!I479="","",Sheet1!I479)</f>
        <v/>
      </c>
      <c r="J29" s="242" t="str">
        <f>IF(Sheet1!J479="","",Sheet1!J479)</f>
        <v/>
      </c>
      <c r="K29" s="242" t="str">
        <f>IF(Sheet1!K479="","",Sheet1!K479)</f>
        <v/>
      </c>
      <c r="L29" s="242" t="str">
        <f>IF(Sheet1!L479="","",Sheet1!L479)</f>
        <v/>
      </c>
      <c r="M29" s="242" t="str">
        <f>IF(Sheet1!M479="","",Sheet1!M479)</f>
        <v/>
      </c>
      <c r="N29" s="242" t="str">
        <f>IF(Sheet1!N479="","",Sheet1!N479)</f>
        <v/>
      </c>
      <c r="O29" s="242" t="str">
        <f>IF(Sheet1!O479="","",Sheet1!O479)</f>
        <v/>
      </c>
      <c r="P29" s="242" t="str">
        <f>IF(Sheet1!P479="","",Sheet1!P479)</f>
        <v/>
      </c>
      <c r="Q29" s="242" t="str">
        <f>IF(Sheet1!Q479="","",Sheet1!Q479)</f>
        <v/>
      </c>
      <c r="R29" s="242" t="str">
        <f>IF(Sheet1!R479="","",Sheet1!R479)</f>
        <v/>
      </c>
      <c r="S29" s="242" t="str">
        <f>IF(Sheet1!S479="","",Sheet1!S479)</f>
        <v/>
      </c>
    </row>
    <row r="30" spans="2:19">
      <c r="B30" t="s">
        <v>726</v>
      </c>
      <c r="D30" t="s">
        <v>1681</v>
      </c>
      <c r="E30" s="242">
        <f>IF(Sheet1!E480="","",Sheet1!E480)</f>
        <v>937.25027631366061</v>
      </c>
      <c r="F30" s="242" t="str">
        <f>IF(Sheet1!F480="","",Sheet1!F480)</f>
        <v/>
      </c>
      <c r="G30" s="242" t="str">
        <f>IF(Sheet1!G480="","",Sheet1!G480)</f>
        <v/>
      </c>
      <c r="H30" s="242" t="str">
        <f>IF(Sheet1!H480="","",Sheet1!H480)</f>
        <v/>
      </c>
      <c r="I30" s="242" t="str">
        <f>IF(Sheet1!I480="","",Sheet1!I480)</f>
        <v/>
      </c>
      <c r="J30" s="242" t="str">
        <f>IF(Sheet1!J480="","",Sheet1!J480)</f>
        <v/>
      </c>
      <c r="K30" s="242" t="str">
        <f>IF(Sheet1!K480="","",Sheet1!K480)</f>
        <v/>
      </c>
      <c r="L30" s="242" t="str">
        <f>IF(Sheet1!L480="","",Sheet1!L480)</f>
        <v/>
      </c>
      <c r="M30" s="242" t="str">
        <f>IF(Sheet1!M480="","",Sheet1!M480)</f>
        <v/>
      </c>
      <c r="N30" s="242" t="str">
        <f>IF(Sheet1!N480="","",Sheet1!N480)</f>
        <v/>
      </c>
      <c r="O30" s="242" t="str">
        <f>IF(Sheet1!O480="","",Sheet1!O480)</f>
        <v/>
      </c>
      <c r="P30" s="242" t="str">
        <f>IF(Sheet1!P480="","",Sheet1!P480)</f>
        <v/>
      </c>
      <c r="Q30" s="242" t="str">
        <f>IF(Sheet1!Q480="","",Sheet1!Q480)</f>
        <v/>
      </c>
      <c r="R30" s="242" t="str">
        <f>IF(Sheet1!R480="","",Sheet1!R480)</f>
        <v/>
      </c>
      <c r="S30" s="242" t="str">
        <f>IF(Sheet1!S480="","",Sheet1!S480)</f>
        <v/>
      </c>
    </row>
    <row r="31" spans="2:19" ht="20.100000000000001" customHeight="1">
      <c r="B31" s="3" t="s">
        <v>1682</v>
      </c>
      <c r="C31" s="3"/>
      <c r="D31" s="3"/>
      <c r="E31" s="2"/>
      <c r="F31" s="2"/>
      <c r="G31" s="2"/>
      <c r="H31" s="2"/>
      <c r="I31" s="2"/>
      <c r="J31" s="2"/>
      <c r="K31" s="2"/>
      <c r="L31" s="2"/>
      <c r="M31" s="2"/>
      <c r="N31" s="2"/>
      <c r="O31" s="2"/>
      <c r="P31" s="2"/>
      <c r="Q31" s="2"/>
      <c r="R31" s="2"/>
      <c r="S31" s="2"/>
    </row>
    <row r="32" spans="2:19">
      <c r="B32" t="s">
        <v>575</v>
      </c>
      <c r="D32" t="s">
        <v>1262</v>
      </c>
      <c r="E32" s="242">
        <f>IF(Sheet1!E350="","",Sheet1!E350)</f>
        <v>73.62645327333135</v>
      </c>
      <c r="F32" s="242">
        <f>IF(Sheet1!F350="","",Sheet1!F350)</f>
        <v>92.349194415865327</v>
      </c>
      <c r="G32" s="242">
        <f>IF(Sheet1!G350="","",Sheet1!G350)</f>
        <v>123.64696507162699</v>
      </c>
      <c r="H32" s="242">
        <f>IF(Sheet1!H350="","",Sheet1!H350)</f>
        <v>151.87514388914974</v>
      </c>
      <c r="I32" s="242">
        <f>IF(Sheet1!I350="","",Sheet1!I350)</f>
        <v>164.05038797500762</v>
      </c>
      <c r="J32" s="242">
        <f>IF(Sheet1!J350="","",Sheet1!J350)</f>
        <v>182.55846341632301</v>
      </c>
      <c r="K32" s="242">
        <f>IF(Sheet1!K350="","",Sheet1!K350)</f>
        <v>209.6089104544246</v>
      </c>
      <c r="L32" s="242">
        <f>IF(Sheet1!L350="","",Sheet1!L350)</f>
        <v>228.04639266419341</v>
      </c>
      <c r="M32" s="242">
        <f>IF(Sheet1!M350="","",Sheet1!M350)</f>
        <v>257.07327707350373</v>
      </c>
      <c r="N32" s="242">
        <f>IF(Sheet1!N350="","",Sheet1!N350)</f>
        <v>286.02665357684754</v>
      </c>
      <c r="O32" s="242">
        <f>IF(Sheet1!O350="","",Sheet1!O350)</f>
        <v>312.97075481411417</v>
      </c>
      <c r="P32" s="242">
        <f>IF(Sheet1!P350="","",Sheet1!P350)</f>
        <v>340.94113686919377</v>
      </c>
      <c r="Q32" s="242">
        <f>IF(Sheet1!Q350="","",Sheet1!Q350)</f>
        <v>369.15628001207779</v>
      </c>
      <c r="R32" s="242">
        <f>IF(Sheet1!R350="","",Sheet1!R350)</f>
        <v>397.27354473606584</v>
      </c>
      <c r="S32" s="242">
        <f>IF(Sheet1!S350="","",Sheet1!S350)</f>
        <v>424.92242055542465</v>
      </c>
    </row>
    <row r="33" spans="2:19">
      <c r="B33" t="s">
        <v>576</v>
      </c>
      <c r="D33" t="s">
        <v>1263</v>
      </c>
      <c r="E33" s="242">
        <f>IF(Sheet1!E351="","",Sheet1!E351)</f>
        <v>608.17786207776373</v>
      </c>
      <c r="F33" s="242">
        <f>IF(Sheet1!F351="","",Sheet1!F351)</f>
        <v>726.35026011689763</v>
      </c>
      <c r="G33" s="242">
        <f>IF(Sheet1!G351="","",Sheet1!G351)</f>
        <v>839.79498045275375</v>
      </c>
      <c r="H33" s="242">
        <f>IF(Sheet1!H351="","",Sheet1!H351)</f>
        <v>976.42086606201781</v>
      </c>
      <c r="I33" s="242">
        <f>IF(Sheet1!I351="","",Sheet1!I351)</f>
        <v>1126.2455543401304</v>
      </c>
      <c r="J33" s="242">
        <f>IF(Sheet1!J351="","",Sheet1!J351)</f>
        <v>1275.993940161452</v>
      </c>
      <c r="K33" s="242">
        <f>IF(Sheet1!K351="","",Sheet1!K351)</f>
        <v>1393.9689945983923</v>
      </c>
      <c r="L33" s="242">
        <f>IF(Sheet1!L351="","",Sheet1!L351)</f>
        <v>1572.9793048376007</v>
      </c>
      <c r="M33" s="242">
        <f>IF(Sheet1!M351="","",Sheet1!M351)</f>
        <v>1768.4800558917718</v>
      </c>
      <c r="N33" s="242">
        <f>IF(Sheet1!N351="","",Sheet1!N351)</f>
        <v>1977.3847263465682</v>
      </c>
      <c r="O33" s="242">
        <f>IF(Sheet1!O351="","",Sheet1!O351)</f>
        <v>2204.547485087628</v>
      </c>
      <c r="P33" s="242">
        <f>IF(Sheet1!P351="","",Sheet1!P351)</f>
        <v>2420.3003200311764</v>
      </c>
      <c r="Q33" s="242">
        <f>IF(Sheet1!Q351="","",Sheet1!Q351)</f>
        <v>2618.986031608657</v>
      </c>
      <c r="R33" s="242">
        <f>IF(Sheet1!R351="","",Sheet1!R351)</f>
        <v>2813.2236223380801</v>
      </c>
      <c r="S33" s="242">
        <f>IF(Sheet1!S351="","",Sheet1!S351)</f>
        <v>2999.7819160518652</v>
      </c>
    </row>
    <row r="34" spans="2:19">
      <c r="B34" t="s">
        <v>577</v>
      </c>
      <c r="D34" t="s">
        <v>1375</v>
      </c>
      <c r="E34" s="242">
        <f>IF(Sheet1!E352="","",Sheet1!E352)</f>
        <v>14.872371971184249</v>
      </c>
      <c r="F34" s="242">
        <f>IF(Sheet1!F352="","",Sheet1!F352)</f>
        <v>11.857168943661973</v>
      </c>
      <c r="G34" s="242">
        <f>IF(Sheet1!G352="","",Sheet1!G352)</f>
        <v>8.8558582846387015</v>
      </c>
      <c r="H34" s="242">
        <f>IF(Sheet1!H352="","",Sheet1!H352)</f>
        <v>7.2098697124475875</v>
      </c>
      <c r="I34" s="242">
        <f>IF(Sheet1!I352="","",Sheet1!I352)</f>
        <v>6.6747784843204307</v>
      </c>
      <c r="J34" s="242">
        <f>IF(Sheet1!J352="","",Sheet1!J352)</f>
        <v>5.9980785306176791</v>
      </c>
      <c r="K34" s="242">
        <f>IF(Sheet1!K352="","",Sheet1!K352)</f>
        <v>5.2240145594291736</v>
      </c>
      <c r="L34" s="242">
        <f>IF(Sheet1!L352="","",Sheet1!L352)</f>
        <v>4.8016545546169951</v>
      </c>
      <c r="M34" s="242">
        <f>IF(Sheet1!M352="","",Sheet1!M352)</f>
        <v>4.2594859040401616</v>
      </c>
      <c r="N34" s="242">
        <f>IF(Sheet1!N352="","",Sheet1!N352)</f>
        <v>3.8283145514821872</v>
      </c>
      <c r="O34" s="242">
        <f>IF(Sheet1!O352="","",Sheet1!O352)</f>
        <v>3.4987294600428855</v>
      </c>
      <c r="P34" s="242">
        <f>IF(Sheet1!P352="","",Sheet1!P352)</f>
        <v>3.2116980956161654</v>
      </c>
      <c r="Q34" s="242">
        <f>IF(Sheet1!Q352="","",Sheet1!Q352)</f>
        <v>2.9662234107575647</v>
      </c>
      <c r="R34" s="242">
        <f>IF(Sheet1!R352="","",Sheet1!R352)</f>
        <v>2.7562872345992191</v>
      </c>
      <c r="S34" s="242">
        <f>IF(Sheet1!S352="","",Sheet1!S352)</f>
        <v>2.576940982706216</v>
      </c>
    </row>
    <row r="35" spans="2:19">
      <c r="B35" t="s">
        <v>578</v>
      </c>
      <c r="D35" t="s">
        <v>1376</v>
      </c>
      <c r="E35" s="242">
        <f>IF(Sheet1!E353="","",Sheet1!E353)</f>
        <v>1.8004601421351794</v>
      </c>
      <c r="F35" s="242">
        <f>IF(Sheet1!F353="","",Sheet1!F353)</f>
        <v>1.5075371485704052</v>
      </c>
      <c r="G35" s="242">
        <f>IF(Sheet1!G353="","",Sheet1!G353)</f>
        <v>1.3038896700831184</v>
      </c>
      <c r="H35" s="242">
        <f>IF(Sheet1!H353="","",Sheet1!H353)</f>
        <v>1.1214426463623428</v>
      </c>
      <c r="I35" s="242">
        <f>IF(Sheet1!I353="","",Sheet1!I353)</f>
        <v>0.97225688996531734</v>
      </c>
      <c r="J35" s="242">
        <f>IF(Sheet1!J353="","",Sheet1!J353)</f>
        <v>0.85815454567241067</v>
      </c>
      <c r="K35" s="242">
        <f>IF(Sheet1!K353="","",Sheet1!K353)</f>
        <v>0.7855267973987281</v>
      </c>
      <c r="L35" s="242">
        <f>IF(Sheet1!L353="","",Sheet1!L353)</f>
        <v>0.69613121840344316</v>
      </c>
      <c r="M35" s="242">
        <f>IF(Sheet1!M353="","",Sheet1!M353)</f>
        <v>0.61917576980976274</v>
      </c>
      <c r="N35" s="242">
        <f>IF(Sheet1!N353="","",Sheet1!N353)</f>
        <v>0.55376173660607297</v>
      </c>
      <c r="O35" s="242">
        <f>IF(Sheet1!O353="","",Sheet1!O353)</f>
        <v>0.49670057343150181</v>
      </c>
      <c r="P35" s="242">
        <f>IF(Sheet1!P353="","",Sheet1!P353)</f>
        <v>0.45242319349273774</v>
      </c>
      <c r="Q35" s="242">
        <f>IF(Sheet1!Q353="","",Sheet1!Q353)</f>
        <v>0.41810074081510823</v>
      </c>
      <c r="R35" s="242">
        <f>IF(Sheet1!R353="","",Sheet1!R353)</f>
        <v>0.38923318832718373</v>
      </c>
      <c r="S35" s="242">
        <f>IF(Sheet1!S353="","",Sheet1!S353)</f>
        <v>0.36502653547601022</v>
      </c>
    </row>
    <row r="36" spans="2:19">
      <c r="B36" t="s">
        <v>633</v>
      </c>
      <c r="D36" t="s">
        <v>1251</v>
      </c>
      <c r="E36" s="242">
        <f>IF(Sheet1!E409="","",Sheet1!E409)</f>
        <v>1.4742427406059562</v>
      </c>
      <c r="F36" s="242" t="str">
        <f>IF(Sheet1!F409="","",Sheet1!F409)</f>
        <v/>
      </c>
      <c r="G36" s="242" t="str">
        <f>IF(Sheet1!G409="","",Sheet1!G409)</f>
        <v/>
      </c>
      <c r="H36" s="242" t="str">
        <f>IF(Sheet1!H409="","",Sheet1!H409)</f>
        <v/>
      </c>
      <c r="I36" s="242" t="str">
        <f>IF(Sheet1!I409="","",Sheet1!I409)</f>
        <v/>
      </c>
      <c r="J36" s="242" t="str">
        <f>IF(Sheet1!J409="","",Sheet1!J409)</f>
        <v/>
      </c>
      <c r="K36" s="242" t="str">
        <f>IF(Sheet1!K409="","",Sheet1!K409)</f>
        <v/>
      </c>
      <c r="L36" s="242" t="str">
        <f>IF(Sheet1!L409="","",Sheet1!L409)</f>
        <v/>
      </c>
      <c r="M36" s="242" t="str">
        <f>IF(Sheet1!M409="","",Sheet1!M409)</f>
        <v/>
      </c>
      <c r="N36" s="242" t="str">
        <f>IF(Sheet1!N409="","",Sheet1!N409)</f>
        <v/>
      </c>
      <c r="O36" s="242" t="str">
        <f>IF(Sheet1!O409="","",Sheet1!O409)</f>
        <v/>
      </c>
      <c r="P36" s="242" t="str">
        <f>IF(Sheet1!P409="","",Sheet1!P409)</f>
        <v/>
      </c>
      <c r="Q36" s="242" t="str">
        <f>IF(Sheet1!Q409="","",Sheet1!Q409)</f>
        <v/>
      </c>
      <c r="R36" s="242" t="str">
        <f>IF(Sheet1!R409="","",Sheet1!R409)</f>
        <v/>
      </c>
      <c r="S36" s="242" t="str">
        <f>IF(Sheet1!S409="","",Sheet1!S409)</f>
        <v/>
      </c>
    </row>
    <row r="37" spans="2:19">
      <c r="B37" t="s">
        <v>634</v>
      </c>
      <c r="D37" t="s">
        <v>1252</v>
      </c>
      <c r="E37" s="242">
        <f>IF(Sheet1!E410="","",Sheet1!E410)</f>
        <v>8.9744505577649356</v>
      </c>
      <c r="F37" s="242" t="str">
        <f>IF(Sheet1!F410="","",Sheet1!F410)</f>
        <v/>
      </c>
      <c r="G37" s="242" t="str">
        <f>IF(Sheet1!G410="","",Sheet1!G410)</f>
        <v/>
      </c>
      <c r="H37" s="242" t="str">
        <f>IF(Sheet1!H410="","",Sheet1!H410)</f>
        <v/>
      </c>
      <c r="I37" s="242" t="str">
        <f>IF(Sheet1!I410="","",Sheet1!I410)</f>
        <v/>
      </c>
      <c r="J37" s="242" t="str">
        <f>IF(Sheet1!J410="","",Sheet1!J410)</f>
        <v/>
      </c>
      <c r="K37" s="242" t="str">
        <f>IF(Sheet1!K410="","",Sheet1!K410)</f>
        <v/>
      </c>
      <c r="L37" s="242" t="str">
        <f>IF(Sheet1!L410="","",Sheet1!L410)</f>
        <v/>
      </c>
      <c r="M37" s="242" t="str">
        <f>IF(Sheet1!M410="","",Sheet1!M410)</f>
        <v/>
      </c>
      <c r="N37" s="242" t="str">
        <f>IF(Sheet1!N410="","",Sheet1!N410)</f>
        <v/>
      </c>
      <c r="O37" s="242" t="str">
        <f>IF(Sheet1!O410="","",Sheet1!O410)</f>
        <v/>
      </c>
      <c r="P37" s="242" t="str">
        <f>IF(Sheet1!P410="","",Sheet1!P410)</f>
        <v/>
      </c>
      <c r="Q37" s="242" t="str">
        <f>IF(Sheet1!Q410="","",Sheet1!Q410)</f>
        <v/>
      </c>
      <c r="R37" s="242" t="str">
        <f>IF(Sheet1!R410="","",Sheet1!R410)</f>
        <v/>
      </c>
      <c r="S37" s="242" t="str">
        <f>IF(Sheet1!S410="","",Sheet1!S410)</f>
        <v/>
      </c>
    </row>
    <row r="38" spans="2:19">
      <c r="B38" t="s">
        <v>635</v>
      </c>
      <c r="D38" t="s">
        <v>1253</v>
      </c>
      <c r="E38" s="242">
        <f>IF(Sheet1!E411="","",Sheet1!E411)</f>
        <v>1142.266280151722</v>
      </c>
      <c r="F38" s="242">
        <f>IF(Sheet1!F411="","",Sheet1!F411)</f>
        <v>0.7</v>
      </c>
      <c r="G38" s="242" t="str">
        <f>IF(Sheet1!G411="","",Sheet1!G411)</f>
        <v/>
      </c>
      <c r="H38" s="242" t="str">
        <f>IF(Sheet1!H411="","",Sheet1!H411)</f>
        <v/>
      </c>
      <c r="I38" s="242" t="str">
        <f>IF(Sheet1!I411="","",Sheet1!I411)</f>
        <v/>
      </c>
      <c r="J38" s="242" t="str">
        <f>IF(Sheet1!J411="","",Sheet1!J411)</f>
        <v/>
      </c>
      <c r="K38" s="242" t="str">
        <f>IF(Sheet1!K411="","",Sheet1!K411)</f>
        <v/>
      </c>
      <c r="L38" s="242" t="str">
        <f>IF(Sheet1!L411="","",Sheet1!L411)</f>
        <v/>
      </c>
      <c r="M38" s="242" t="str">
        <f>IF(Sheet1!M411="","",Sheet1!M411)</f>
        <v/>
      </c>
      <c r="N38" s="242" t="str">
        <f>IF(Sheet1!N411="","",Sheet1!N411)</f>
        <v/>
      </c>
      <c r="O38" s="242" t="str">
        <f>IF(Sheet1!O411="","",Sheet1!O411)</f>
        <v/>
      </c>
      <c r="P38" s="242" t="str">
        <f>IF(Sheet1!P411="","",Sheet1!P411)</f>
        <v/>
      </c>
      <c r="Q38" s="242" t="str">
        <f>IF(Sheet1!Q411="","",Sheet1!Q411)</f>
        <v/>
      </c>
      <c r="R38" s="242" t="str">
        <f>IF(Sheet1!R411="","",Sheet1!R411)</f>
        <v/>
      </c>
      <c r="S38" s="242" t="str">
        <f>IF(Sheet1!S411="","",Sheet1!S411)</f>
        <v/>
      </c>
    </row>
    <row r="39" spans="2:19">
      <c r="B39" t="s">
        <v>638</v>
      </c>
      <c r="D39" t="s">
        <v>1387</v>
      </c>
      <c r="E39" s="242">
        <f>IF(Sheet1!E413="","",Sheet1!E413)</f>
        <v>0.97225688996531734</v>
      </c>
      <c r="F39" s="242" t="str">
        <f>IF(Sheet1!F413="","",Sheet1!F413)</f>
        <v/>
      </c>
      <c r="G39" s="242" t="str">
        <f>IF(Sheet1!G413="","",Sheet1!G413)</f>
        <v/>
      </c>
      <c r="H39" s="242" t="str">
        <f>IF(Sheet1!H413="","",Sheet1!H413)</f>
        <v/>
      </c>
      <c r="I39" s="242" t="str">
        <f>IF(Sheet1!I413="","",Sheet1!I413)</f>
        <v/>
      </c>
      <c r="J39" s="242" t="str">
        <f>IF(Sheet1!J413="","",Sheet1!J413)</f>
        <v/>
      </c>
      <c r="K39" s="242" t="str">
        <f>IF(Sheet1!K413="","",Sheet1!K413)</f>
        <v/>
      </c>
      <c r="L39" s="242" t="str">
        <f>IF(Sheet1!L413="","",Sheet1!L413)</f>
        <v/>
      </c>
      <c r="M39" s="242" t="str">
        <f>IF(Sheet1!M413="","",Sheet1!M413)</f>
        <v/>
      </c>
      <c r="N39" s="242" t="str">
        <f>IF(Sheet1!N413="","",Sheet1!N413)</f>
        <v/>
      </c>
      <c r="O39" s="242" t="str">
        <f>IF(Sheet1!O413="","",Sheet1!O413)</f>
        <v/>
      </c>
      <c r="P39" s="242" t="str">
        <f>IF(Sheet1!P413="","",Sheet1!P413)</f>
        <v/>
      </c>
      <c r="Q39" s="242" t="str">
        <f>IF(Sheet1!Q413="","",Sheet1!Q413)</f>
        <v/>
      </c>
      <c r="R39" s="242" t="str">
        <f>IF(Sheet1!R413="","",Sheet1!R413)</f>
        <v/>
      </c>
      <c r="S39" s="242" t="str">
        <f>IF(Sheet1!S413="","",Sheet1!S413)</f>
        <v/>
      </c>
    </row>
    <row r="40" spans="2:19">
      <c r="B40" t="s">
        <v>640</v>
      </c>
      <c r="D40" t="s">
        <v>1389</v>
      </c>
      <c r="E40" s="242">
        <f>IF(Sheet1!E415="","",Sheet1!E415)</f>
        <v>1.258064516129032</v>
      </c>
      <c r="F40" s="242" t="str">
        <f>IF(Sheet1!F415="","",Sheet1!F415)</f>
        <v/>
      </c>
      <c r="G40" s="242" t="str">
        <f>IF(Sheet1!G415="","",Sheet1!G415)</f>
        <v/>
      </c>
      <c r="H40" s="242" t="str">
        <f>IF(Sheet1!H415="","",Sheet1!H415)</f>
        <v/>
      </c>
      <c r="I40" s="242" t="str">
        <f>IF(Sheet1!I415="","",Sheet1!I415)</f>
        <v/>
      </c>
      <c r="J40" s="242" t="str">
        <f>IF(Sheet1!J415="","",Sheet1!J415)</f>
        <v/>
      </c>
      <c r="K40" s="242" t="str">
        <f>IF(Sheet1!K415="","",Sheet1!K415)</f>
        <v/>
      </c>
      <c r="L40" s="242" t="str">
        <f>IF(Sheet1!L415="","",Sheet1!L415)</f>
        <v/>
      </c>
      <c r="M40" s="242" t="str">
        <f>IF(Sheet1!M415="","",Sheet1!M415)</f>
        <v/>
      </c>
      <c r="N40" s="242" t="str">
        <f>IF(Sheet1!N415="","",Sheet1!N415)</f>
        <v/>
      </c>
      <c r="O40" s="242" t="str">
        <f>IF(Sheet1!O415="","",Sheet1!O415)</f>
        <v/>
      </c>
      <c r="P40" s="242" t="str">
        <f>IF(Sheet1!P415="","",Sheet1!P415)</f>
        <v/>
      </c>
      <c r="Q40" s="242" t="str">
        <f>IF(Sheet1!Q415="","",Sheet1!Q415)</f>
        <v/>
      </c>
      <c r="R40" s="242" t="str">
        <f>IF(Sheet1!R415="","",Sheet1!R415)</f>
        <v/>
      </c>
      <c r="S40" s="242" t="str">
        <f>IF(Sheet1!S415="","",Sheet1!S415)</f>
        <v/>
      </c>
    </row>
    <row r="41" spans="2:19">
      <c r="E41" s="242"/>
      <c r="F41" s="242"/>
      <c r="G41" s="242"/>
      <c r="H41" s="242"/>
      <c r="I41" s="242"/>
      <c r="J41" s="242"/>
      <c r="K41" s="242"/>
      <c r="L41" s="242"/>
      <c r="M41" s="242"/>
      <c r="N41" s="242"/>
      <c r="O41" s="242"/>
      <c r="P41" s="242"/>
      <c r="Q41" s="242"/>
      <c r="R41" s="242"/>
      <c r="S41" s="242"/>
    </row>
  </sheetData>
  <mergeCells count="4">
    <mergeCell ref="A1:U2"/>
    <mergeCell ref="A3:U3"/>
    <mergeCell ref="B6:S6"/>
    <mergeCell ref="B31:S31"/>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71"/>
  <sheetViews>
    <sheetView workbookViewId="0">
      <pane ySplit="5" topLeftCell="A6" activePane="bottomLeft" state="frozen"/>
      <selection pane="bottomLeft"/>
    </sheetView>
  </sheetViews>
  <sheetFormatPr defaultRowHeight="12.75"/>
  <cols>
    <col min="1" max="1" width="6" customWidth="1"/>
    <col min="2" max="2" width="53" customWidth="1"/>
    <col min="3" max="3" width="13" customWidth="1"/>
    <col min="4" max="4" width="14" customWidth="1"/>
    <col min="5" max="21" width="13" customWidth="1"/>
  </cols>
  <sheetData>
    <row r="1" spans="1:21" ht="23.1" customHeight="1">
      <c r="A1" s="5" t="s">
        <v>1683</v>
      </c>
      <c r="B1" s="5"/>
      <c r="C1" s="5"/>
      <c r="D1" s="5"/>
      <c r="E1" s="5"/>
      <c r="F1" s="5"/>
      <c r="G1" s="5"/>
      <c r="H1" s="5"/>
      <c r="I1" s="5"/>
      <c r="J1" s="5"/>
      <c r="K1" s="5"/>
      <c r="L1" s="5"/>
      <c r="M1" s="5"/>
      <c r="N1" s="5"/>
      <c r="O1" s="5"/>
      <c r="P1" s="5"/>
      <c r="Q1" s="5"/>
      <c r="R1" s="5"/>
      <c r="S1" s="5"/>
      <c r="T1" s="5"/>
      <c r="U1" s="5"/>
    </row>
    <row r="2" spans="1:21" ht="23.1" customHeight="1">
      <c r="A2" s="5"/>
      <c r="B2" s="5"/>
      <c r="C2" s="5"/>
      <c r="D2" s="5"/>
      <c r="E2" s="5"/>
      <c r="F2" s="5"/>
      <c r="G2" s="5"/>
      <c r="H2" s="5"/>
      <c r="I2" s="5"/>
      <c r="J2" s="5"/>
      <c r="K2" s="5"/>
      <c r="L2" s="5"/>
      <c r="M2" s="5"/>
      <c r="N2" s="5"/>
      <c r="O2" s="5"/>
      <c r="P2" s="5"/>
      <c r="Q2" s="5"/>
      <c r="R2" s="5"/>
      <c r="S2" s="5"/>
      <c r="T2" s="5"/>
      <c r="U2" s="5"/>
    </row>
    <row r="3" spans="1:21" ht="24" customHeight="1">
      <c r="A3" s="4" t="s">
        <v>1684</v>
      </c>
      <c r="B3" s="4"/>
      <c r="C3" s="4"/>
      <c r="D3" s="4"/>
      <c r="E3" s="4"/>
      <c r="F3" s="4"/>
      <c r="G3" s="4"/>
      <c r="H3" s="4"/>
      <c r="I3" s="4"/>
      <c r="J3" s="4"/>
      <c r="K3" s="4"/>
      <c r="L3" s="4"/>
      <c r="M3" s="4"/>
      <c r="N3" s="4"/>
      <c r="O3" s="4"/>
      <c r="P3" s="4"/>
      <c r="Q3" s="4"/>
      <c r="R3" s="4"/>
      <c r="S3" s="4"/>
      <c r="T3" s="4"/>
      <c r="U3" s="4"/>
    </row>
    <row r="5" spans="1:21" ht="26.1" customHeight="1">
      <c r="B5" s="241" t="s">
        <v>1233</v>
      </c>
      <c r="C5" s="241" t="s">
        <v>1234</v>
      </c>
      <c r="D5" s="241" t="s">
        <v>1235</v>
      </c>
      <c r="E5" s="241" t="str">
        <f>Sheet1!E40</f>
        <v>FY21A</v>
      </c>
      <c r="F5" s="241" t="str">
        <f>Sheet1!F40</f>
        <v>FY22A</v>
      </c>
      <c r="G5" s="241" t="str">
        <f>Sheet1!G40</f>
        <v>FY23A</v>
      </c>
      <c r="H5" s="241" t="str">
        <f>Sheet1!H40</f>
        <v>FY24A</v>
      </c>
      <c r="I5" s="241" t="str">
        <f>Sheet1!I40</f>
        <v>FY25A</v>
      </c>
      <c r="J5" s="241" t="str">
        <f>Sheet1!J40</f>
        <v>FY26E</v>
      </c>
      <c r="K5" s="241" t="str">
        <f>Sheet1!K40</f>
        <v>FY27E</v>
      </c>
      <c r="L5" s="241" t="str">
        <f>Sheet1!L40</f>
        <v>FY28E</v>
      </c>
      <c r="M5" s="241" t="str">
        <f>Sheet1!M40</f>
        <v>FY29E</v>
      </c>
      <c r="N5" s="241" t="str">
        <f>Sheet1!N40</f>
        <v>FY30E</v>
      </c>
      <c r="O5" s="241" t="str">
        <f>Sheet1!O40</f>
        <v>FY31E</v>
      </c>
      <c r="P5" s="241" t="str">
        <f>Sheet1!P40</f>
        <v>FY32E</v>
      </c>
      <c r="Q5" s="241" t="str">
        <f>Sheet1!Q40</f>
        <v>FY33E</v>
      </c>
      <c r="R5" s="241" t="str">
        <f>Sheet1!R40</f>
        <v>FY34E</v>
      </c>
      <c r="S5" s="241" t="str">
        <f>Sheet1!S40</f>
        <v>FY35E</v>
      </c>
    </row>
    <row r="6" spans="1:21" ht="20.100000000000001" customHeight="1">
      <c r="B6" s="3" t="s">
        <v>1685</v>
      </c>
      <c r="C6" s="3"/>
      <c r="D6" s="3"/>
      <c r="E6" s="2"/>
      <c r="F6" s="2"/>
      <c r="G6" s="2"/>
      <c r="H6" s="2"/>
      <c r="I6" s="2"/>
      <c r="J6" s="2"/>
      <c r="K6" s="2"/>
      <c r="L6" s="2"/>
      <c r="M6" s="2"/>
      <c r="N6" s="2"/>
      <c r="O6" s="2"/>
      <c r="P6" s="2"/>
      <c r="Q6" s="2"/>
      <c r="R6" s="2"/>
      <c r="S6" s="2"/>
    </row>
    <row r="7" spans="1:21">
      <c r="B7" t="s">
        <v>163</v>
      </c>
      <c r="D7" t="s">
        <v>1686</v>
      </c>
      <c r="E7" s="242">
        <f>IF(Sheet1!E3="","",Sheet1!E3)</f>
        <v>2</v>
      </c>
      <c r="F7" s="242" t="str">
        <f>IF(Sheet1!F3="","",Sheet1!F3)</f>
        <v/>
      </c>
      <c r="G7" s="242" t="str">
        <f>IF(Sheet1!G3="","",Sheet1!G3)</f>
        <v/>
      </c>
      <c r="H7" s="242" t="str">
        <f>IF(Sheet1!H3="","",Sheet1!H3)</f>
        <v/>
      </c>
      <c r="I7" s="242" t="str">
        <f>IF(Sheet1!I3="","",Sheet1!I3)</f>
        <v/>
      </c>
      <c r="J7" s="242" t="str">
        <f>IF(Sheet1!J3="","",Sheet1!J3)</f>
        <v/>
      </c>
      <c r="K7" s="242" t="str">
        <f>IF(Sheet1!K3="","",Sheet1!K3)</f>
        <v/>
      </c>
      <c r="L7" s="242" t="str">
        <f>IF(Sheet1!L3="","",Sheet1!L3)</f>
        <v/>
      </c>
      <c r="M7" s="242" t="str">
        <f>IF(Sheet1!M3="","",Sheet1!M3)</f>
        <v/>
      </c>
      <c r="N7" s="242" t="str">
        <f>IF(Sheet1!N3="","",Sheet1!N3)</f>
        <v/>
      </c>
      <c r="O7" s="242" t="str">
        <f>IF(Sheet1!O3="","",Sheet1!O3)</f>
        <v/>
      </c>
      <c r="P7" s="242" t="str">
        <f>IF(Sheet1!P3="","",Sheet1!P3)</f>
        <v/>
      </c>
      <c r="Q7" s="242" t="str">
        <f>IF(Sheet1!Q3="","",Sheet1!Q3)</f>
        <v/>
      </c>
      <c r="R7" s="242" t="str">
        <f>IF(Sheet1!R3="","",Sheet1!R3)</f>
        <v/>
      </c>
      <c r="S7" s="242" t="str">
        <f>IF(Sheet1!S3="","",Sheet1!S3)</f>
        <v/>
      </c>
    </row>
    <row r="8" spans="1:21">
      <c r="B8" t="s">
        <v>166</v>
      </c>
      <c r="D8" t="s">
        <v>1687</v>
      </c>
      <c r="E8" s="242" t="str">
        <f>IF(Sheet1!E4="","",Sheet1!E4)</f>
        <v>Base</v>
      </c>
      <c r="F8" s="242" t="str">
        <f>IF(Sheet1!F4="","",Sheet1!F4)</f>
        <v/>
      </c>
      <c r="G8" s="242" t="str">
        <f>IF(Sheet1!G4="","",Sheet1!G4)</f>
        <v/>
      </c>
      <c r="H8" s="242" t="str">
        <f>IF(Sheet1!H4="","",Sheet1!H4)</f>
        <v/>
      </c>
      <c r="I8" s="242" t="str">
        <f>IF(Sheet1!I4="","",Sheet1!I4)</f>
        <v/>
      </c>
      <c r="J8" s="242" t="str">
        <f>IF(Sheet1!J4="","",Sheet1!J4)</f>
        <v/>
      </c>
      <c r="K8" s="242" t="str">
        <f>IF(Sheet1!K4="","",Sheet1!K4)</f>
        <v/>
      </c>
      <c r="L8" s="242" t="str">
        <f>IF(Sheet1!L4="","",Sheet1!L4)</f>
        <v/>
      </c>
      <c r="M8" s="242" t="str">
        <f>IF(Sheet1!M4="","",Sheet1!M4)</f>
        <v/>
      </c>
      <c r="N8" s="242" t="str">
        <f>IF(Sheet1!N4="","",Sheet1!N4)</f>
        <v/>
      </c>
      <c r="O8" s="242" t="str">
        <f>IF(Sheet1!O4="","",Sheet1!O4)</f>
        <v/>
      </c>
      <c r="P8" s="242" t="str">
        <f>IF(Sheet1!P4="","",Sheet1!P4)</f>
        <v/>
      </c>
      <c r="Q8" s="242" t="str">
        <f>IF(Sheet1!Q4="","",Sheet1!Q4)</f>
        <v/>
      </c>
      <c r="R8" s="242" t="str">
        <f>IF(Sheet1!R4="","",Sheet1!R4)</f>
        <v/>
      </c>
      <c r="S8" s="242" t="str">
        <f>IF(Sheet1!S4="","",Sheet1!S4)</f>
        <v/>
      </c>
    </row>
    <row r="9" spans="1:21">
      <c r="B9" t="s">
        <v>167</v>
      </c>
      <c r="D9" t="s">
        <v>1688</v>
      </c>
      <c r="E9" s="242">
        <f>IF(Sheet1!E5="","",Sheet1!E5)</f>
        <v>0.29166666666666669</v>
      </c>
      <c r="F9" s="242">
        <f>IF(Sheet1!F5="","",Sheet1!F5)</f>
        <v>0.5</v>
      </c>
      <c r="G9" s="242">
        <f>IF(Sheet1!G5="","",Sheet1!G5)</f>
        <v>0.20833333333333334</v>
      </c>
      <c r="H9" s="242" t="str">
        <f>IF(Sheet1!H5="","",Sheet1!H5)</f>
        <v/>
      </c>
      <c r="I9" s="242" t="str">
        <f>IF(Sheet1!I5="","",Sheet1!I5)</f>
        <v/>
      </c>
      <c r="J9" s="242" t="str">
        <f>IF(Sheet1!J5="","",Sheet1!J5)</f>
        <v/>
      </c>
      <c r="K9" s="242" t="str">
        <f>IF(Sheet1!K5="","",Sheet1!K5)</f>
        <v/>
      </c>
      <c r="L9" s="242" t="str">
        <f>IF(Sheet1!L5="","",Sheet1!L5)</f>
        <v/>
      </c>
      <c r="M9" s="242" t="str">
        <f>IF(Sheet1!M5="","",Sheet1!M5)</f>
        <v/>
      </c>
      <c r="N9" s="242" t="str">
        <f>IF(Sheet1!N5="","",Sheet1!N5)</f>
        <v/>
      </c>
      <c r="O9" s="242" t="str">
        <f>IF(Sheet1!O5="","",Sheet1!O5)</f>
        <v/>
      </c>
      <c r="P9" s="242" t="str">
        <f>IF(Sheet1!P5="","",Sheet1!P5)</f>
        <v/>
      </c>
      <c r="Q9" s="242" t="str">
        <f>IF(Sheet1!Q5="","",Sheet1!Q5)</f>
        <v/>
      </c>
      <c r="R9" s="242" t="str">
        <f>IF(Sheet1!R5="","",Sheet1!R5)</f>
        <v/>
      </c>
      <c r="S9" s="242" t="str">
        <f>IF(Sheet1!S5="","",Sheet1!S5)</f>
        <v/>
      </c>
    </row>
    <row r="10" spans="1:21">
      <c r="B10" t="s">
        <v>1689</v>
      </c>
      <c r="D10" t="s">
        <v>1690</v>
      </c>
      <c r="E10" s="242" t="str">
        <f>IF(Sheet1!E6="","",Sheet1!E6)</f>
        <v/>
      </c>
      <c r="F10" s="242" t="str">
        <f>IF(Sheet1!F6="","",Sheet1!F6)</f>
        <v/>
      </c>
      <c r="G10" s="242" t="str">
        <f>IF(Sheet1!G6="","",Sheet1!G6)</f>
        <v/>
      </c>
      <c r="H10" s="242" t="str">
        <f>IF(Sheet1!H6="","",Sheet1!H6)</f>
        <v/>
      </c>
      <c r="I10" s="242" t="str">
        <f>IF(Sheet1!I6="","",Sheet1!I6)</f>
        <v/>
      </c>
      <c r="J10" s="242" t="str">
        <f>IF(Sheet1!J6="","",Sheet1!J6)</f>
        <v/>
      </c>
      <c r="K10" s="242" t="str">
        <f>IF(Sheet1!K6="","",Sheet1!K6)</f>
        <v/>
      </c>
      <c r="L10" s="242" t="str">
        <f>IF(Sheet1!L6="","",Sheet1!L6)</f>
        <v/>
      </c>
      <c r="M10" s="242" t="str">
        <f>IF(Sheet1!M6="","",Sheet1!M6)</f>
        <v/>
      </c>
      <c r="N10" s="242" t="str">
        <f>IF(Sheet1!N6="","",Sheet1!N6)</f>
        <v/>
      </c>
      <c r="O10" s="242" t="str">
        <f>IF(Sheet1!O6="","",Sheet1!O6)</f>
        <v/>
      </c>
      <c r="P10" s="242" t="str">
        <f>IF(Sheet1!P6="","",Sheet1!P6)</f>
        <v/>
      </c>
      <c r="Q10" s="242" t="str">
        <f>IF(Sheet1!Q6="","",Sheet1!Q6)</f>
        <v/>
      </c>
      <c r="R10" s="242" t="str">
        <f>IF(Sheet1!R6="","",Sheet1!R6)</f>
        <v/>
      </c>
      <c r="S10" s="242" t="str">
        <f>IF(Sheet1!S6="","",Sheet1!S6)</f>
        <v/>
      </c>
    </row>
    <row r="11" spans="1:21">
      <c r="B11" t="s">
        <v>170</v>
      </c>
      <c r="D11" t="s">
        <v>1691</v>
      </c>
      <c r="E11" s="242" t="str">
        <f>IF(Sheet1!E7="","",Sheet1!E7)</f>
        <v/>
      </c>
      <c r="F11" s="242" t="str">
        <f>IF(Sheet1!F7="","",Sheet1!F7)</f>
        <v/>
      </c>
      <c r="G11" s="242" t="str">
        <f>IF(Sheet1!G7="","",Sheet1!G7)</f>
        <v/>
      </c>
      <c r="H11" s="242" t="str">
        <f>IF(Sheet1!H7="","",Sheet1!H7)</f>
        <v/>
      </c>
      <c r="I11" s="242" t="str">
        <f>IF(Sheet1!I7="","",Sheet1!I7)</f>
        <v/>
      </c>
      <c r="J11" s="242" t="str">
        <f>IF(Sheet1!J7="","",Sheet1!J7)</f>
        <v/>
      </c>
      <c r="K11" s="242" t="str">
        <f>IF(Sheet1!K7="","",Sheet1!K7)</f>
        <v/>
      </c>
      <c r="L11" s="242" t="str">
        <f>IF(Sheet1!L7="","",Sheet1!L7)</f>
        <v/>
      </c>
      <c r="M11" s="242" t="str">
        <f>IF(Sheet1!M7="","",Sheet1!M7)</f>
        <v/>
      </c>
      <c r="N11" s="242" t="str">
        <f>IF(Sheet1!N7="","",Sheet1!N7)</f>
        <v/>
      </c>
      <c r="O11" s="242" t="str">
        <f>IF(Sheet1!O7="","",Sheet1!O7)</f>
        <v/>
      </c>
      <c r="P11" s="242" t="str">
        <f>IF(Sheet1!P7="","",Sheet1!P7)</f>
        <v/>
      </c>
      <c r="Q11" s="242" t="str">
        <f>IF(Sheet1!Q7="","",Sheet1!Q7)</f>
        <v/>
      </c>
      <c r="R11" s="242" t="str">
        <f>IF(Sheet1!R7="","",Sheet1!R7)</f>
        <v/>
      </c>
      <c r="S11" s="242" t="str">
        <f>IF(Sheet1!S7="","",Sheet1!S7)</f>
        <v/>
      </c>
    </row>
    <row r="12" spans="1:21">
      <c r="B12" t="s">
        <v>171</v>
      </c>
      <c r="D12" t="s">
        <v>1692</v>
      </c>
      <c r="E12" s="242">
        <f>IF(Sheet1!E8="","",Sheet1!E8)</f>
        <v>0</v>
      </c>
      <c r="F12" s="242" t="str">
        <f>IF(Sheet1!F8="","",Sheet1!F8)</f>
        <v/>
      </c>
      <c r="G12" s="242" t="str">
        <f>IF(Sheet1!G8="","",Sheet1!G8)</f>
        <v/>
      </c>
      <c r="H12" s="242" t="str">
        <f>IF(Sheet1!H8="","",Sheet1!H8)</f>
        <v/>
      </c>
      <c r="I12" s="242" t="str">
        <f>IF(Sheet1!I8="","",Sheet1!I8)</f>
        <v/>
      </c>
      <c r="J12" s="242" t="str">
        <f>IF(Sheet1!J8="","",Sheet1!J8)</f>
        <v/>
      </c>
      <c r="K12" s="242" t="str">
        <f>IF(Sheet1!K8="","",Sheet1!K8)</f>
        <v/>
      </c>
      <c r="L12" s="242" t="str">
        <f>IF(Sheet1!L8="","",Sheet1!L8)</f>
        <v/>
      </c>
      <c r="M12" s="242" t="str">
        <f>IF(Sheet1!M8="","",Sheet1!M8)</f>
        <v/>
      </c>
      <c r="N12" s="242" t="str">
        <f>IF(Sheet1!N8="","",Sheet1!N8)</f>
        <v/>
      </c>
      <c r="O12" s="242" t="str">
        <f>IF(Sheet1!O8="","",Sheet1!O8)</f>
        <v/>
      </c>
      <c r="P12" s="242" t="str">
        <f>IF(Sheet1!P8="","",Sheet1!P8)</f>
        <v/>
      </c>
      <c r="Q12" s="242" t="str">
        <f>IF(Sheet1!Q8="","",Sheet1!Q8)</f>
        <v/>
      </c>
      <c r="R12" s="242" t="str">
        <f>IF(Sheet1!R8="","",Sheet1!R8)</f>
        <v/>
      </c>
      <c r="S12" s="242" t="str">
        <f>IF(Sheet1!S8="","",Sheet1!S8)</f>
        <v/>
      </c>
    </row>
    <row r="13" spans="1:21">
      <c r="B13" t="s">
        <v>173</v>
      </c>
      <c r="D13" t="s">
        <v>1693</v>
      </c>
      <c r="E13" s="242">
        <f>IF(Sheet1!E9="","",Sheet1!E9)</f>
        <v>0</v>
      </c>
      <c r="F13" s="242" t="str">
        <f>IF(Sheet1!F9="","",Sheet1!F9)</f>
        <v/>
      </c>
      <c r="G13" s="242" t="str">
        <f>IF(Sheet1!G9="","",Sheet1!G9)</f>
        <v/>
      </c>
      <c r="H13" s="242" t="str">
        <f>IF(Sheet1!H9="","",Sheet1!H9)</f>
        <v/>
      </c>
      <c r="I13" s="242" t="str">
        <f>IF(Sheet1!I9="","",Sheet1!I9)</f>
        <v/>
      </c>
      <c r="J13" s="242" t="str">
        <f>IF(Sheet1!J9="","",Sheet1!J9)</f>
        <v/>
      </c>
      <c r="K13" s="242" t="str">
        <f>IF(Sheet1!K9="","",Sheet1!K9)</f>
        <v/>
      </c>
      <c r="L13" s="242" t="str">
        <f>IF(Sheet1!L9="","",Sheet1!L9)</f>
        <v/>
      </c>
      <c r="M13" s="242" t="str">
        <f>IF(Sheet1!M9="","",Sheet1!M9)</f>
        <v/>
      </c>
      <c r="N13" s="242" t="str">
        <f>IF(Sheet1!N9="","",Sheet1!N9)</f>
        <v/>
      </c>
      <c r="O13" s="242" t="str">
        <f>IF(Sheet1!O9="","",Sheet1!O9)</f>
        <v/>
      </c>
      <c r="P13" s="242" t="str">
        <f>IF(Sheet1!P9="","",Sheet1!P9)</f>
        <v/>
      </c>
      <c r="Q13" s="242" t="str">
        <f>IF(Sheet1!Q9="","",Sheet1!Q9)</f>
        <v/>
      </c>
      <c r="R13" s="242" t="str">
        <f>IF(Sheet1!R9="","",Sheet1!R9)</f>
        <v/>
      </c>
      <c r="S13" s="242" t="str">
        <f>IF(Sheet1!S9="","",Sheet1!S9)</f>
        <v/>
      </c>
    </row>
    <row r="14" spans="1:21">
      <c r="B14" t="s">
        <v>174</v>
      </c>
      <c r="D14" t="s">
        <v>1694</v>
      </c>
      <c r="E14" s="242">
        <f>IF(Sheet1!E10="","",Sheet1!E10)</f>
        <v>0</v>
      </c>
      <c r="F14" s="242" t="str">
        <f>IF(Sheet1!F10="","",Sheet1!F10)</f>
        <v/>
      </c>
      <c r="G14" s="242" t="str">
        <f>IF(Sheet1!G10="","",Sheet1!G10)</f>
        <v/>
      </c>
      <c r="H14" s="242" t="str">
        <f>IF(Sheet1!H10="","",Sheet1!H10)</f>
        <v/>
      </c>
      <c r="I14" s="242" t="str">
        <f>IF(Sheet1!I10="","",Sheet1!I10)</f>
        <v/>
      </c>
      <c r="J14" s="242" t="str">
        <f>IF(Sheet1!J10="","",Sheet1!J10)</f>
        <v/>
      </c>
      <c r="K14" s="242" t="str">
        <f>IF(Sheet1!K10="","",Sheet1!K10)</f>
        <v/>
      </c>
      <c r="L14" s="242" t="str">
        <f>IF(Sheet1!L10="","",Sheet1!L10)</f>
        <v/>
      </c>
      <c r="M14" s="242" t="str">
        <f>IF(Sheet1!M10="","",Sheet1!M10)</f>
        <v/>
      </c>
      <c r="N14" s="242" t="str">
        <f>IF(Sheet1!N10="","",Sheet1!N10)</f>
        <v/>
      </c>
      <c r="O14" s="242" t="str">
        <f>IF(Sheet1!O10="","",Sheet1!O10)</f>
        <v/>
      </c>
      <c r="P14" s="242" t="str">
        <f>IF(Sheet1!P10="","",Sheet1!P10)</f>
        <v/>
      </c>
      <c r="Q14" s="242" t="str">
        <f>IF(Sheet1!Q10="","",Sheet1!Q10)</f>
        <v/>
      </c>
      <c r="R14" s="242" t="str">
        <f>IF(Sheet1!R10="","",Sheet1!R10)</f>
        <v/>
      </c>
      <c r="S14" s="242" t="str">
        <f>IF(Sheet1!S10="","",Sheet1!S10)</f>
        <v/>
      </c>
    </row>
    <row r="15" spans="1:21">
      <c r="B15" t="s">
        <v>175</v>
      </c>
      <c r="D15" t="s">
        <v>1695</v>
      </c>
      <c r="E15" s="242">
        <f>IF(Sheet1!E11="","",Sheet1!E11)</f>
        <v>0</v>
      </c>
      <c r="F15" s="242" t="str">
        <f>IF(Sheet1!F11="","",Sheet1!F11)</f>
        <v/>
      </c>
      <c r="G15" s="242" t="str">
        <f>IF(Sheet1!G11="","",Sheet1!G11)</f>
        <v/>
      </c>
      <c r="H15" s="242" t="str">
        <f>IF(Sheet1!H11="","",Sheet1!H11)</f>
        <v/>
      </c>
      <c r="I15" s="242" t="str">
        <f>IF(Sheet1!I11="","",Sheet1!I11)</f>
        <v/>
      </c>
      <c r="J15" s="242" t="str">
        <f>IF(Sheet1!J11="","",Sheet1!J11)</f>
        <v/>
      </c>
      <c r="K15" s="242" t="str">
        <f>IF(Sheet1!K11="","",Sheet1!K11)</f>
        <v/>
      </c>
      <c r="L15" s="242" t="str">
        <f>IF(Sheet1!L11="","",Sheet1!L11)</f>
        <v/>
      </c>
      <c r="M15" s="242" t="str">
        <f>IF(Sheet1!M11="","",Sheet1!M11)</f>
        <v/>
      </c>
      <c r="N15" s="242" t="str">
        <f>IF(Sheet1!N11="","",Sheet1!N11)</f>
        <v/>
      </c>
      <c r="O15" s="242" t="str">
        <f>IF(Sheet1!O11="","",Sheet1!O11)</f>
        <v/>
      </c>
      <c r="P15" s="242" t="str">
        <f>IF(Sheet1!P11="","",Sheet1!P11)</f>
        <v/>
      </c>
      <c r="Q15" s="242" t="str">
        <f>IF(Sheet1!Q11="","",Sheet1!Q11)</f>
        <v/>
      </c>
      <c r="R15" s="242" t="str">
        <f>IF(Sheet1!R11="","",Sheet1!R11)</f>
        <v/>
      </c>
      <c r="S15" s="242" t="str">
        <f>IF(Sheet1!S11="","",Sheet1!S11)</f>
        <v/>
      </c>
    </row>
    <row r="16" spans="1:21">
      <c r="B16" t="s">
        <v>176</v>
      </c>
      <c r="D16" t="s">
        <v>1696</v>
      </c>
      <c r="E16" s="242">
        <f>IF(Sheet1!E12="","",Sheet1!E12)</f>
        <v>0</v>
      </c>
      <c r="F16" s="242" t="str">
        <f>IF(Sheet1!F12="","",Sheet1!F12)</f>
        <v/>
      </c>
      <c r="G16" s="242" t="str">
        <f>IF(Sheet1!G12="","",Sheet1!G12)</f>
        <v/>
      </c>
      <c r="H16" s="242" t="str">
        <f>IF(Sheet1!H12="","",Sheet1!H12)</f>
        <v/>
      </c>
      <c r="I16" s="242" t="str">
        <f>IF(Sheet1!I12="","",Sheet1!I12)</f>
        <v/>
      </c>
      <c r="J16" s="242" t="str">
        <f>IF(Sheet1!J12="","",Sheet1!J12)</f>
        <v/>
      </c>
      <c r="K16" s="242" t="str">
        <f>IF(Sheet1!K12="","",Sheet1!K12)</f>
        <v/>
      </c>
      <c r="L16" s="242" t="str">
        <f>IF(Sheet1!L12="","",Sheet1!L12)</f>
        <v/>
      </c>
      <c r="M16" s="242" t="str">
        <f>IF(Sheet1!M12="","",Sheet1!M12)</f>
        <v/>
      </c>
      <c r="N16" s="242" t="str">
        <f>IF(Sheet1!N12="","",Sheet1!N12)</f>
        <v/>
      </c>
      <c r="O16" s="242" t="str">
        <f>IF(Sheet1!O12="","",Sheet1!O12)</f>
        <v/>
      </c>
      <c r="P16" s="242" t="str">
        <f>IF(Sheet1!P12="","",Sheet1!P12)</f>
        <v/>
      </c>
      <c r="Q16" s="242" t="str">
        <f>IF(Sheet1!Q12="","",Sheet1!Q12)</f>
        <v/>
      </c>
      <c r="R16" s="242" t="str">
        <f>IF(Sheet1!R12="","",Sheet1!R12)</f>
        <v/>
      </c>
      <c r="S16" s="242" t="str">
        <f>IF(Sheet1!S12="","",Sheet1!S12)</f>
        <v/>
      </c>
    </row>
    <row r="17" spans="2:19">
      <c r="B17" t="s">
        <v>177</v>
      </c>
      <c r="D17" t="s">
        <v>1697</v>
      </c>
      <c r="E17" s="242">
        <f>IF(Sheet1!E13="","",Sheet1!E13)</f>
        <v>0</v>
      </c>
      <c r="F17" s="242" t="str">
        <f>IF(Sheet1!F13="","",Sheet1!F13)</f>
        <v/>
      </c>
      <c r="G17" s="242" t="str">
        <f>IF(Sheet1!G13="","",Sheet1!G13)</f>
        <v/>
      </c>
      <c r="H17" s="242" t="str">
        <f>IF(Sheet1!H13="","",Sheet1!H13)</f>
        <v/>
      </c>
      <c r="I17" s="242" t="str">
        <f>IF(Sheet1!I13="","",Sheet1!I13)</f>
        <v/>
      </c>
      <c r="J17" s="242" t="str">
        <f>IF(Sheet1!J13="","",Sheet1!J13)</f>
        <v/>
      </c>
      <c r="K17" s="242" t="str">
        <f>IF(Sheet1!K13="","",Sheet1!K13)</f>
        <v/>
      </c>
      <c r="L17" s="242" t="str">
        <f>IF(Sheet1!L13="","",Sheet1!L13)</f>
        <v/>
      </c>
      <c r="M17" s="242" t="str">
        <f>IF(Sheet1!M13="","",Sheet1!M13)</f>
        <v/>
      </c>
      <c r="N17" s="242" t="str">
        <f>IF(Sheet1!N13="","",Sheet1!N13)</f>
        <v/>
      </c>
      <c r="O17" s="242" t="str">
        <f>IF(Sheet1!O13="","",Sheet1!O13)</f>
        <v/>
      </c>
      <c r="P17" s="242" t="str">
        <f>IF(Sheet1!P13="","",Sheet1!P13)</f>
        <v/>
      </c>
      <c r="Q17" s="242" t="str">
        <f>IF(Sheet1!Q13="","",Sheet1!Q13)</f>
        <v/>
      </c>
      <c r="R17" s="242" t="str">
        <f>IF(Sheet1!R13="","",Sheet1!R13)</f>
        <v/>
      </c>
      <c r="S17" s="242" t="str">
        <f>IF(Sheet1!S13="","",Sheet1!S13)</f>
        <v/>
      </c>
    </row>
    <row r="18" spans="2:19">
      <c r="B18" t="s">
        <v>178</v>
      </c>
      <c r="D18" t="s">
        <v>1698</v>
      </c>
      <c r="E18" s="242">
        <f>IF(Sheet1!E14="","",Sheet1!E14)</f>
        <v>0</v>
      </c>
      <c r="F18" s="242" t="str">
        <f>IF(Sheet1!F14="","",Sheet1!F14)</f>
        <v/>
      </c>
      <c r="G18" s="242" t="str">
        <f>IF(Sheet1!G14="","",Sheet1!G14)</f>
        <v/>
      </c>
      <c r="H18" s="242" t="str">
        <f>IF(Sheet1!H14="","",Sheet1!H14)</f>
        <v/>
      </c>
      <c r="I18" s="242" t="str">
        <f>IF(Sheet1!I14="","",Sheet1!I14)</f>
        <v/>
      </c>
      <c r="J18" s="242" t="str">
        <f>IF(Sheet1!J14="","",Sheet1!J14)</f>
        <v/>
      </c>
      <c r="K18" s="242" t="str">
        <f>IF(Sheet1!K14="","",Sheet1!K14)</f>
        <v/>
      </c>
      <c r="L18" s="242" t="str">
        <f>IF(Sheet1!L14="","",Sheet1!L14)</f>
        <v/>
      </c>
      <c r="M18" s="242" t="str">
        <f>IF(Sheet1!M14="","",Sheet1!M14)</f>
        <v/>
      </c>
      <c r="N18" s="242" t="str">
        <f>IF(Sheet1!N14="","",Sheet1!N14)</f>
        <v/>
      </c>
      <c r="O18" s="242" t="str">
        <f>IF(Sheet1!O14="","",Sheet1!O14)</f>
        <v/>
      </c>
      <c r="P18" s="242" t="str">
        <f>IF(Sheet1!P14="","",Sheet1!P14)</f>
        <v/>
      </c>
      <c r="Q18" s="242" t="str">
        <f>IF(Sheet1!Q14="","",Sheet1!Q14)</f>
        <v/>
      </c>
      <c r="R18" s="242" t="str">
        <f>IF(Sheet1!R14="","",Sheet1!R14)</f>
        <v/>
      </c>
      <c r="S18" s="242" t="str">
        <f>IF(Sheet1!S14="","",Sheet1!S14)</f>
        <v/>
      </c>
    </row>
    <row r="19" spans="2:19">
      <c r="B19" t="s">
        <v>179</v>
      </c>
      <c r="D19" t="s">
        <v>1699</v>
      </c>
      <c r="E19" s="242">
        <f>IF(Sheet1!E15="","",Sheet1!E15)</f>
        <v>0</v>
      </c>
      <c r="F19" s="242" t="str">
        <f>IF(Sheet1!F15="","",Sheet1!F15)</f>
        <v/>
      </c>
      <c r="G19" s="242" t="str">
        <f>IF(Sheet1!G15="","",Sheet1!G15)</f>
        <v/>
      </c>
      <c r="H19" s="242" t="str">
        <f>IF(Sheet1!H15="","",Sheet1!H15)</f>
        <v/>
      </c>
      <c r="I19" s="242" t="str">
        <f>IF(Sheet1!I15="","",Sheet1!I15)</f>
        <v/>
      </c>
      <c r="J19" s="242" t="str">
        <f>IF(Sheet1!J15="","",Sheet1!J15)</f>
        <v/>
      </c>
      <c r="K19" s="242" t="str">
        <f>IF(Sheet1!K15="","",Sheet1!K15)</f>
        <v/>
      </c>
      <c r="L19" s="242" t="str">
        <f>IF(Sheet1!L15="","",Sheet1!L15)</f>
        <v/>
      </c>
      <c r="M19" s="242" t="str">
        <f>IF(Sheet1!M15="","",Sheet1!M15)</f>
        <v/>
      </c>
      <c r="N19" s="242" t="str">
        <f>IF(Sheet1!N15="","",Sheet1!N15)</f>
        <v/>
      </c>
      <c r="O19" s="242" t="str">
        <f>IF(Sheet1!O15="","",Sheet1!O15)</f>
        <v/>
      </c>
      <c r="P19" s="242" t="str">
        <f>IF(Sheet1!P15="","",Sheet1!P15)</f>
        <v/>
      </c>
      <c r="Q19" s="242" t="str">
        <f>IF(Sheet1!Q15="","",Sheet1!Q15)</f>
        <v/>
      </c>
      <c r="R19" s="242" t="str">
        <f>IF(Sheet1!R15="","",Sheet1!R15)</f>
        <v/>
      </c>
      <c r="S19" s="242" t="str">
        <f>IF(Sheet1!S15="","",Sheet1!S15)</f>
        <v/>
      </c>
    </row>
    <row r="20" spans="2:19" ht="20.100000000000001" customHeight="1">
      <c r="B20" s="3" t="s">
        <v>1700</v>
      </c>
      <c r="C20" s="3"/>
      <c r="D20" s="3"/>
      <c r="E20" s="2"/>
      <c r="F20" s="2"/>
      <c r="G20" s="2"/>
      <c r="H20" s="2"/>
      <c r="I20" s="2"/>
      <c r="J20" s="2"/>
      <c r="K20" s="2"/>
      <c r="L20" s="2"/>
      <c r="M20" s="2"/>
      <c r="N20" s="2"/>
      <c r="O20" s="2"/>
      <c r="P20" s="2"/>
      <c r="Q20" s="2"/>
      <c r="R20" s="2"/>
      <c r="S20" s="2"/>
    </row>
    <row r="21" spans="2:19">
      <c r="B21" t="s">
        <v>1273</v>
      </c>
      <c r="D21" t="s">
        <v>1274</v>
      </c>
      <c r="E21" s="242">
        <f>IF(Sheet1!E30="","",Sheet1!E30)</f>
        <v>0.04</v>
      </c>
      <c r="F21" s="242">
        <f>IF(Sheet1!F30="","",Sheet1!F30)</f>
        <v>4.4999999999999998E-2</v>
      </c>
      <c r="G21" s="242">
        <f>IF(Sheet1!G30="","",Sheet1!G30)</f>
        <v>0.05</v>
      </c>
      <c r="H21" s="242" t="str">
        <f>IF(Sheet1!H30="","",Sheet1!H30)</f>
        <v/>
      </c>
      <c r="I21" s="242" t="str">
        <f>IF(Sheet1!I30="","",Sheet1!I30)</f>
        <v/>
      </c>
      <c r="J21" s="242" t="str">
        <f>IF(Sheet1!J30="","",Sheet1!J30)</f>
        <v/>
      </c>
      <c r="K21" s="242" t="str">
        <f>IF(Sheet1!K30="","",Sheet1!K30)</f>
        <v/>
      </c>
      <c r="L21" s="242" t="str">
        <f>IF(Sheet1!L30="","",Sheet1!L30)</f>
        <v/>
      </c>
      <c r="M21" s="242" t="str">
        <f>IF(Sheet1!M30="","",Sheet1!M30)</f>
        <v/>
      </c>
      <c r="N21" s="242" t="str">
        <f>IF(Sheet1!N30="","",Sheet1!N30)</f>
        <v/>
      </c>
      <c r="O21" s="242" t="str">
        <f>IF(Sheet1!O30="","",Sheet1!O30)</f>
        <v/>
      </c>
      <c r="P21" s="242" t="str">
        <f>IF(Sheet1!P30="","",Sheet1!P30)</f>
        <v/>
      </c>
      <c r="Q21" s="242" t="str">
        <f>IF(Sheet1!Q30="","",Sheet1!Q30)</f>
        <v/>
      </c>
      <c r="R21" s="242" t="str">
        <f>IF(Sheet1!R30="","",Sheet1!R30)</f>
        <v/>
      </c>
      <c r="S21" s="242" t="str">
        <f>IF(Sheet1!S30="","",Sheet1!S30)</f>
        <v/>
      </c>
    </row>
    <row r="22" spans="2:19">
      <c r="B22" t="s">
        <v>208</v>
      </c>
      <c r="D22" t="s">
        <v>1275</v>
      </c>
      <c r="E22" s="242">
        <f>IF(Sheet1!E31="","",Sheet1!E31)</f>
        <v>4.4999999999999998E-2</v>
      </c>
      <c r="F22" s="242" t="str">
        <f>IF(Sheet1!F31="","",Sheet1!F31)</f>
        <v/>
      </c>
      <c r="G22" s="242" t="str">
        <f>IF(Sheet1!G31="","",Sheet1!G31)</f>
        <v/>
      </c>
      <c r="H22" s="242" t="str">
        <f>IF(Sheet1!H31="","",Sheet1!H31)</f>
        <v/>
      </c>
      <c r="I22" s="242" t="str">
        <f>IF(Sheet1!I31="","",Sheet1!I31)</f>
        <v/>
      </c>
      <c r="J22" s="242" t="str">
        <f>IF(Sheet1!J31="","",Sheet1!J31)</f>
        <v/>
      </c>
      <c r="K22" s="242" t="str">
        <f>IF(Sheet1!K31="","",Sheet1!K31)</f>
        <v/>
      </c>
      <c r="L22" s="242" t="str">
        <f>IF(Sheet1!L31="","",Sheet1!L31)</f>
        <v/>
      </c>
      <c r="M22" s="242" t="str">
        <f>IF(Sheet1!M31="","",Sheet1!M31)</f>
        <v/>
      </c>
      <c r="N22" s="242" t="str">
        <f>IF(Sheet1!N31="","",Sheet1!N31)</f>
        <v/>
      </c>
      <c r="O22" s="242" t="str">
        <f>IF(Sheet1!O31="","",Sheet1!O31)</f>
        <v/>
      </c>
      <c r="P22" s="242" t="str">
        <f>IF(Sheet1!P31="","",Sheet1!P31)</f>
        <v/>
      </c>
      <c r="Q22" s="242" t="str">
        <f>IF(Sheet1!Q31="","",Sheet1!Q31)</f>
        <v/>
      </c>
      <c r="R22" s="242" t="str">
        <f>IF(Sheet1!R31="","",Sheet1!R31)</f>
        <v/>
      </c>
      <c r="S22" s="242" t="str">
        <f>IF(Sheet1!S31="","",Sheet1!S31)</f>
        <v/>
      </c>
    </row>
    <row r="23" spans="2:19">
      <c r="B23" t="s">
        <v>1276</v>
      </c>
      <c r="D23" t="s">
        <v>1277</v>
      </c>
      <c r="E23" s="242">
        <f>IF(Sheet1!E32="","",Sheet1!E32)</f>
        <v>0</v>
      </c>
      <c r="F23" s="242">
        <f>IF(Sheet1!F32="","",Sheet1!F32)</f>
        <v>0</v>
      </c>
      <c r="G23" s="242">
        <f>IF(Sheet1!G32="","",Sheet1!G32)</f>
        <v>0</v>
      </c>
      <c r="H23" s="242" t="str">
        <f>IF(Sheet1!H32="","",Sheet1!H32)</f>
        <v/>
      </c>
      <c r="I23" s="242" t="str">
        <f>IF(Sheet1!I32="","",Sheet1!I32)</f>
        <v/>
      </c>
      <c r="J23" s="242" t="str">
        <f>IF(Sheet1!J32="","",Sheet1!J32)</f>
        <v/>
      </c>
      <c r="K23" s="242" t="str">
        <f>IF(Sheet1!K32="","",Sheet1!K32)</f>
        <v/>
      </c>
      <c r="L23" s="242" t="str">
        <f>IF(Sheet1!L32="","",Sheet1!L32)</f>
        <v/>
      </c>
      <c r="M23" s="242" t="str">
        <f>IF(Sheet1!M32="","",Sheet1!M32)</f>
        <v/>
      </c>
      <c r="N23" s="242" t="str">
        <f>IF(Sheet1!N32="","",Sheet1!N32)</f>
        <v/>
      </c>
      <c r="O23" s="242" t="str">
        <f>IF(Sheet1!O32="","",Sheet1!O32)</f>
        <v/>
      </c>
      <c r="P23" s="242" t="str">
        <f>IF(Sheet1!P32="","",Sheet1!P32)</f>
        <v/>
      </c>
      <c r="Q23" s="242" t="str">
        <f>IF(Sheet1!Q32="","",Sheet1!Q32)</f>
        <v/>
      </c>
      <c r="R23" s="242" t="str">
        <f>IF(Sheet1!R32="","",Sheet1!R32)</f>
        <v/>
      </c>
      <c r="S23" s="242" t="str">
        <f>IF(Sheet1!S32="","",Sheet1!S32)</f>
        <v/>
      </c>
    </row>
    <row r="24" spans="2:19">
      <c r="B24" t="s">
        <v>211</v>
      </c>
      <c r="D24" t="s">
        <v>1278</v>
      </c>
      <c r="E24" s="242">
        <f>IF(Sheet1!E33="","",Sheet1!E33)</f>
        <v>0</v>
      </c>
      <c r="F24" s="242" t="str">
        <f>IF(Sheet1!F33="","",Sheet1!F33)</f>
        <v/>
      </c>
      <c r="G24" s="242" t="str">
        <f>IF(Sheet1!G33="","",Sheet1!G33)</f>
        <v/>
      </c>
      <c r="H24" s="242" t="str">
        <f>IF(Sheet1!H33="","",Sheet1!H33)</f>
        <v/>
      </c>
      <c r="I24" s="242" t="str">
        <f>IF(Sheet1!I33="","",Sheet1!I33)</f>
        <v/>
      </c>
      <c r="J24" s="242" t="str">
        <f>IF(Sheet1!J33="","",Sheet1!J33)</f>
        <v/>
      </c>
      <c r="K24" s="242" t="str">
        <f>IF(Sheet1!K33="","",Sheet1!K33)</f>
        <v/>
      </c>
      <c r="L24" s="242" t="str">
        <f>IF(Sheet1!L33="","",Sheet1!L33)</f>
        <v/>
      </c>
      <c r="M24" s="242" t="str">
        <f>IF(Sheet1!M33="","",Sheet1!M33)</f>
        <v/>
      </c>
      <c r="N24" s="242" t="str">
        <f>IF(Sheet1!N33="","",Sheet1!N33)</f>
        <v/>
      </c>
      <c r="O24" s="242" t="str">
        <f>IF(Sheet1!O33="","",Sheet1!O33)</f>
        <v/>
      </c>
      <c r="P24" s="242" t="str">
        <f>IF(Sheet1!P33="","",Sheet1!P33)</f>
        <v/>
      </c>
      <c r="Q24" s="242" t="str">
        <f>IF(Sheet1!Q33="","",Sheet1!Q33)</f>
        <v/>
      </c>
      <c r="R24" s="242" t="str">
        <f>IF(Sheet1!R33="","",Sheet1!R33)</f>
        <v/>
      </c>
      <c r="S24" s="242" t="str">
        <f>IF(Sheet1!S33="","",Sheet1!S33)</f>
        <v/>
      </c>
    </row>
    <row r="25" spans="2:19">
      <c r="B25" t="s">
        <v>1282</v>
      </c>
      <c r="D25" t="s">
        <v>1283</v>
      </c>
      <c r="E25" s="242">
        <f>IF(Sheet1!E39="","",Sheet1!E39)</f>
        <v>0</v>
      </c>
      <c r="F25" s="242">
        <f>IF(Sheet1!F39="","",Sheet1!F39)</f>
        <v>0.02</v>
      </c>
      <c r="G25" s="242">
        <f>IF(Sheet1!G39="","",Sheet1!G39)</f>
        <v>0.04</v>
      </c>
      <c r="H25" s="242" t="str">
        <f>IF(Sheet1!H39="","",Sheet1!H39)</f>
        <v/>
      </c>
      <c r="I25" s="242" t="str">
        <f>IF(Sheet1!I39="","",Sheet1!I39)</f>
        <v/>
      </c>
      <c r="J25" s="242" t="str">
        <f>IF(Sheet1!J39="","",Sheet1!J39)</f>
        <v/>
      </c>
      <c r="K25" s="242" t="str">
        <f>IF(Sheet1!K39="","",Sheet1!K39)</f>
        <v/>
      </c>
      <c r="L25" s="242" t="str">
        <f>IF(Sheet1!L39="","",Sheet1!L39)</f>
        <v/>
      </c>
      <c r="M25" s="242" t="str">
        <f>IF(Sheet1!M39="","",Sheet1!M39)</f>
        <v/>
      </c>
      <c r="N25" s="242" t="str">
        <f>IF(Sheet1!N39="","",Sheet1!N39)</f>
        <v/>
      </c>
      <c r="O25" s="242" t="str">
        <f>IF(Sheet1!O39="","",Sheet1!O39)</f>
        <v/>
      </c>
      <c r="P25" s="242" t="str">
        <f>IF(Sheet1!P39="","",Sheet1!P39)</f>
        <v/>
      </c>
      <c r="Q25" s="242" t="str">
        <f>IF(Sheet1!Q39="","",Sheet1!Q39)</f>
        <v/>
      </c>
      <c r="R25" s="242" t="str">
        <f>IF(Sheet1!R39="","",Sheet1!R39)</f>
        <v/>
      </c>
      <c r="S25" s="242" t="str">
        <f>IF(Sheet1!S39="","",Sheet1!S39)</f>
        <v/>
      </c>
    </row>
    <row r="26" spans="2:19">
      <c r="B26" t="s">
        <v>245</v>
      </c>
      <c r="D26" t="s">
        <v>1413</v>
      </c>
      <c r="E26" s="242" t="str">
        <f>IF(Sheet1!E53="","",Sheet1!E53)</f>
        <v/>
      </c>
      <c r="F26" s="242">
        <f>IF(Sheet1!F53="","",Sheet1!F53)</f>
        <v>0.14257069408740364</v>
      </c>
      <c r="G26" s="242">
        <f>IF(Sheet1!G53="","",Sheet1!G53)</f>
        <v>0.1728164514242001</v>
      </c>
      <c r="H26" s="242">
        <f>IF(Sheet1!H53="","",Sheet1!H53)</f>
        <v>0.14332303796497015</v>
      </c>
      <c r="I26" s="242">
        <f>IF(Sheet1!I53="","",Sheet1!I53)</f>
        <v>0.18868082821571197</v>
      </c>
      <c r="J26" s="242">
        <f>IF(Sheet1!J53="","",Sheet1!J53)</f>
        <v>0.15</v>
      </c>
      <c r="K26" s="242">
        <f>IF(Sheet1!K53="","",Sheet1!K53)</f>
        <v>0.13</v>
      </c>
      <c r="L26" s="242">
        <f>IF(Sheet1!L53="","",Sheet1!L53)</f>
        <v>0.12</v>
      </c>
      <c r="M26" s="242">
        <f>IF(Sheet1!M53="","",Sheet1!M53)</f>
        <v>0.11</v>
      </c>
      <c r="N26" s="242">
        <f>IF(Sheet1!N53="","",Sheet1!N53)</f>
        <v>0.1</v>
      </c>
      <c r="O26" s="242">
        <f>IF(Sheet1!O53="","",Sheet1!O53)</f>
        <v>9.2999999999999999E-2</v>
      </c>
      <c r="P26" s="242">
        <f>IF(Sheet1!P53="","",Sheet1!P53)</f>
        <v>8.5999999999999993E-2</v>
      </c>
      <c r="Q26" s="242">
        <f>IF(Sheet1!Q53="","",Sheet1!Q53)</f>
        <v>7.9000000000000001E-2</v>
      </c>
      <c r="R26" s="242">
        <f>IF(Sheet1!R53="","",Sheet1!R53)</f>
        <v>7.1999999999999995E-2</v>
      </c>
      <c r="S26" s="242">
        <f>IF(Sheet1!S53="","",Sheet1!S53)</f>
        <v>6.5000000000000002E-2</v>
      </c>
    </row>
    <row r="27" spans="2:19">
      <c r="B27" t="s">
        <v>250</v>
      </c>
      <c r="D27" t="s">
        <v>1420</v>
      </c>
      <c r="E27" s="242" t="str">
        <f>IF(Sheet1!E57="","",Sheet1!E57)</f>
        <v/>
      </c>
      <c r="F27" s="242">
        <f>IF(Sheet1!F57="","",Sheet1!F57)</f>
        <v>0.22663461538461549</v>
      </c>
      <c r="G27" s="242">
        <f>IF(Sheet1!G57="","",Sheet1!G57)</f>
        <v>0.20623971153092424</v>
      </c>
      <c r="H27" s="242">
        <f>IF(Sheet1!H57="","",Sheet1!H57)</f>
        <v>0.14511307512347282</v>
      </c>
      <c r="I27" s="242">
        <f>IF(Sheet1!I57="","",Sheet1!I57)</f>
        <v>0.13256909369502301</v>
      </c>
      <c r="J27" s="242">
        <f>IF(Sheet1!J57="","",Sheet1!J57)</f>
        <v>0.06</v>
      </c>
      <c r="K27" s="242">
        <f>IF(Sheet1!K57="","",Sheet1!K57)</f>
        <v>0.08</v>
      </c>
      <c r="L27" s="242">
        <f>IF(Sheet1!L57="","",Sheet1!L57)</f>
        <v>0.08</v>
      </c>
      <c r="M27" s="242">
        <f>IF(Sheet1!M57="","",Sheet1!M57)</f>
        <v>0.08</v>
      </c>
      <c r="N27" s="242">
        <f>IF(Sheet1!N57="","",Sheet1!N57)</f>
        <v>0.08</v>
      </c>
      <c r="O27" s="242">
        <f>IF(Sheet1!O57="","",Sheet1!O57)</f>
        <v>7.6999999999999999E-2</v>
      </c>
      <c r="P27" s="242">
        <f>IF(Sheet1!P57="","",Sheet1!P57)</f>
        <v>7.3999999999999996E-2</v>
      </c>
      <c r="Q27" s="242">
        <f>IF(Sheet1!Q57="","",Sheet1!Q57)</f>
        <v>7.0999999999999994E-2</v>
      </c>
      <c r="R27" s="242">
        <f>IF(Sheet1!R57="","",Sheet1!R57)</f>
        <v>6.8000000000000005E-2</v>
      </c>
      <c r="S27" s="242">
        <f>IF(Sheet1!S57="","",Sheet1!S57)</f>
        <v>6.5000000000000002E-2</v>
      </c>
    </row>
    <row r="28" spans="2:19">
      <c r="B28" t="s">
        <v>254</v>
      </c>
      <c r="D28" t="s">
        <v>1427</v>
      </c>
      <c r="E28" s="242" t="str">
        <f>IF(Sheet1!E61="","",Sheet1!E61)</f>
        <v/>
      </c>
      <c r="F28" s="242">
        <f>IF(Sheet1!F61="","",Sheet1!F61)</f>
        <v>3.202185792349721E-2</v>
      </c>
      <c r="G28" s="242">
        <f>IF(Sheet1!G61="","",Sheet1!G61)</f>
        <v>2.4144869215291687E-2</v>
      </c>
      <c r="H28" s="242">
        <f>IF(Sheet1!H61="","",Sheet1!H61)</f>
        <v>0.11844690311239781</v>
      </c>
      <c r="I28" s="242">
        <f>IF(Sheet1!I61="","",Sheet1!I61)</f>
        <v>0.13673554292053813</v>
      </c>
      <c r="J28" s="242">
        <f>IF(Sheet1!J61="","",Sheet1!J61)</f>
        <v>0.15</v>
      </c>
      <c r="K28" s="242">
        <f>IF(Sheet1!K61="","",Sheet1!K61)</f>
        <v>0.13</v>
      </c>
      <c r="L28" s="242">
        <f>IF(Sheet1!L61="","",Sheet1!L61)</f>
        <v>0.12</v>
      </c>
      <c r="M28" s="242">
        <f>IF(Sheet1!M61="","",Sheet1!M61)</f>
        <v>0.11</v>
      </c>
      <c r="N28" s="242">
        <f>IF(Sheet1!N61="","",Sheet1!N61)</f>
        <v>0.1</v>
      </c>
      <c r="O28" s="242">
        <f>IF(Sheet1!O61="","",Sheet1!O61)</f>
        <v>9.2999999999999999E-2</v>
      </c>
      <c r="P28" s="242">
        <f>IF(Sheet1!P61="","",Sheet1!P61)</f>
        <v>8.5999999999999993E-2</v>
      </c>
      <c r="Q28" s="242">
        <f>IF(Sheet1!Q61="","",Sheet1!Q61)</f>
        <v>7.9000000000000001E-2</v>
      </c>
      <c r="R28" s="242">
        <f>IF(Sheet1!R61="","",Sheet1!R61)</f>
        <v>7.1999999999999995E-2</v>
      </c>
      <c r="S28" s="242">
        <f>IF(Sheet1!S61="","",Sheet1!S61)</f>
        <v>6.5000000000000002E-2</v>
      </c>
    </row>
    <row r="29" spans="2:19">
      <c r="B29" t="s">
        <v>258</v>
      </c>
      <c r="D29" t="s">
        <v>1434</v>
      </c>
      <c r="E29" s="242" t="str">
        <f>IF(Sheet1!E65="","",Sheet1!E65)</f>
        <v/>
      </c>
      <c r="F29" s="242">
        <f>IF(Sheet1!F65="","",Sheet1!F65)</f>
        <v>0.32907801418439719</v>
      </c>
      <c r="G29" s="242">
        <f>IF(Sheet1!G65="","",Sheet1!G65)</f>
        <v>0.22262540021344712</v>
      </c>
      <c r="H29" s="242">
        <f>IF(Sheet1!H65="","",Sheet1!H65)</f>
        <v>0.21098114525139655</v>
      </c>
      <c r="I29" s="242">
        <f>IF(Sheet1!I65="","",Sheet1!I65)</f>
        <v>-2.8472572623080561E-3</v>
      </c>
      <c r="J29" s="242">
        <f>IF(Sheet1!J65="","",Sheet1!J65)</f>
        <v>0.08</v>
      </c>
      <c r="K29" s="242">
        <f>IF(Sheet1!K65="","",Sheet1!K65)</f>
        <v>0.09</v>
      </c>
      <c r="L29" s="242">
        <f>IF(Sheet1!L65="","",Sheet1!L65)</f>
        <v>0.09</v>
      </c>
      <c r="M29" s="242">
        <f>IF(Sheet1!M65="","",Sheet1!M65)</f>
        <v>0.09</v>
      </c>
      <c r="N29" s="242">
        <f>IF(Sheet1!N65="","",Sheet1!N65)</f>
        <v>0.09</v>
      </c>
      <c r="O29" s="242">
        <f>IF(Sheet1!O65="","",Sheet1!O65)</f>
        <v>8.5000000000000006E-2</v>
      </c>
      <c r="P29" s="242">
        <f>IF(Sheet1!P65="","",Sheet1!P65)</f>
        <v>0.08</v>
      </c>
      <c r="Q29" s="242">
        <f>IF(Sheet1!Q65="","",Sheet1!Q65)</f>
        <v>7.4999999999999997E-2</v>
      </c>
      <c r="R29" s="242">
        <f>IF(Sheet1!R65="","",Sheet1!R65)</f>
        <v>7.0000000000000007E-2</v>
      </c>
      <c r="S29" s="242">
        <f>IF(Sheet1!S65="","",Sheet1!S65)</f>
        <v>6.5000000000000002E-2</v>
      </c>
    </row>
    <row r="30" spans="2:19">
      <c r="B30" t="s">
        <v>262</v>
      </c>
      <c r="D30" t="s">
        <v>1441</v>
      </c>
      <c r="E30" s="242" t="str">
        <f>IF(Sheet1!E69="","",Sheet1!E69)</f>
        <v/>
      </c>
      <c r="F30" s="242">
        <f>IF(Sheet1!F69="","",Sheet1!F69)</f>
        <v>0.25989217666953146</v>
      </c>
      <c r="G30" s="242">
        <f>IF(Sheet1!G69="","",Sheet1!G69)</f>
        <v>0.15656256921373202</v>
      </c>
      <c r="H30" s="242">
        <f>IF(Sheet1!H69="","",Sheet1!H69)</f>
        <v>0.16343539108520311</v>
      </c>
      <c r="I30" s="242">
        <f>IF(Sheet1!I69="","",Sheet1!I69)</f>
        <v>0.15737771837532843</v>
      </c>
      <c r="J30" s="242">
        <f>IF(Sheet1!J69="","",Sheet1!J69)</f>
        <v>0.16</v>
      </c>
      <c r="K30" s="242">
        <f>IF(Sheet1!K69="","",Sheet1!K69)</f>
        <v>0.14000000000000001</v>
      </c>
      <c r="L30" s="242">
        <f>IF(Sheet1!L69="","",Sheet1!L69)</f>
        <v>0.12</v>
      </c>
      <c r="M30" s="242">
        <f>IF(Sheet1!M69="","",Sheet1!M69)</f>
        <v>0.11</v>
      </c>
      <c r="N30" s="242">
        <f>IF(Sheet1!N69="","",Sheet1!N69)</f>
        <v>0.1</v>
      </c>
      <c r="O30" s="242">
        <f>IF(Sheet1!O69="","",Sheet1!O69)</f>
        <v>9.2999999999999999E-2</v>
      </c>
      <c r="P30" s="242">
        <f>IF(Sheet1!P69="","",Sheet1!P69)</f>
        <v>8.5999999999999993E-2</v>
      </c>
      <c r="Q30" s="242">
        <f>IF(Sheet1!Q69="","",Sheet1!Q69)</f>
        <v>7.9000000000000001E-2</v>
      </c>
      <c r="R30" s="242">
        <f>IF(Sheet1!R69="","",Sheet1!R69)</f>
        <v>7.1999999999999995E-2</v>
      </c>
      <c r="S30" s="242">
        <f>IF(Sheet1!S69="","",Sheet1!S69)</f>
        <v>6.5000000000000002E-2</v>
      </c>
    </row>
    <row r="31" spans="2:19">
      <c r="B31" t="s">
        <v>266</v>
      </c>
      <c r="D31" t="s">
        <v>1448</v>
      </c>
      <c r="E31" s="242">
        <f>IF(Sheet1!E73="","",Sheet1!E73)</f>
        <v>0.57908272610372913</v>
      </c>
      <c r="F31" s="242">
        <f>IF(Sheet1!F73="","",Sheet1!F73)</f>
        <v>0.61571908784623564</v>
      </c>
      <c r="G31" s="242">
        <f>IF(Sheet1!G73="","",Sheet1!G73)</f>
        <v>0.60565739086035231</v>
      </c>
      <c r="H31" s="242">
        <f>IF(Sheet1!H73="","",Sheet1!H73)</f>
        <v>0.60121421634794503</v>
      </c>
      <c r="I31" s="242">
        <f>IF(Sheet1!I73="","",Sheet1!I73)</f>
        <v>0.61619652604937336</v>
      </c>
      <c r="J31" s="242">
        <f>IF(Sheet1!J73="","",Sheet1!J73)</f>
        <v>0.61</v>
      </c>
      <c r="K31" s="242">
        <f>IF(Sheet1!K73="","",Sheet1!K73)</f>
        <v>0.61</v>
      </c>
      <c r="L31" s="242">
        <f>IF(Sheet1!L73="","",Sheet1!L73)</f>
        <v>0.61</v>
      </c>
      <c r="M31" s="242">
        <f>IF(Sheet1!M73="","",Sheet1!M73)</f>
        <v>0.61</v>
      </c>
      <c r="N31" s="242">
        <f>IF(Sheet1!N73="","",Sheet1!N73)</f>
        <v>0.61</v>
      </c>
      <c r="O31" s="242">
        <f>IF(Sheet1!O73="","",Sheet1!O73)</f>
        <v>0.61</v>
      </c>
      <c r="P31" s="242">
        <f>IF(Sheet1!P73="","",Sheet1!P73)</f>
        <v>0.61</v>
      </c>
      <c r="Q31" s="242">
        <f>IF(Sheet1!Q73="","",Sheet1!Q73)</f>
        <v>0.61</v>
      </c>
      <c r="R31" s="242">
        <f>IF(Sheet1!R73="","",Sheet1!R73)</f>
        <v>0.61</v>
      </c>
      <c r="S31" s="242">
        <f>IF(Sheet1!S73="","",Sheet1!S73)</f>
        <v>0.61</v>
      </c>
    </row>
    <row r="32" spans="2:19">
      <c r="B32" t="s">
        <v>285</v>
      </c>
      <c r="D32" t="s">
        <v>1475</v>
      </c>
      <c r="E32" s="242" t="str">
        <f>IF(Sheet1!E91="","",Sheet1!E91)</f>
        <v/>
      </c>
      <c r="F32" s="242">
        <f>IF(Sheet1!F91="","",Sheet1!F91)</f>
        <v>0.22868816159105188</v>
      </c>
      <c r="G32" s="242">
        <f>IF(Sheet1!G91="","",Sheet1!G91)</f>
        <v>0.13600105481840474</v>
      </c>
      <c r="H32" s="242">
        <f>IF(Sheet1!H91="","",Sheet1!H91)</f>
        <v>0.32156592537554118</v>
      </c>
      <c r="I32" s="242">
        <f>IF(Sheet1!I91="","",Sheet1!I91)</f>
        <v>0.24837977431391334</v>
      </c>
      <c r="J32" s="242">
        <f>IF(Sheet1!J91="","",Sheet1!J91)</f>
        <v>0.25</v>
      </c>
      <c r="K32" s="242">
        <f>IF(Sheet1!K91="","",Sheet1!K91)</f>
        <v>0.15</v>
      </c>
      <c r="L32" s="242">
        <f>IF(Sheet1!L91="","",Sheet1!L91)</f>
        <v>0.12</v>
      </c>
      <c r="M32" s="242">
        <f>IF(Sheet1!M91="","",Sheet1!M91)</f>
        <v>0.1</v>
      </c>
      <c r="N32" s="242">
        <f>IF(Sheet1!N91="","",Sheet1!N91)</f>
        <v>0.1</v>
      </c>
      <c r="O32" s="242">
        <f>IF(Sheet1!O91="","",Sheet1!O91)</f>
        <v>9.4E-2</v>
      </c>
      <c r="P32" s="242">
        <f>IF(Sheet1!P91="","",Sheet1!P91)</f>
        <v>8.7999999999999995E-2</v>
      </c>
      <c r="Q32" s="242">
        <f>IF(Sheet1!Q91="","",Sheet1!Q91)</f>
        <v>8.2000000000000003E-2</v>
      </c>
      <c r="R32" s="242">
        <f>IF(Sheet1!R91="","",Sheet1!R91)</f>
        <v>7.5999999999999998E-2</v>
      </c>
      <c r="S32" s="242">
        <f>IF(Sheet1!S91="","",Sheet1!S91)</f>
        <v>7.0000000000000007E-2</v>
      </c>
    </row>
    <row r="33" spans="2:19">
      <c r="B33" t="s">
        <v>290</v>
      </c>
      <c r="D33" t="s">
        <v>1482</v>
      </c>
      <c r="E33" s="242">
        <f>IF(Sheet1!E95="","",Sheet1!E95)</f>
        <v>0.53417114147167311</v>
      </c>
      <c r="F33" s="242">
        <f>IF(Sheet1!F95="","",Sheet1!F95)</f>
        <v>0.51292945238359466</v>
      </c>
      <c r="G33" s="242">
        <f>IF(Sheet1!G95="","",Sheet1!G95)</f>
        <v>0.50086416774515585</v>
      </c>
      <c r="H33" s="242">
        <f>IF(Sheet1!H95="","",Sheet1!H95)</f>
        <v>0.51353392825364041</v>
      </c>
      <c r="I33" s="242">
        <f>IF(Sheet1!I95="","",Sheet1!I95)</f>
        <v>0.52562269423834751</v>
      </c>
      <c r="J33" s="242">
        <f>IF(Sheet1!J95="","",Sheet1!J95)</f>
        <v>0.54500000000000004</v>
      </c>
      <c r="K33" s="242">
        <f>IF(Sheet1!K95="","",Sheet1!K95)</f>
        <v>0.52</v>
      </c>
      <c r="L33" s="242">
        <f>IF(Sheet1!L95="","",Sheet1!L95)</f>
        <v>0.51500000000000001</v>
      </c>
      <c r="M33" s="242">
        <f>IF(Sheet1!M95="","",Sheet1!M95)</f>
        <v>0.51</v>
      </c>
      <c r="N33" s="242">
        <f>IF(Sheet1!N95="","",Sheet1!N95)</f>
        <v>0.505</v>
      </c>
      <c r="O33" s="242">
        <f>IF(Sheet1!O95="","",Sheet1!O95)</f>
        <v>0.505</v>
      </c>
      <c r="P33" s="242">
        <f>IF(Sheet1!P95="","",Sheet1!P95)</f>
        <v>0.505</v>
      </c>
      <c r="Q33" s="242">
        <f>IF(Sheet1!Q95="","",Sheet1!Q95)</f>
        <v>0.505</v>
      </c>
      <c r="R33" s="242">
        <f>IF(Sheet1!R95="","",Sheet1!R95)</f>
        <v>0.505</v>
      </c>
      <c r="S33" s="242">
        <f>IF(Sheet1!S95="","",Sheet1!S95)</f>
        <v>0.505</v>
      </c>
    </row>
    <row r="34" spans="2:19">
      <c r="B34" t="s">
        <v>295</v>
      </c>
      <c r="D34" t="s">
        <v>1489</v>
      </c>
      <c r="E34" s="242" t="str">
        <f>IF(Sheet1!E99="","",Sheet1!E99)</f>
        <v/>
      </c>
      <c r="F34" s="242">
        <f>IF(Sheet1!F99="","",Sheet1!F99)</f>
        <v>1.9782830908059473E-2</v>
      </c>
      <c r="G34" s="242">
        <f>IF(Sheet1!G99="","",Sheet1!G99)</f>
        <v>1.1706972902995402E-2</v>
      </c>
      <c r="H34" s="242">
        <f>IF(Sheet1!H99="","",Sheet1!H99)</f>
        <v>7.3009944159276169E-3</v>
      </c>
      <c r="I34" s="242">
        <f>IF(Sheet1!I99="","",Sheet1!I99)</f>
        <v>7.8916871050098356E-3</v>
      </c>
      <c r="J34" s="242">
        <f>IF(Sheet1!J99="","",Sheet1!J99)</f>
        <v>7.0000000000000001E-3</v>
      </c>
      <c r="K34" s="242">
        <f>IF(Sheet1!K99="","",Sheet1!K99)</f>
        <v>7.4999999999999997E-3</v>
      </c>
      <c r="L34" s="242">
        <f>IF(Sheet1!L99="","",Sheet1!L99)</f>
        <v>7.4999999999999997E-3</v>
      </c>
      <c r="M34" s="242">
        <f>IF(Sheet1!M99="","",Sheet1!M99)</f>
        <v>7.4999999999999997E-3</v>
      </c>
      <c r="N34" s="242">
        <f>IF(Sheet1!N99="","",Sheet1!N99)</f>
        <v>7.4999999999999997E-3</v>
      </c>
      <c r="O34" s="242">
        <f>IF(Sheet1!O99="","",Sheet1!O99)</f>
        <v>7.4999999999999997E-3</v>
      </c>
      <c r="P34" s="242">
        <f>IF(Sheet1!P99="","",Sheet1!P99)</f>
        <v>7.4999999999999997E-3</v>
      </c>
      <c r="Q34" s="242">
        <f>IF(Sheet1!Q99="","",Sheet1!Q99)</f>
        <v>7.4999999999999997E-3</v>
      </c>
      <c r="R34" s="242">
        <f>IF(Sheet1!R99="","",Sheet1!R99)</f>
        <v>7.4999999999999997E-3</v>
      </c>
      <c r="S34" s="242">
        <f>IF(Sheet1!S99="","",Sheet1!S99)</f>
        <v>7.4999999999999997E-3</v>
      </c>
    </row>
    <row r="35" spans="2:19">
      <c r="B35" t="s">
        <v>300</v>
      </c>
      <c r="D35" t="s">
        <v>1496</v>
      </c>
      <c r="E35" s="242">
        <f>IF(Sheet1!E103="","",Sheet1!E103)</f>
        <v>2.93E-2</v>
      </c>
      <c r="F35" s="242">
        <f>IF(Sheet1!F103="","",Sheet1!F103)</f>
        <v>2.4199999999999999E-2</v>
      </c>
      <c r="G35" s="242">
        <f>IF(Sheet1!G103="","",Sheet1!G103)</f>
        <v>2.0799999999999999E-2</v>
      </c>
      <c r="H35" s="242">
        <f>IF(Sheet1!H103="","",Sheet1!H103)</f>
        <v>1.9E-2</v>
      </c>
      <c r="I35" s="242">
        <f>IF(Sheet1!I103="","",Sheet1!I103)</f>
        <v>1.8100000000000002E-2</v>
      </c>
      <c r="J35" s="242">
        <f>IF(Sheet1!J103="","",Sheet1!J103)</f>
        <v>1.8499999999999999E-2</v>
      </c>
      <c r="K35" s="242">
        <f>IF(Sheet1!K103="","",Sheet1!K103)</f>
        <v>1.8499999999999999E-2</v>
      </c>
      <c r="L35" s="242">
        <f>IF(Sheet1!L103="","",Sheet1!L103)</f>
        <v>1.7999999999999999E-2</v>
      </c>
      <c r="M35" s="242">
        <f>IF(Sheet1!M103="","",Sheet1!M103)</f>
        <v>1.7999999999999999E-2</v>
      </c>
      <c r="N35" s="242">
        <f>IF(Sheet1!N103="","",Sheet1!N103)</f>
        <v>1.7999999999999999E-2</v>
      </c>
      <c r="O35" s="242">
        <f>IF(Sheet1!O103="","",Sheet1!O103)</f>
        <v>1.7999999999999999E-2</v>
      </c>
      <c r="P35" s="242">
        <f>IF(Sheet1!P103="","",Sheet1!P103)</f>
        <v>1.7999999999999999E-2</v>
      </c>
      <c r="Q35" s="242">
        <f>IF(Sheet1!Q103="","",Sheet1!Q103)</f>
        <v>1.7999999999999999E-2</v>
      </c>
      <c r="R35" s="242">
        <f>IF(Sheet1!R103="","",Sheet1!R103)</f>
        <v>1.7999999999999999E-2</v>
      </c>
      <c r="S35" s="242">
        <f>IF(Sheet1!S103="","",Sheet1!S103)</f>
        <v>1.7999999999999999E-2</v>
      </c>
    </row>
    <row r="36" spans="2:19">
      <c r="B36" t="s">
        <v>307</v>
      </c>
      <c r="D36" t="s">
        <v>1504</v>
      </c>
      <c r="E36" s="242">
        <f>IF(Sheet1!E108="","",Sheet1!E108)</f>
        <v>0.25</v>
      </c>
      <c r="F36" s="242">
        <f>IF(Sheet1!F108="","",Sheet1!F108)</f>
        <v>0.1</v>
      </c>
      <c r="G36" s="242">
        <f>IF(Sheet1!G108="","",Sheet1!G108)</f>
        <v>0.15</v>
      </c>
      <c r="H36" s="242">
        <f>IF(Sheet1!H108="","",Sheet1!H108)</f>
        <v>0.15</v>
      </c>
      <c r="I36" s="242">
        <f>IF(Sheet1!I108="","",Sheet1!I108)</f>
        <v>0.2</v>
      </c>
      <c r="J36" s="242">
        <f>IF(Sheet1!J108="","",Sheet1!J108)</f>
        <v>0.22</v>
      </c>
      <c r="K36" s="242">
        <f>IF(Sheet1!K108="","",Sheet1!K108)</f>
        <v>0.25</v>
      </c>
      <c r="L36" s="242">
        <f>IF(Sheet1!L108="","",Sheet1!L108)</f>
        <v>0.27</v>
      </c>
      <c r="M36" s="242">
        <f>IF(Sheet1!M108="","",Sheet1!M108)</f>
        <v>0.3</v>
      </c>
      <c r="N36" s="242">
        <f>IF(Sheet1!N108="","",Sheet1!N108)</f>
        <v>0.3</v>
      </c>
      <c r="O36" s="242">
        <f>IF(Sheet1!O108="","",Sheet1!O108)</f>
        <v>0.4</v>
      </c>
      <c r="P36" s="242">
        <f>IF(Sheet1!P108="","",Sheet1!P108)</f>
        <v>0.5</v>
      </c>
      <c r="Q36" s="242">
        <f>IF(Sheet1!Q108="","",Sheet1!Q108)</f>
        <v>0.55000000000000004</v>
      </c>
      <c r="R36" s="242">
        <f>IF(Sheet1!R108="","",Sheet1!R108)</f>
        <v>0.6</v>
      </c>
      <c r="S36" s="242">
        <f>IF(Sheet1!S108="","",Sheet1!S108)</f>
        <v>0.65</v>
      </c>
    </row>
    <row r="37" spans="2:19" ht="20.100000000000001" customHeight="1">
      <c r="B37" s="3" t="s">
        <v>1701</v>
      </c>
      <c r="C37" s="3"/>
      <c r="D37" s="3"/>
      <c r="E37" s="2"/>
      <c r="F37" s="2"/>
      <c r="G37" s="2"/>
      <c r="H37" s="2"/>
      <c r="I37" s="2"/>
      <c r="J37" s="2"/>
      <c r="K37" s="2"/>
      <c r="L37" s="2"/>
      <c r="M37" s="2"/>
      <c r="N37" s="2"/>
      <c r="O37" s="2"/>
      <c r="P37" s="2"/>
      <c r="Q37" s="2"/>
      <c r="R37" s="2"/>
      <c r="S37" s="2"/>
    </row>
    <row r="38" spans="2:19">
      <c r="B38" t="s">
        <v>1702</v>
      </c>
      <c r="D38" t="s">
        <v>1703</v>
      </c>
      <c r="E38" s="242" t="str">
        <f>IF(Sheet1!E423="","",Sheet1!E423)</f>
        <v>Bear</v>
      </c>
      <c r="F38" s="242" t="str">
        <f>IF(Sheet1!F423="","",Sheet1!F423)</f>
        <v>Base</v>
      </c>
      <c r="G38" s="242" t="str">
        <f>IF(Sheet1!G423="","",Sheet1!G423)</f>
        <v>Bull</v>
      </c>
      <c r="H38" s="242" t="str">
        <f>IF(Sheet1!H423="","",Sheet1!H423)</f>
        <v>Prob-wtd</v>
      </c>
      <c r="I38" s="242" t="str">
        <f>IF(Sheet1!I423="","",Sheet1!I423)</f>
        <v/>
      </c>
      <c r="J38" s="242" t="str">
        <f>IF(Sheet1!J423="","",Sheet1!J423)</f>
        <v/>
      </c>
      <c r="K38" s="242" t="str">
        <f>IF(Sheet1!K423="","",Sheet1!K423)</f>
        <v/>
      </c>
      <c r="L38" s="242" t="str">
        <f>IF(Sheet1!L423="","",Sheet1!L423)</f>
        <v/>
      </c>
      <c r="M38" s="242" t="str">
        <f>IF(Sheet1!M423="","",Sheet1!M423)</f>
        <v/>
      </c>
      <c r="N38" s="242" t="str">
        <f>IF(Sheet1!N423="","",Sheet1!N423)</f>
        <v/>
      </c>
      <c r="O38" s="242" t="str">
        <f>IF(Sheet1!O423="","",Sheet1!O423)</f>
        <v/>
      </c>
      <c r="P38" s="242" t="str">
        <f>IF(Sheet1!P423="","",Sheet1!P423)</f>
        <v/>
      </c>
      <c r="Q38" s="242" t="str">
        <f>IF(Sheet1!Q423="","",Sheet1!Q423)</f>
        <v/>
      </c>
      <c r="R38" s="242" t="str">
        <f>IF(Sheet1!R423="","",Sheet1!R423)</f>
        <v/>
      </c>
      <c r="S38" s="242" t="str">
        <f>IF(Sheet1!S423="","",Sheet1!S423)</f>
        <v/>
      </c>
    </row>
    <row r="39" spans="2:19">
      <c r="B39" t="s">
        <v>648</v>
      </c>
      <c r="D39" t="s">
        <v>1704</v>
      </c>
      <c r="E39" s="242">
        <f>IF(Sheet1!E424="","",Sheet1!E424)</f>
        <v>7187.5912142575198</v>
      </c>
      <c r="F39" s="242">
        <f>IF(Sheet1!F424="","",Sheet1!F424)</f>
        <v>8421.2868241320502</v>
      </c>
      <c r="G39" s="242">
        <f>IF(Sheet1!G424="","",Sheet1!G424)</f>
        <v>9439.5669964264398</v>
      </c>
      <c r="H39" s="242">
        <f>IF(Sheet1!H424="","",Sheet1!H424)</f>
        <v>8273.6006404799773</v>
      </c>
      <c r="I39" s="242" t="str">
        <f>IF(Sheet1!I424="","",Sheet1!I424)</f>
        <v/>
      </c>
      <c r="J39" s="242" t="str">
        <f>IF(Sheet1!J424="","",Sheet1!J424)</f>
        <v/>
      </c>
      <c r="K39" s="242" t="str">
        <f>IF(Sheet1!K424="","",Sheet1!K424)</f>
        <v/>
      </c>
      <c r="L39" s="242" t="str">
        <f>IF(Sheet1!L424="","",Sheet1!L424)</f>
        <v/>
      </c>
      <c r="M39" s="242" t="str">
        <f>IF(Sheet1!M424="","",Sheet1!M424)</f>
        <v/>
      </c>
      <c r="N39" s="242" t="str">
        <f>IF(Sheet1!N424="","",Sheet1!N424)</f>
        <v/>
      </c>
      <c r="O39" s="242" t="str">
        <f>IF(Sheet1!O424="","",Sheet1!O424)</f>
        <v/>
      </c>
      <c r="P39" s="242" t="str">
        <f>IF(Sheet1!P424="","",Sheet1!P424)</f>
        <v/>
      </c>
      <c r="Q39" s="242" t="str">
        <f>IF(Sheet1!Q424="","",Sheet1!Q424)</f>
        <v/>
      </c>
      <c r="R39" s="242" t="str">
        <f>IF(Sheet1!R424="","",Sheet1!R424)</f>
        <v/>
      </c>
      <c r="S39" s="242" t="str">
        <f>IF(Sheet1!S424="","",Sheet1!S424)</f>
        <v/>
      </c>
    </row>
    <row r="40" spans="2:19">
      <c r="B40" t="s">
        <v>649</v>
      </c>
      <c r="D40" t="s">
        <v>1705</v>
      </c>
      <c r="E40" s="242">
        <f>IF(Sheet1!E425="","",Sheet1!E425)</f>
        <v>8099.6976793952799</v>
      </c>
      <c r="F40" s="242">
        <f>IF(Sheet1!F425="","",Sheet1!F425)</f>
        <v>10381.774224213899</v>
      </c>
      <c r="G40" s="242">
        <f>IF(Sheet1!G425="","",Sheet1!G425)</f>
        <v>12291.979920919701</v>
      </c>
      <c r="H40" s="242">
        <f>IF(Sheet1!H425="","",Sheet1!H425)</f>
        <v>10114.128085455512</v>
      </c>
      <c r="I40" s="242" t="str">
        <f>IF(Sheet1!I425="","",Sheet1!I425)</f>
        <v/>
      </c>
      <c r="J40" s="242" t="str">
        <f>IF(Sheet1!J425="","",Sheet1!J425)</f>
        <v/>
      </c>
      <c r="K40" s="242" t="str">
        <f>IF(Sheet1!K425="","",Sheet1!K425)</f>
        <v/>
      </c>
      <c r="L40" s="242" t="str">
        <f>IF(Sheet1!L425="","",Sheet1!L425)</f>
        <v/>
      </c>
      <c r="M40" s="242" t="str">
        <f>IF(Sheet1!M425="","",Sheet1!M425)</f>
        <v/>
      </c>
      <c r="N40" s="242" t="str">
        <f>IF(Sheet1!N425="","",Sheet1!N425)</f>
        <v/>
      </c>
      <c r="O40" s="242" t="str">
        <f>IF(Sheet1!O425="","",Sheet1!O425)</f>
        <v/>
      </c>
      <c r="P40" s="242" t="str">
        <f>IF(Sheet1!P425="","",Sheet1!P425)</f>
        <v/>
      </c>
      <c r="Q40" s="242" t="str">
        <f>IF(Sheet1!Q425="","",Sheet1!Q425)</f>
        <v/>
      </c>
      <c r="R40" s="242" t="str">
        <f>IF(Sheet1!R425="","",Sheet1!R425)</f>
        <v/>
      </c>
      <c r="S40" s="242" t="str">
        <f>IF(Sheet1!S425="","",Sheet1!S425)</f>
        <v/>
      </c>
    </row>
    <row r="41" spans="2:19">
      <c r="B41" t="s">
        <v>128</v>
      </c>
      <c r="D41" t="s">
        <v>1706</v>
      </c>
      <c r="E41" s="242">
        <f>IF(Sheet1!E426="","",Sheet1!E426)</f>
        <v>10838.648748440601</v>
      </c>
      <c r="F41" s="242">
        <f>IF(Sheet1!F426="","",Sheet1!F426)</f>
        <v>15139.179114098901</v>
      </c>
      <c r="G41" s="242">
        <f>IF(Sheet1!G426="","",Sheet1!G426)</f>
        <v>19313.348140843402</v>
      </c>
      <c r="H41" s="242">
        <f>IF(Sheet1!H426="","",Sheet1!H426)</f>
        <v>14754.476304687001</v>
      </c>
      <c r="I41" s="242" t="str">
        <f>IF(Sheet1!I426="","",Sheet1!I426)</f>
        <v/>
      </c>
      <c r="J41" s="242" t="str">
        <f>IF(Sheet1!J426="","",Sheet1!J426)</f>
        <v/>
      </c>
      <c r="K41" s="242" t="str">
        <f>IF(Sheet1!K426="","",Sheet1!K426)</f>
        <v/>
      </c>
      <c r="L41" s="242" t="str">
        <f>IF(Sheet1!L426="","",Sheet1!L426)</f>
        <v/>
      </c>
      <c r="M41" s="242" t="str">
        <f>IF(Sheet1!M426="","",Sheet1!M426)</f>
        <v/>
      </c>
      <c r="N41" s="242" t="str">
        <f>IF(Sheet1!N426="","",Sheet1!N426)</f>
        <v/>
      </c>
      <c r="O41" s="242" t="str">
        <f>IF(Sheet1!O426="","",Sheet1!O426)</f>
        <v/>
      </c>
      <c r="P41" s="242" t="str">
        <f>IF(Sheet1!P426="","",Sheet1!P426)</f>
        <v/>
      </c>
      <c r="Q41" s="242" t="str">
        <f>IF(Sheet1!Q426="","",Sheet1!Q426)</f>
        <v/>
      </c>
      <c r="R41" s="242" t="str">
        <f>IF(Sheet1!R426="","",Sheet1!R426)</f>
        <v/>
      </c>
      <c r="S41" s="242" t="str">
        <f>IF(Sheet1!S426="","",Sheet1!S426)</f>
        <v/>
      </c>
    </row>
    <row r="42" spans="2:19">
      <c r="B42" t="s">
        <v>650</v>
      </c>
      <c r="D42" t="s">
        <v>1707</v>
      </c>
      <c r="E42" s="242">
        <f>IF(Sheet1!E427="","",Sheet1!E427)</f>
        <v>14253.0009424117</v>
      </c>
      <c r="F42" s="242">
        <f>IF(Sheet1!F427="","",Sheet1!F427)</f>
        <v>22490.8292774074</v>
      </c>
      <c r="G42" s="242">
        <f>IF(Sheet1!G427="","",Sheet1!G427)</f>
        <v>31436.264818363299</v>
      </c>
      <c r="H42" s="242">
        <f>IF(Sheet1!H427="","",Sheet1!H427)</f>
        <v>21951.7617507328</v>
      </c>
      <c r="I42" s="242" t="str">
        <f>IF(Sheet1!I427="","",Sheet1!I427)</f>
        <v/>
      </c>
      <c r="J42" s="242" t="str">
        <f>IF(Sheet1!J427="","",Sheet1!J427)</f>
        <v/>
      </c>
      <c r="K42" s="242" t="str">
        <f>IF(Sheet1!K427="","",Sheet1!K427)</f>
        <v/>
      </c>
      <c r="L42" s="242" t="str">
        <f>IF(Sheet1!L427="","",Sheet1!L427)</f>
        <v/>
      </c>
      <c r="M42" s="242" t="str">
        <f>IF(Sheet1!M427="","",Sheet1!M427)</f>
        <v/>
      </c>
      <c r="N42" s="242" t="str">
        <f>IF(Sheet1!N427="","",Sheet1!N427)</f>
        <v/>
      </c>
      <c r="O42" s="242" t="str">
        <f>IF(Sheet1!O427="","",Sheet1!O427)</f>
        <v/>
      </c>
      <c r="P42" s="242" t="str">
        <f>IF(Sheet1!P427="","",Sheet1!P427)</f>
        <v/>
      </c>
      <c r="Q42" s="242" t="str">
        <f>IF(Sheet1!Q427="","",Sheet1!Q427)</f>
        <v/>
      </c>
      <c r="R42" s="242" t="str">
        <f>IF(Sheet1!R427="","",Sheet1!R427)</f>
        <v/>
      </c>
      <c r="S42" s="242" t="str">
        <f>IF(Sheet1!S427="","",Sheet1!S427)</f>
        <v/>
      </c>
    </row>
    <row r="43" spans="2:19">
      <c r="B43" t="s">
        <v>651</v>
      </c>
      <c r="D43" t="s">
        <v>1708</v>
      </c>
      <c r="E43" s="242">
        <f>IF(Sheet1!E428="","",Sheet1!E428)</f>
        <v>0.13118456036293999</v>
      </c>
      <c r="F43" s="242">
        <f>IF(Sheet1!F428="","",Sheet1!F428)</f>
        <v>0.15199022731428399</v>
      </c>
      <c r="G43" s="242">
        <f>IF(Sheet1!G428="","",Sheet1!G428)</f>
        <v>0.168817207965509</v>
      </c>
      <c r="H43" s="242">
        <f>IF(Sheet1!H428="","",Sheet1!H428)</f>
        <v>0.14942752875581386</v>
      </c>
      <c r="I43" s="242" t="str">
        <f>IF(Sheet1!I428="","",Sheet1!I428)</f>
        <v/>
      </c>
      <c r="J43" s="242" t="str">
        <f>IF(Sheet1!J428="","",Sheet1!J428)</f>
        <v/>
      </c>
      <c r="K43" s="242" t="str">
        <f>IF(Sheet1!K428="","",Sheet1!K428)</f>
        <v/>
      </c>
      <c r="L43" s="242" t="str">
        <f>IF(Sheet1!L428="","",Sheet1!L428)</f>
        <v/>
      </c>
      <c r="M43" s="242" t="str">
        <f>IF(Sheet1!M428="","",Sheet1!M428)</f>
        <v/>
      </c>
      <c r="N43" s="242" t="str">
        <f>IF(Sheet1!N428="","",Sheet1!N428)</f>
        <v/>
      </c>
      <c r="O43" s="242" t="str">
        <f>IF(Sheet1!O428="","",Sheet1!O428)</f>
        <v/>
      </c>
      <c r="P43" s="242" t="str">
        <f>IF(Sheet1!P428="","",Sheet1!P428)</f>
        <v/>
      </c>
      <c r="Q43" s="242" t="str">
        <f>IF(Sheet1!Q428="","",Sheet1!Q428)</f>
        <v/>
      </c>
      <c r="R43" s="242" t="str">
        <f>IF(Sheet1!R428="","",Sheet1!R428)</f>
        <v/>
      </c>
      <c r="S43" s="242" t="str">
        <f>IF(Sheet1!S428="","",Sheet1!S428)</f>
        <v/>
      </c>
    </row>
    <row r="44" spans="2:19">
      <c r="B44" t="s">
        <v>129</v>
      </c>
      <c r="D44" t="s">
        <v>1709</v>
      </c>
      <c r="E44" s="242">
        <f>IF(Sheet1!E429="","",Sheet1!E429)</f>
        <v>0.106201613098782</v>
      </c>
      <c r="F44" s="242">
        <f>IF(Sheet1!F429="","",Sheet1!F429)</f>
        <v>0.146197149735769</v>
      </c>
      <c r="G44" s="242">
        <f>IF(Sheet1!G429="","",Sheet1!G429)</f>
        <v>0.17805393254417001</v>
      </c>
      <c r="H44" s="242">
        <f>IF(Sheet1!H429="","",Sheet1!H429)</f>
        <v>0.14116861463506467</v>
      </c>
      <c r="I44" s="242" t="str">
        <f>IF(Sheet1!I429="","",Sheet1!I429)</f>
        <v/>
      </c>
      <c r="J44" s="242" t="str">
        <f>IF(Sheet1!J429="","",Sheet1!J429)</f>
        <v/>
      </c>
      <c r="K44" s="242" t="str">
        <f>IF(Sheet1!K429="","",Sheet1!K429)</f>
        <v/>
      </c>
      <c r="L44" s="242" t="str">
        <f>IF(Sheet1!L429="","",Sheet1!L429)</f>
        <v/>
      </c>
      <c r="M44" s="242" t="str">
        <f>IF(Sheet1!M429="","",Sheet1!M429)</f>
        <v/>
      </c>
      <c r="N44" s="242" t="str">
        <f>IF(Sheet1!N429="","",Sheet1!N429)</f>
        <v/>
      </c>
      <c r="O44" s="242" t="str">
        <f>IF(Sheet1!O429="","",Sheet1!O429)</f>
        <v/>
      </c>
      <c r="P44" s="242" t="str">
        <f>IF(Sheet1!P429="","",Sheet1!P429)</f>
        <v/>
      </c>
      <c r="Q44" s="242" t="str">
        <f>IF(Sheet1!Q429="","",Sheet1!Q429)</f>
        <v/>
      </c>
      <c r="R44" s="242" t="str">
        <f>IF(Sheet1!R429="","",Sheet1!R429)</f>
        <v/>
      </c>
      <c r="S44" s="242" t="str">
        <f>IF(Sheet1!S429="","",Sheet1!S429)</f>
        <v/>
      </c>
    </row>
    <row r="45" spans="2:19">
      <c r="B45" t="s">
        <v>652</v>
      </c>
      <c r="D45" t="s">
        <v>1710</v>
      </c>
      <c r="E45" s="242">
        <f>IF(Sheet1!E430="","",Sheet1!E430)</f>
        <v>5.2577842335811399E-2</v>
      </c>
      <c r="F45" s="242">
        <f>IF(Sheet1!F430="","",Sheet1!F430)</f>
        <v>5.4810324245377399E-2</v>
      </c>
      <c r="G45" s="242">
        <f>IF(Sheet1!G430="","",Sheet1!G430)</f>
        <v>5.6873555746683097E-2</v>
      </c>
      <c r="H45" s="242">
        <f>IF(Sheet1!H430="","",Sheet1!H430)</f>
        <v>5.4589023584526004E-2</v>
      </c>
      <c r="I45" s="242" t="str">
        <f>IF(Sheet1!I430="","",Sheet1!I430)</f>
        <v/>
      </c>
      <c r="J45" s="242" t="str">
        <f>IF(Sheet1!J430="","",Sheet1!J430)</f>
        <v/>
      </c>
      <c r="K45" s="242" t="str">
        <f>IF(Sheet1!K430="","",Sheet1!K430)</f>
        <v/>
      </c>
      <c r="L45" s="242" t="str">
        <f>IF(Sheet1!L430="","",Sheet1!L430)</f>
        <v/>
      </c>
      <c r="M45" s="242" t="str">
        <f>IF(Sheet1!M430="","",Sheet1!M430)</f>
        <v/>
      </c>
      <c r="N45" s="242" t="str">
        <f>IF(Sheet1!N430="","",Sheet1!N430)</f>
        <v/>
      </c>
      <c r="O45" s="242" t="str">
        <f>IF(Sheet1!O430="","",Sheet1!O430)</f>
        <v/>
      </c>
      <c r="P45" s="242" t="str">
        <f>IF(Sheet1!P430="","",Sheet1!P430)</f>
        <v/>
      </c>
      <c r="Q45" s="242" t="str">
        <f>IF(Sheet1!Q430="","",Sheet1!Q430)</f>
        <v/>
      </c>
      <c r="R45" s="242" t="str">
        <f>IF(Sheet1!R430="","",Sheet1!R430)</f>
        <v/>
      </c>
      <c r="S45" s="242" t="str">
        <f>IF(Sheet1!S430="","",Sheet1!S430)</f>
        <v/>
      </c>
    </row>
    <row r="46" spans="2:19">
      <c r="B46" t="s">
        <v>653</v>
      </c>
      <c r="D46" t="s">
        <v>1711</v>
      </c>
      <c r="E46" s="242">
        <f>IF(Sheet1!E431="","",Sheet1!E431)</f>
        <v>623485.70866600994</v>
      </c>
      <c r="F46" s="242">
        <f>IF(Sheet1!F431="","",Sheet1!F431)</f>
        <v>813919.227734557</v>
      </c>
      <c r="G46" s="242">
        <f>IF(Sheet1!G431="","",Sheet1!G431)</f>
        <v>991834.35137915204</v>
      </c>
      <c r="H46" s="242">
        <f>IF(Sheet1!H431="","",Sheet1!H431)</f>
        <v>795441.76876552147</v>
      </c>
      <c r="I46" s="242" t="str">
        <f>IF(Sheet1!I431="","",Sheet1!I431)</f>
        <v/>
      </c>
      <c r="J46" s="242" t="str">
        <f>IF(Sheet1!J431="","",Sheet1!J431)</f>
        <v/>
      </c>
      <c r="K46" s="242" t="str">
        <f>IF(Sheet1!K431="","",Sheet1!K431)</f>
        <v/>
      </c>
      <c r="L46" s="242" t="str">
        <f>IF(Sheet1!L431="","",Sheet1!L431)</f>
        <v/>
      </c>
      <c r="M46" s="242" t="str">
        <f>IF(Sheet1!M431="","",Sheet1!M431)</f>
        <v/>
      </c>
      <c r="N46" s="242" t="str">
        <f>IF(Sheet1!N431="","",Sheet1!N431)</f>
        <v/>
      </c>
      <c r="O46" s="242" t="str">
        <f>IF(Sheet1!O431="","",Sheet1!O431)</f>
        <v/>
      </c>
      <c r="P46" s="242" t="str">
        <f>IF(Sheet1!P431="","",Sheet1!P431)</f>
        <v/>
      </c>
      <c r="Q46" s="242" t="str">
        <f>IF(Sheet1!Q431="","",Sheet1!Q431)</f>
        <v/>
      </c>
      <c r="R46" s="242" t="str">
        <f>IF(Sheet1!R431="","",Sheet1!R431)</f>
        <v/>
      </c>
      <c r="S46" s="242" t="str">
        <f>IF(Sheet1!S431="","",Sheet1!S431)</f>
        <v/>
      </c>
    </row>
    <row r="47" spans="2:19">
      <c r="B47" t="s">
        <v>654</v>
      </c>
      <c r="D47" t="s">
        <v>1712</v>
      </c>
      <c r="E47" s="242">
        <f>IF(Sheet1!E432="","",Sheet1!E432)</f>
        <v>0.30553799956264999</v>
      </c>
      <c r="F47" s="242">
        <f>IF(Sheet1!F432="","",Sheet1!F432)</f>
        <v>0.26696652662695503</v>
      </c>
      <c r="G47" s="242">
        <f>IF(Sheet1!G432="","",Sheet1!G432)</f>
        <v>0.25102215284204799</v>
      </c>
      <c r="H47" s="242">
        <f>IF(Sheet1!H432="","",Sheet1!H432)</f>
        <v>0.27489479502801045</v>
      </c>
      <c r="I47" s="242" t="str">
        <f>IF(Sheet1!I432="","",Sheet1!I432)</f>
        <v/>
      </c>
      <c r="J47" s="242" t="str">
        <f>IF(Sheet1!J432="","",Sheet1!J432)</f>
        <v/>
      </c>
      <c r="K47" s="242" t="str">
        <f>IF(Sheet1!K432="","",Sheet1!K432)</f>
        <v/>
      </c>
      <c r="L47" s="242" t="str">
        <f>IF(Sheet1!L432="","",Sheet1!L432)</f>
        <v/>
      </c>
      <c r="M47" s="242" t="str">
        <f>IF(Sheet1!M432="","",Sheet1!M432)</f>
        <v/>
      </c>
      <c r="N47" s="242" t="str">
        <f>IF(Sheet1!N432="","",Sheet1!N432)</f>
        <v/>
      </c>
      <c r="O47" s="242" t="str">
        <f>IF(Sheet1!O432="","",Sheet1!O432)</f>
        <v/>
      </c>
      <c r="P47" s="242" t="str">
        <f>IF(Sheet1!P432="","",Sheet1!P432)</f>
        <v/>
      </c>
      <c r="Q47" s="242" t="str">
        <f>IF(Sheet1!Q432="","",Sheet1!Q432)</f>
        <v/>
      </c>
      <c r="R47" s="242" t="str">
        <f>IF(Sheet1!R432="","",Sheet1!R432)</f>
        <v/>
      </c>
      <c r="S47" s="242" t="str">
        <f>IF(Sheet1!S432="","",Sheet1!S432)</f>
        <v/>
      </c>
    </row>
    <row r="48" spans="2:19">
      <c r="B48" t="s">
        <v>655</v>
      </c>
      <c r="D48" t="s">
        <v>1713</v>
      </c>
      <c r="E48" s="242">
        <f>IF(Sheet1!E433="","",Sheet1!E433)</f>
        <v>2612.6247062890502</v>
      </c>
      <c r="F48" s="242">
        <f>IF(Sheet1!F433="","",Sheet1!F433)</f>
        <v>2999.7819160518702</v>
      </c>
      <c r="G48" s="242">
        <f>IF(Sheet1!G433="","",Sheet1!G433)</f>
        <v>3455.01779510398</v>
      </c>
      <c r="H48" s="242">
        <f>IF(Sheet1!H433="","",Sheet1!H433)</f>
        <v>2981.7018713402376</v>
      </c>
      <c r="I48" s="242" t="str">
        <f>IF(Sheet1!I433="","",Sheet1!I433)</f>
        <v/>
      </c>
      <c r="J48" s="242" t="str">
        <f>IF(Sheet1!J433="","",Sheet1!J433)</f>
        <v/>
      </c>
      <c r="K48" s="242" t="str">
        <f>IF(Sheet1!K433="","",Sheet1!K433)</f>
        <v/>
      </c>
      <c r="L48" s="242" t="str">
        <f>IF(Sheet1!L433="","",Sheet1!L433)</f>
        <v/>
      </c>
      <c r="M48" s="242" t="str">
        <f>IF(Sheet1!M433="","",Sheet1!M433)</f>
        <v/>
      </c>
      <c r="N48" s="242" t="str">
        <f>IF(Sheet1!N433="","",Sheet1!N433)</f>
        <v/>
      </c>
      <c r="O48" s="242" t="str">
        <f>IF(Sheet1!O433="","",Sheet1!O433)</f>
        <v/>
      </c>
      <c r="P48" s="242" t="str">
        <f>IF(Sheet1!P433="","",Sheet1!P433)</f>
        <v/>
      </c>
      <c r="Q48" s="242" t="str">
        <f>IF(Sheet1!Q433="","",Sheet1!Q433)</f>
        <v/>
      </c>
      <c r="R48" s="242" t="str">
        <f>IF(Sheet1!R433="","",Sheet1!R433)</f>
        <v/>
      </c>
      <c r="S48" s="242" t="str">
        <f>IF(Sheet1!S433="","",Sheet1!S433)</f>
        <v/>
      </c>
    </row>
    <row r="49" spans="2:19">
      <c r="B49" t="s">
        <v>656</v>
      </c>
      <c r="D49" t="s">
        <v>1714</v>
      </c>
      <c r="E49" s="242">
        <f>IF(Sheet1!E434="","",Sheet1!E434)</f>
        <v>134.641981981344</v>
      </c>
      <c r="F49" s="242">
        <f>IF(Sheet1!F434="","",Sheet1!F434)</f>
        <v>276.19957336102601</v>
      </c>
      <c r="G49" s="242">
        <f>IF(Sheet1!G434="","",Sheet1!G434)</f>
        <v>415.75086016419499</v>
      </c>
      <c r="H49" s="242">
        <f>IF(Sheet1!H434="","",Sheet1!H434)</f>
        <v>263.98512729261228</v>
      </c>
      <c r="I49" s="242" t="str">
        <f>IF(Sheet1!I434="","",Sheet1!I434)</f>
        <v/>
      </c>
      <c r="J49" s="242" t="str">
        <f>IF(Sheet1!J434="","",Sheet1!J434)</f>
        <v/>
      </c>
      <c r="K49" s="242" t="str">
        <f>IF(Sheet1!K434="","",Sheet1!K434)</f>
        <v/>
      </c>
      <c r="L49" s="242" t="str">
        <f>IF(Sheet1!L434="","",Sheet1!L434)</f>
        <v/>
      </c>
      <c r="M49" s="242" t="str">
        <f>IF(Sheet1!M434="","",Sheet1!M434)</f>
        <v/>
      </c>
      <c r="N49" s="242" t="str">
        <f>IF(Sheet1!N434="","",Sheet1!N434)</f>
        <v/>
      </c>
      <c r="O49" s="242" t="str">
        <f>IF(Sheet1!O434="","",Sheet1!O434)</f>
        <v/>
      </c>
      <c r="P49" s="242" t="str">
        <f>IF(Sheet1!P434="","",Sheet1!P434)</f>
        <v/>
      </c>
      <c r="Q49" s="242" t="str">
        <f>IF(Sheet1!Q434="","",Sheet1!Q434)</f>
        <v/>
      </c>
      <c r="R49" s="242" t="str">
        <f>IF(Sheet1!R434="","",Sheet1!R434)</f>
        <v/>
      </c>
      <c r="S49" s="242" t="str">
        <f>IF(Sheet1!S434="","",Sheet1!S434)</f>
        <v/>
      </c>
    </row>
    <row r="50" spans="2:19">
      <c r="B50" t="s">
        <v>657</v>
      </c>
      <c r="D50" t="s">
        <v>1715</v>
      </c>
      <c r="E50" s="242">
        <f>IF(Sheet1!E435="","",Sheet1!E435)</f>
        <v>1188.89915786559</v>
      </c>
      <c r="F50" s="242">
        <f>IF(Sheet1!F435="","",Sheet1!F435)</f>
        <v>1890.62070566496</v>
      </c>
      <c r="G50" s="242">
        <f>IF(Sheet1!G435="","",Sheet1!G435)</f>
        <v>2712.8764144942202</v>
      </c>
      <c r="H50" s="242">
        <f>IF(Sheet1!H435="","",Sheet1!H435)</f>
        <v>1857.2551935629062</v>
      </c>
      <c r="I50" s="242" t="str">
        <f>IF(Sheet1!I435="","",Sheet1!I435)</f>
        <v/>
      </c>
      <c r="J50" s="242" t="str">
        <f>IF(Sheet1!J435="","",Sheet1!J435)</f>
        <v/>
      </c>
      <c r="K50" s="242" t="str">
        <f>IF(Sheet1!K435="","",Sheet1!K435)</f>
        <v/>
      </c>
      <c r="L50" s="242" t="str">
        <f>IF(Sheet1!L435="","",Sheet1!L435)</f>
        <v/>
      </c>
      <c r="M50" s="242" t="str">
        <f>IF(Sheet1!M435="","",Sheet1!M435)</f>
        <v/>
      </c>
      <c r="N50" s="242" t="str">
        <f>IF(Sheet1!N435="","",Sheet1!N435)</f>
        <v/>
      </c>
      <c r="O50" s="242" t="str">
        <f>IF(Sheet1!O435="","",Sheet1!O435)</f>
        <v/>
      </c>
      <c r="P50" s="242" t="str">
        <f>IF(Sheet1!P435="","",Sheet1!P435)</f>
        <v/>
      </c>
      <c r="Q50" s="242" t="str">
        <f>IF(Sheet1!Q435="","",Sheet1!Q435)</f>
        <v/>
      </c>
      <c r="R50" s="242" t="str">
        <f>IF(Sheet1!R435="","",Sheet1!R435)</f>
        <v/>
      </c>
      <c r="S50" s="242" t="str">
        <f>IF(Sheet1!S435="","",Sheet1!S435)</f>
        <v/>
      </c>
    </row>
    <row r="51" spans="2:19">
      <c r="B51" t="s">
        <v>658</v>
      </c>
      <c r="D51" t="s">
        <v>1716</v>
      </c>
      <c r="E51" s="242">
        <f>IF(Sheet1!E436="","",Sheet1!E436)</f>
        <v>1188.89915786559</v>
      </c>
      <c r="F51" s="242">
        <f>IF(Sheet1!F436="","",Sheet1!F436)</f>
        <v>1890.62070566496</v>
      </c>
      <c r="G51" s="242">
        <f>IF(Sheet1!G436="","",Sheet1!G436)</f>
        <v>2712.8764144942202</v>
      </c>
      <c r="H51" s="242">
        <f>IF(Sheet1!H436="","",Sheet1!H436)</f>
        <v>1857.2551935629062</v>
      </c>
      <c r="I51" s="242" t="str">
        <f>IF(Sheet1!I436="","",Sheet1!I436)</f>
        <v/>
      </c>
      <c r="J51" s="242" t="str">
        <f>IF(Sheet1!J436="","",Sheet1!J436)</f>
        <v/>
      </c>
      <c r="K51" s="242" t="str">
        <f>IF(Sheet1!K436="","",Sheet1!K436)</f>
        <v/>
      </c>
      <c r="L51" s="242" t="str">
        <f>IF(Sheet1!L436="","",Sheet1!L436)</f>
        <v/>
      </c>
      <c r="M51" s="242" t="str">
        <f>IF(Sheet1!M436="","",Sheet1!M436)</f>
        <v/>
      </c>
      <c r="N51" s="242" t="str">
        <f>IF(Sheet1!N436="","",Sheet1!N436)</f>
        <v/>
      </c>
      <c r="O51" s="242" t="str">
        <f>IF(Sheet1!O436="","",Sheet1!O436)</f>
        <v/>
      </c>
      <c r="P51" s="242" t="str">
        <f>IF(Sheet1!P436="","",Sheet1!P436)</f>
        <v/>
      </c>
      <c r="Q51" s="242" t="str">
        <f>IF(Sheet1!Q436="","",Sheet1!Q436)</f>
        <v/>
      </c>
      <c r="R51" s="242" t="str">
        <f>IF(Sheet1!R436="","",Sheet1!R436)</f>
        <v/>
      </c>
      <c r="S51" s="242" t="str">
        <f>IF(Sheet1!S436="","",Sheet1!S436)</f>
        <v/>
      </c>
    </row>
    <row r="52" spans="2:19">
      <c r="B52" t="s">
        <v>659</v>
      </c>
      <c r="D52" t="s">
        <v>1717</v>
      </c>
      <c r="E52" s="242">
        <f>IF(Sheet1!E437="","",Sheet1!E437)</f>
        <v>1368.08407237864</v>
      </c>
      <c r="F52" s="242">
        <f>IF(Sheet1!F437="","",Sheet1!F437)</f>
        <v>2206.4988206071998</v>
      </c>
      <c r="G52" s="242">
        <f>IF(Sheet1!G437="","",Sheet1!G437)</f>
        <v>3188.4779975012202</v>
      </c>
      <c r="H52" s="242">
        <f>IF(Sheet1!H437="","",Sheet1!H437)</f>
        <v>2166.5401808934575</v>
      </c>
      <c r="I52" s="242" t="str">
        <f>IF(Sheet1!I437="","",Sheet1!I437)</f>
        <v/>
      </c>
      <c r="J52" s="242" t="str">
        <f>IF(Sheet1!J437="","",Sheet1!J437)</f>
        <v/>
      </c>
      <c r="K52" s="242" t="str">
        <f>IF(Sheet1!K437="","",Sheet1!K437)</f>
        <v/>
      </c>
      <c r="L52" s="242" t="str">
        <f>IF(Sheet1!L437="","",Sheet1!L437)</f>
        <v/>
      </c>
      <c r="M52" s="242" t="str">
        <f>IF(Sheet1!M437="","",Sheet1!M437)</f>
        <v/>
      </c>
      <c r="N52" s="242" t="str">
        <f>IF(Sheet1!N437="","",Sheet1!N437)</f>
        <v/>
      </c>
      <c r="O52" s="242" t="str">
        <f>IF(Sheet1!O437="","",Sheet1!O437)</f>
        <v/>
      </c>
      <c r="P52" s="242" t="str">
        <f>IF(Sheet1!P437="","",Sheet1!P437)</f>
        <v/>
      </c>
      <c r="Q52" s="242" t="str">
        <f>IF(Sheet1!Q437="","",Sheet1!Q437)</f>
        <v/>
      </c>
      <c r="R52" s="242" t="str">
        <f>IF(Sheet1!R437="","",Sheet1!R437)</f>
        <v/>
      </c>
      <c r="S52" s="242" t="str">
        <f>IF(Sheet1!S437="","",Sheet1!S437)</f>
        <v/>
      </c>
    </row>
    <row r="53" spans="2:19">
      <c r="B53" t="s">
        <v>660</v>
      </c>
      <c r="D53" t="s">
        <v>1718</v>
      </c>
      <c r="E53" s="242">
        <f>IF(Sheet1!E438="","",Sheet1!E438)</f>
        <v>1368.08407237864</v>
      </c>
      <c r="F53" s="242">
        <f>IF(Sheet1!F438="","",Sheet1!F438)</f>
        <v>2206.4988206071998</v>
      </c>
      <c r="G53" s="242">
        <f>IF(Sheet1!G438="","",Sheet1!G438)</f>
        <v>3188.4779975012202</v>
      </c>
      <c r="H53" s="242">
        <f>IF(Sheet1!H438="","",Sheet1!H438)</f>
        <v>2166.5401808934575</v>
      </c>
      <c r="I53" s="242" t="str">
        <f>IF(Sheet1!I438="","",Sheet1!I438)</f>
        <v/>
      </c>
      <c r="J53" s="242" t="str">
        <f>IF(Sheet1!J438="","",Sheet1!J438)</f>
        <v/>
      </c>
      <c r="K53" s="242" t="str">
        <f>IF(Sheet1!K438="","",Sheet1!K438)</f>
        <v/>
      </c>
      <c r="L53" s="242" t="str">
        <f>IF(Sheet1!L438="","",Sheet1!L438)</f>
        <v/>
      </c>
      <c r="M53" s="242" t="str">
        <f>IF(Sheet1!M438="","",Sheet1!M438)</f>
        <v/>
      </c>
      <c r="N53" s="242" t="str">
        <f>IF(Sheet1!N438="","",Sheet1!N438)</f>
        <v/>
      </c>
      <c r="O53" s="242" t="str">
        <f>IF(Sheet1!O438="","",Sheet1!O438)</f>
        <v/>
      </c>
      <c r="P53" s="242" t="str">
        <f>IF(Sheet1!P438="","",Sheet1!P438)</f>
        <v/>
      </c>
      <c r="Q53" s="242" t="str">
        <f>IF(Sheet1!Q438="","",Sheet1!Q438)</f>
        <v/>
      </c>
      <c r="R53" s="242" t="str">
        <f>IF(Sheet1!R438="","",Sheet1!R438)</f>
        <v/>
      </c>
      <c r="S53" s="242" t="str">
        <f>IF(Sheet1!S438="","",Sheet1!S438)</f>
        <v/>
      </c>
    </row>
    <row r="54" spans="2:19">
      <c r="B54" t="s">
        <v>661</v>
      </c>
      <c r="D54" t="s">
        <v>1719</v>
      </c>
      <c r="E54" s="242">
        <f>IF(Sheet1!E439="","",Sheet1!E439)</f>
        <v>1325.1816488269901</v>
      </c>
      <c r="F54" s="242">
        <f>IF(Sheet1!F439="","",Sheet1!F439)</f>
        <v>1881.1248033402101</v>
      </c>
      <c r="G54" s="242">
        <f>IF(Sheet1!G439="","",Sheet1!G439)</f>
        <v>2532.1124619561901</v>
      </c>
      <c r="H54" s="242">
        <f>IF(Sheet1!H439="","",Sheet1!H439)</f>
        <v>1854.5971454855166</v>
      </c>
      <c r="I54" s="242" t="str">
        <f>IF(Sheet1!I439="","",Sheet1!I439)</f>
        <v/>
      </c>
      <c r="J54" s="242" t="str">
        <f>IF(Sheet1!J439="","",Sheet1!J439)</f>
        <v/>
      </c>
      <c r="K54" s="242" t="str">
        <f>IF(Sheet1!K439="","",Sheet1!K439)</f>
        <v/>
      </c>
      <c r="L54" s="242" t="str">
        <f>IF(Sheet1!L439="","",Sheet1!L439)</f>
        <v/>
      </c>
      <c r="M54" s="242" t="str">
        <f>IF(Sheet1!M439="","",Sheet1!M439)</f>
        <v/>
      </c>
      <c r="N54" s="242" t="str">
        <f>IF(Sheet1!N439="","",Sheet1!N439)</f>
        <v/>
      </c>
      <c r="O54" s="242" t="str">
        <f>IF(Sheet1!O439="","",Sheet1!O439)</f>
        <v/>
      </c>
      <c r="P54" s="242" t="str">
        <f>IF(Sheet1!P439="","",Sheet1!P439)</f>
        <v/>
      </c>
      <c r="Q54" s="242" t="str">
        <f>IF(Sheet1!Q439="","",Sheet1!Q439)</f>
        <v/>
      </c>
      <c r="R54" s="242" t="str">
        <f>IF(Sheet1!R439="","",Sheet1!R439)</f>
        <v/>
      </c>
      <c r="S54" s="242" t="str">
        <f>IF(Sheet1!S439="","",Sheet1!S439)</f>
        <v/>
      </c>
    </row>
    <row r="55" spans="2:19">
      <c r="B55" t="s">
        <v>131</v>
      </c>
      <c r="D55" t="s">
        <v>1720</v>
      </c>
      <c r="E55" s="242">
        <f>IF(Sheet1!E440="","",Sheet1!E440)</f>
        <v>0.21021155144017367</v>
      </c>
      <c r="F55" s="242">
        <f>IF(Sheet1!F440="","",Sheet1!F440)</f>
        <v>0.71792219483124198</v>
      </c>
      <c r="G55" s="242">
        <f>IF(Sheet1!G440="","",Sheet1!G440)</f>
        <v>1.3124314721061099</v>
      </c>
      <c r="H55" s="242">
        <f>IF(Sheet1!H440="","",Sheet1!H440)</f>
        <v>0.69369602327444446</v>
      </c>
      <c r="I55" s="242" t="str">
        <f>IF(Sheet1!I440="","",Sheet1!I440)</f>
        <v/>
      </c>
      <c r="J55" s="242" t="str">
        <f>IF(Sheet1!J440="","",Sheet1!J440)</f>
        <v/>
      </c>
      <c r="K55" s="242" t="str">
        <f>IF(Sheet1!K440="","",Sheet1!K440)</f>
        <v/>
      </c>
      <c r="L55" s="242" t="str">
        <f>IF(Sheet1!L440="","",Sheet1!L440)</f>
        <v/>
      </c>
      <c r="M55" s="242" t="str">
        <f>IF(Sheet1!M440="","",Sheet1!M440)</f>
        <v/>
      </c>
      <c r="N55" s="242" t="str">
        <f>IF(Sheet1!N440="","",Sheet1!N440)</f>
        <v/>
      </c>
      <c r="O55" s="242" t="str">
        <f>IF(Sheet1!O440="","",Sheet1!O440)</f>
        <v/>
      </c>
      <c r="P55" s="242" t="str">
        <f>IF(Sheet1!P440="","",Sheet1!P440)</f>
        <v/>
      </c>
      <c r="Q55" s="242" t="str">
        <f>IF(Sheet1!Q440="","",Sheet1!Q440)</f>
        <v/>
      </c>
      <c r="R55" s="242" t="str">
        <f>IF(Sheet1!R440="","",Sheet1!R440)</f>
        <v/>
      </c>
      <c r="S55" s="242" t="str">
        <f>IF(Sheet1!S440="","",Sheet1!S440)</f>
        <v/>
      </c>
    </row>
    <row r="56" spans="2:19">
      <c r="B56" t="s">
        <v>662</v>
      </c>
      <c r="D56" t="s">
        <v>1721</v>
      </c>
      <c r="E56" s="242">
        <f>IF(Sheet1!E441="","",Sheet1!E441)</f>
        <v>1.0607821091790299</v>
      </c>
      <c r="F56" s="242">
        <f>IF(Sheet1!F441="","",Sheet1!F441)</f>
        <v>1.4742427406059599</v>
      </c>
      <c r="G56" s="242">
        <f>IF(Sheet1!G441="","",Sheet1!G441)</f>
        <v>1.9506771685708899</v>
      </c>
      <c r="H56" s="242">
        <f>IF(Sheet1!H441="","",Sheet1!H441)</f>
        <v>1.4529072289324658</v>
      </c>
      <c r="I56" s="242" t="str">
        <f>IF(Sheet1!I441="","",Sheet1!I441)</f>
        <v/>
      </c>
      <c r="J56" s="242" t="str">
        <f>IF(Sheet1!J441="","",Sheet1!J441)</f>
        <v/>
      </c>
      <c r="K56" s="242" t="str">
        <f>IF(Sheet1!K441="","",Sheet1!K441)</f>
        <v/>
      </c>
      <c r="L56" s="242" t="str">
        <f>IF(Sheet1!L441="","",Sheet1!L441)</f>
        <v/>
      </c>
      <c r="M56" s="242" t="str">
        <f>IF(Sheet1!M441="","",Sheet1!M441)</f>
        <v/>
      </c>
      <c r="N56" s="242" t="str">
        <f>IF(Sheet1!N441="","",Sheet1!N441)</f>
        <v/>
      </c>
      <c r="O56" s="242" t="str">
        <f>IF(Sheet1!O441="","",Sheet1!O441)</f>
        <v/>
      </c>
      <c r="P56" s="242" t="str">
        <f>IF(Sheet1!P441="","",Sheet1!P441)</f>
        <v/>
      </c>
      <c r="Q56" s="242" t="str">
        <f>IF(Sheet1!Q441="","",Sheet1!Q441)</f>
        <v/>
      </c>
      <c r="R56" s="242" t="str">
        <f>IF(Sheet1!R441="","",Sheet1!R441)</f>
        <v/>
      </c>
      <c r="S56" s="242" t="str">
        <f>IF(Sheet1!S441="","",Sheet1!S441)</f>
        <v/>
      </c>
    </row>
    <row r="57" spans="2:19">
      <c r="B57" t="s">
        <v>663</v>
      </c>
      <c r="D57" t="s">
        <v>1722</v>
      </c>
      <c r="E57" s="242">
        <f>IF(Sheet1!E442="","",Sheet1!E442)</f>
        <v>0.11229724000000001</v>
      </c>
      <c r="F57" s="242">
        <f>IF(Sheet1!F442="","",Sheet1!F442)</f>
        <v>0.11229724000000001</v>
      </c>
      <c r="G57" s="242">
        <f>IF(Sheet1!G442="","",Sheet1!G442)</f>
        <v>0.11229724000000001</v>
      </c>
      <c r="H57" s="242">
        <f>IF(Sheet1!H442="","",Sheet1!H442)</f>
        <v>0.11229724000000001</v>
      </c>
      <c r="I57" s="242" t="str">
        <f>IF(Sheet1!I442="","",Sheet1!I442)</f>
        <v/>
      </c>
      <c r="J57" s="242" t="str">
        <f>IF(Sheet1!J442="","",Sheet1!J442)</f>
        <v/>
      </c>
      <c r="K57" s="242" t="str">
        <f>IF(Sheet1!K442="","",Sheet1!K442)</f>
        <v/>
      </c>
      <c r="L57" s="242" t="str">
        <f>IF(Sheet1!L442="","",Sheet1!L442)</f>
        <v/>
      </c>
      <c r="M57" s="242" t="str">
        <f>IF(Sheet1!M442="","",Sheet1!M442)</f>
        <v/>
      </c>
      <c r="N57" s="242" t="str">
        <f>IF(Sheet1!N442="","",Sheet1!N442)</f>
        <v/>
      </c>
      <c r="O57" s="242" t="str">
        <f>IF(Sheet1!O442="","",Sheet1!O442)</f>
        <v/>
      </c>
      <c r="P57" s="242" t="str">
        <f>IF(Sheet1!P442="","",Sheet1!P442)</f>
        <v/>
      </c>
      <c r="Q57" s="242" t="str">
        <f>IF(Sheet1!Q442="","",Sheet1!Q442)</f>
        <v/>
      </c>
      <c r="R57" s="242" t="str">
        <f>IF(Sheet1!R442="","",Sheet1!R442)</f>
        <v/>
      </c>
      <c r="S57" s="242" t="str">
        <f>IF(Sheet1!S442="","",Sheet1!S442)</f>
        <v/>
      </c>
    </row>
    <row r="58" spans="2:19">
      <c r="B58" t="s">
        <v>664</v>
      </c>
      <c r="D58" t="s">
        <v>1723</v>
      </c>
      <c r="E58" s="242" t="str">
        <f>IF(Sheet1!E443="","",Sheet1!E443)</f>
        <v/>
      </c>
      <c r="F58" s="242" t="str">
        <f>IF(Sheet1!F443="","",Sheet1!F443)</f>
        <v/>
      </c>
      <c r="G58" s="242" t="str">
        <f>IF(Sheet1!G443="","",Sheet1!G443)</f>
        <v/>
      </c>
      <c r="H58" s="242" t="str">
        <f>IF(Sheet1!H443="","",Sheet1!H443)</f>
        <v/>
      </c>
      <c r="I58" s="242" t="str">
        <f>IF(Sheet1!I443="","",Sheet1!I443)</f>
        <v/>
      </c>
      <c r="J58" s="242" t="str">
        <f>IF(Sheet1!J443="","",Sheet1!J443)</f>
        <v/>
      </c>
      <c r="K58" s="242" t="str">
        <f>IF(Sheet1!K443="","",Sheet1!K443)</f>
        <v/>
      </c>
      <c r="L58" s="242" t="str">
        <f>IF(Sheet1!L443="","",Sheet1!L443)</f>
        <v/>
      </c>
      <c r="M58" s="242" t="str">
        <f>IF(Sheet1!M443="","",Sheet1!M443)</f>
        <v/>
      </c>
      <c r="N58" s="242" t="str">
        <f>IF(Sheet1!N443="","",Sheet1!N443)</f>
        <v/>
      </c>
      <c r="O58" s="242" t="str">
        <f>IF(Sheet1!O443="","",Sheet1!O443)</f>
        <v/>
      </c>
      <c r="P58" s="242" t="str">
        <f>IF(Sheet1!P443="","",Sheet1!P443)</f>
        <v/>
      </c>
      <c r="Q58" s="242" t="str">
        <f>IF(Sheet1!Q443="","",Sheet1!Q443)</f>
        <v/>
      </c>
      <c r="R58" s="242" t="str">
        <f>IF(Sheet1!R443="","",Sheet1!R443)</f>
        <v/>
      </c>
      <c r="S58" s="242" t="str">
        <f>IF(Sheet1!S443="","",Sheet1!S443)</f>
        <v/>
      </c>
    </row>
    <row r="59" spans="2:19">
      <c r="B59" t="s">
        <v>665</v>
      </c>
      <c r="D59" t="s">
        <v>1724</v>
      </c>
      <c r="E59" s="242" t="str">
        <f>IF(Sheet1!E444="","",Sheet1!E444)</f>
        <v>OK</v>
      </c>
      <c r="F59" s="242" t="str">
        <f>IF(Sheet1!F444="","",Sheet1!F444)</f>
        <v/>
      </c>
      <c r="G59" s="242" t="str">
        <f>IF(Sheet1!G444="","",Sheet1!G444)</f>
        <v/>
      </c>
      <c r="H59" s="242" t="str">
        <f>IF(Sheet1!H444="","",Sheet1!H444)</f>
        <v/>
      </c>
      <c r="I59" s="242" t="str">
        <f>IF(Sheet1!I444="","",Sheet1!I444)</f>
        <v/>
      </c>
      <c r="J59" s="242" t="str">
        <f>IF(Sheet1!J444="","",Sheet1!J444)</f>
        <v/>
      </c>
      <c r="K59" s="242" t="str">
        <f>IF(Sheet1!K444="","",Sheet1!K444)</f>
        <v/>
      </c>
      <c r="L59" s="242" t="str">
        <f>IF(Sheet1!L444="","",Sheet1!L444)</f>
        <v/>
      </c>
      <c r="M59" s="242" t="str">
        <f>IF(Sheet1!M444="","",Sheet1!M444)</f>
        <v/>
      </c>
      <c r="N59" s="242" t="str">
        <f>IF(Sheet1!N444="","",Sheet1!N444)</f>
        <v/>
      </c>
      <c r="O59" s="242" t="str">
        <f>IF(Sheet1!O444="","",Sheet1!O444)</f>
        <v/>
      </c>
      <c r="P59" s="242" t="str">
        <f>IF(Sheet1!P444="","",Sheet1!P444)</f>
        <v/>
      </c>
      <c r="Q59" s="242" t="str">
        <f>IF(Sheet1!Q444="","",Sheet1!Q444)</f>
        <v/>
      </c>
      <c r="R59" s="242" t="str">
        <f>IF(Sheet1!R444="","",Sheet1!R444)</f>
        <v/>
      </c>
      <c r="S59" s="242" t="str">
        <f>IF(Sheet1!S444="","",Sheet1!S444)</f>
        <v/>
      </c>
    </row>
    <row r="60" spans="2:19" ht="20.100000000000001" customHeight="1">
      <c r="B60" s="3" t="s">
        <v>1725</v>
      </c>
      <c r="C60" s="3"/>
      <c r="D60" s="3"/>
      <c r="E60" s="2"/>
      <c r="F60" s="2"/>
      <c r="G60" s="2"/>
      <c r="H60" s="2"/>
      <c r="I60" s="2"/>
      <c r="J60" s="2"/>
      <c r="K60" s="2"/>
      <c r="L60" s="2"/>
      <c r="M60" s="2"/>
      <c r="N60" s="2"/>
      <c r="O60" s="2"/>
      <c r="P60" s="2"/>
      <c r="Q60" s="2"/>
      <c r="R60" s="2"/>
      <c r="S60" s="2"/>
    </row>
    <row r="61" spans="2:19">
      <c r="B61" t="s">
        <v>1726</v>
      </c>
      <c r="D61" t="s">
        <v>1727</v>
      </c>
      <c r="E61" s="242" t="str">
        <f>IF(Sheet1!E446="","",Sheet1!E446)</f>
        <v>PT low shock</v>
      </c>
      <c r="F61" s="242" t="str">
        <f>IF(Sheet1!F446="","",Sheet1!F446)</f>
        <v>PT high shock</v>
      </c>
      <c r="G61" s="242" t="str">
        <f>IF(Sheet1!G446="","",Sheet1!G446)</f>
        <v>Base PT</v>
      </c>
      <c r="H61" s="242" t="str">
        <f>IF(Sheet1!H446="","",Sheet1!H446)</f>
        <v>Delta low</v>
      </c>
      <c r="I61" s="242" t="str">
        <f>IF(Sheet1!I446="","",Sheet1!I446)</f>
        <v>Delta high</v>
      </c>
      <c r="J61" s="242" t="str">
        <f>IF(Sheet1!J446="","",Sheet1!J446)</f>
        <v/>
      </c>
      <c r="K61" s="242" t="str">
        <f>IF(Sheet1!K446="","",Sheet1!K446)</f>
        <v/>
      </c>
      <c r="L61" s="242" t="str">
        <f>IF(Sheet1!L446="","",Sheet1!L446)</f>
        <v/>
      </c>
      <c r="M61" s="242" t="str">
        <f>IF(Sheet1!M446="","",Sheet1!M446)</f>
        <v/>
      </c>
      <c r="N61" s="242" t="str">
        <f>IF(Sheet1!N446="","",Sheet1!N446)</f>
        <v/>
      </c>
      <c r="O61" s="242" t="str">
        <f>IF(Sheet1!O446="","",Sheet1!O446)</f>
        <v/>
      </c>
      <c r="P61" s="242" t="str">
        <f>IF(Sheet1!P446="","",Sheet1!P446)</f>
        <v/>
      </c>
      <c r="Q61" s="242" t="str">
        <f>IF(Sheet1!Q446="","",Sheet1!Q446)</f>
        <v/>
      </c>
      <c r="R61" s="242" t="str">
        <f>IF(Sheet1!R446="","",Sheet1!R446)</f>
        <v/>
      </c>
      <c r="S61" s="242" t="str">
        <f>IF(Sheet1!S446="","",Sheet1!S446)</f>
        <v/>
      </c>
    </row>
    <row r="62" spans="2:19">
      <c r="B62" t="s">
        <v>672</v>
      </c>
      <c r="D62" t="s">
        <v>1728</v>
      </c>
      <c r="E62" s="242">
        <f>IF(Sheet1!E447="","",Sheet1!E447)</f>
        <v>1922.8365827231801</v>
      </c>
      <c r="F62" s="242">
        <f>IF(Sheet1!F447="","",Sheet1!F447)</f>
        <v>1839.4130239572401</v>
      </c>
      <c r="G62" s="242">
        <f>IF(Sheet1!G447="","",Sheet1!G447)</f>
        <v>1881.1248033402101</v>
      </c>
      <c r="H62" s="242">
        <f>IF(Sheet1!H447="","",Sheet1!H447)</f>
        <v>41.711779382970008</v>
      </c>
      <c r="I62" s="242">
        <f>IF(Sheet1!I447="","",Sheet1!I447)</f>
        <v>-41.711779382970008</v>
      </c>
      <c r="J62" s="242" t="str">
        <f>IF(Sheet1!J447="","",Sheet1!J447)</f>
        <v/>
      </c>
      <c r="K62" s="242" t="str">
        <f>IF(Sheet1!K447="","",Sheet1!K447)</f>
        <v/>
      </c>
      <c r="L62" s="242" t="str">
        <f>IF(Sheet1!L447="","",Sheet1!L447)</f>
        <v/>
      </c>
      <c r="M62" s="242" t="str">
        <f>IF(Sheet1!M447="","",Sheet1!M447)</f>
        <v/>
      </c>
      <c r="N62" s="242" t="str">
        <f>IF(Sheet1!N447="","",Sheet1!N447)</f>
        <v/>
      </c>
      <c r="O62" s="242" t="str">
        <f>IF(Sheet1!O447="","",Sheet1!O447)</f>
        <v/>
      </c>
      <c r="P62" s="242" t="str">
        <f>IF(Sheet1!P447="","",Sheet1!P447)</f>
        <v/>
      </c>
      <c r="Q62" s="242" t="str">
        <f>IF(Sheet1!Q447="","",Sheet1!Q447)</f>
        <v/>
      </c>
      <c r="R62" s="242" t="str">
        <f>IF(Sheet1!R447="","",Sheet1!R447)</f>
        <v/>
      </c>
      <c r="S62" s="242" t="str">
        <f>IF(Sheet1!S447="","",Sheet1!S447)</f>
        <v/>
      </c>
    </row>
    <row r="63" spans="2:19">
      <c r="B63" t="s">
        <v>673</v>
      </c>
      <c r="D63" t="s">
        <v>1729</v>
      </c>
      <c r="E63" s="242">
        <f>IF(Sheet1!E448="","",Sheet1!E448)</f>
        <v>1926.9578102656501</v>
      </c>
      <c r="F63" s="242">
        <f>IF(Sheet1!F448="","",Sheet1!F448)</f>
        <v>1835.29179641477</v>
      </c>
      <c r="G63" s="242">
        <f>IF(Sheet1!G448="","",Sheet1!G448)</f>
        <v>1881.1248033402101</v>
      </c>
      <c r="H63" s="242">
        <f>IF(Sheet1!H448="","",Sheet1!H448)</f>
        <v>45.833006925440031</v>
      </c>
      <c r="I63" s="242">
        <f>IF(Sheet1!I448="","",Sheet1!I448)</f>
        <v>-45.833006925440031</v>
      </c>
      <c r="J63" s="242" t="str">
        <f>IF(Sheet1!J448="","",Sheet1!J448)</f>
        <v/>
      </c>
      <c r="K63" s="242" t="str">
        <f>IF(Sheet1!K448="","",Sheet1!K448)</f>
        <v/>
      </c>
      <c r="L63" s="242" t="str">
        <f>IF(Sheet1!L448="","",Sheet1!L448)</f>
        <v/>
      </c>
      <c r="M63" s="242" t="str">
        <f>IF(Sheet1!M448="","",Sheet1!M448)</f>
        <v/>
      </c>
      <c r="N63" s="242" t="str">
        <f>IF(Sheet1!N448="","",Sheet1!N448)</f>
        <v/>
      </c>
      <c r="O63" s="242" t="str">
        <f>IF(Sheet1!O448="","",Sheet1!O448)</f>
        <v/>
      </c>
      <c r="P63" s="242" t="str">
        <f>IF(Sheet1!P448="","",Sheet1!P448)</f>
        <v/>
      </c>
      <c r="Q63" s="242" t="str">
        <f>IF(Sheet1!Q448="","",Sheet1!Q448)</f>
        <v/>
      </c>
      <c r="R63" s="242" t="str">
        <f>IF(Sheet1!R448="","",Sheet1!R448)</f>
        <v/>
      </c>
      <c r="S63" s="242" t="str">
        <f>IF(Sheet1!S448="","",Sheet1!S448)</f>
        <v/>
      </c>
    </row>
    <row r="64" spans="2:19">
      <c r="B64" t="s">
        <v>674</v>
      </c>
      <c r="D64" t="s">
        <v>1730</v>
      </c>
      <c r="E64" s="242">
        <f>IF(Sheet1!E449="","",Sheet1!E449)</f>
        <v>1879.49078788574</v>
      </c>
      <c r="F64" s="242">
        <f>IF(Sheet1!F449="","",Sheet1!F449)</f>
        <v>1882.7588187946801</v>
      </c>
      <c r="G64" s="242">
        <f>IF(Sheet1!G449="","",Sheet1!G449)</f>
        <v>1881.1248033402101</v>
      </c>
      <c r="H64" s="242">
        <f>IF(Sheet1!H449="","",Sheet1!H449)</f>
        <v>-1.6340154544700454</v>
      </c>
      <c r="I64" s="242">
        <f>IF(Sheet1!I449="","",Sheet1!I449)</f>
        <v>1.6340154544700454</v>
      </c>
      <c r="J64" s="242" t="str">
        <f>IF(Sheet1!J449="","",Sheet1!J449)</f>
        <v/>
      </c>
      <c r="K64" s="242" t="str">
        <f>IF(Sheet1!K449="","",Sheet1!K449)</f>
        <v/>
      </c>
      <c r="L64" s="242" t="str">
        <f>IF(Sheet1!L449="","",Sheet1!L449)</f>
        <v/>
      </c>
      <c r="M64" s="242" t="str">
        <f>IF(Sheet1!M449="","",Sheet1!M449)</f>
        <v/>
      </c>
      <c r="N64" s="242" t="str">
        <f>IF(Sheet1!N449="","",Sheet1!N449)</f>
        <v/>
      </c>
      <c r="O64" s="242" t="str">
        <f>IF(Sheet1!O449="","",Sheet1!O449)</f>
        <v/>
      </c>
      <c r="P64" s="242" t="str">
        <f>IF(Sheet1!P449="","",Sheet1!P449)</f>
        <v/>
      </c>
      <c r="Q64" s="242" t="str">
        <f>IF(Sheet1!Q449="","",Sheet1!Q449)</f>
        <v/>
      </c>
      <c r="R64" s="242" t="str">
        <f>IF(Sheet1!R449="","",Sheet1!R449)</f>
        <v/>
      </c>
      <c r="S64" s="242" t="str">
        <f>IF(Sheet1!S449="","",Sheet1!S449)</f>
        <v/>
      </c>
    </row>
    <row r="65" spans="2:19">
      <c r="B65" t="s">
        <v>675</v>
      </c>
      <c r="D65" t="s">
        <v>1731</v>
      </c>
      <c r="E65" s="242">
        <f>IF(Sheet1!E450="","",Sheet1!E450)</f>
        <v>1805.1030708564399</v>
      </c>
      <c r="F65" s="242">
        <f>IF(Sheet1!F450="","",Sheet1!F450)</f>
        <v>1965.9605139770999</v>
      </c>
      <c r="G65" s="242">
        <f>IF(Sheet1!G450="","",Sheet1!G450)</f>
        <v>1881.1248033402101</v>
      </c>
      <c r="H65" s="242">
        <f>IF(Sheet1!H450="","",Sheet1!H450)</f>
        <v>-76.021732483770165</v>
      </c>
      <c r="I65" s="242">
        <f>IF(Sheet1!I450="","",Sheet1!I450)</f>
        <v>84.835710636889871</v>
      </c>
      <c r="J65" s="242" t="str">
        <f>IF(Sheet1!J450="","",Sheet1!J450)</f>
        <v/>
      </c>
      <c r="K65" s="242" t="str">
        <f>IF(Sheet1!K450="","",Sheet1!K450)</f>
        <v/>
      </c>
      <c r="L65" s="242" t="str">
        <f>IF(Sheet1!L450="","",Sheet1!L450)</f>
        <v/>
      </c>
      <c r="M65" s="242" t="str">
        <f>IF(Sheet1!M450="","",Sheet1!M450)</f>
        <v/>
      </c>
      <c r="N65" s="242" t="str">
        <f>IF(Sheet1!N450="","",Sheet1!N450)</f>
        <v/>
      </c>
      <c r="O65" s="242" t="str">
        <f>IF(Sheet1!O450="","",Sheet1!O450)</f>
        <v/>
      </c>
      <c r="P65" s="242" t="str">
        <f>IF(Sheet1!P450="","",Sheet1!P450)</f>
        <v/>
      </c>
      <c r="Q65" s="242" t="str">
        <f>IF(Sheet1!Q450="","",Sheet1!Q450)</f>
        <v/>
      </c>
      <c r="R65" s="242" t="str">
        <f>IF(Sheet1!R450="","",Sheet1!R450)</f>
        <v/>
      </c>
      <c r="S65" s="242" t="str">
        <f>IF(Sheet1!S450="","",Sheet1!S450)</f>
        <v/>
      </c>
    </row>
    <row r="66" spans="2:19">
      <c r="B66" t="s">
        <v>676</v>
      </c>
      <c r="D66" t="s">
        <v>1732</v>
      </c>
      <c r="E66" s="242">
        <f>IF(Sheet1!E451="","",Sheet1!E451)</f>
        <v>2023.4406009111599</v>
      </c>
      <c r="F66" s="242">
        <f>IF(Sheet1!F451="","",Sheet1!F451)</f>
        <v>1759.6387117470799</v>
      </c>
      <c r="G66" s="242">
        <f>IF(Sheet1!G451="","",Sheet1!G451)</f>
        <v>1881.1248033402101</v>
      </c>
      <c r="H66" s="242">
        <f>IF(Sheet1!H451="","",Sheet1!H451)</f>
        <v>142.31579757094983</v>
      </c>
      <c r="I66" s="242">
        <f>IF(Sheet1!I451="","",Sheet1!I451)</f>
        <v>-121.48609159313014</v>
      </c>
      <c r="J66" s="242" t="str">
        <f>IF(Sheet1!J451="","",Sheet1!J451)</f>
        <v/>
      </c>
      <c r="K66" s="242" t="str">
        <f>IF(Sheet1!K451="","",Sheet1!K451)</f>
        <v/>
      </c>
      <c r="L66" s="242" t="str">
        <f>IF(Sheet1!L451="","",Sheet1!L451)</f>
        <v/>
      </c>
      <c r="M66" s="242" t="str">
        <f>IF(Sheet1!M451="","",Sheet1!M451)</f>
        <v/>
      </c>
      <c r="N66" s="242" t="str">
        <f>IF(Sheet1!N451="","",Sheet1!N451)</f>
        <v/>
      </c>
      <c r="O66" s="242" t="str">
        <f>IF(Sheet1!O451="","",Sheet1!O451)</f>
        <v/>
      </c>
      <c r="P66" s="242" t="str">
        <f>IF(Sheet1!P451="","",Sheet1!P451)</f>
        <v/>
      </c>
      <c r="Q66" s="242" t="str">
        <f>IF(Sheet1!Q451="","",Sheet1!Q451)</f>
        <v/>
      </c>
      <c r="R66" s="242" t="str">
        <f>IF(Sheet1!R451="","",Sheet1!R451)</f>
        <v/>
      </c>
      <c r="S66" s="242" t="str">
        <f>IF(Sheet1!S451="","",Sheet1!S451)</f>
        <v/>
      </c>
    </row>
    <row r="67" spans="2:19">
      <c r="B67" t="s">
        <v>677</v>
      </c>
      <c r="D67" t="s">
        <v>1733</v>
      </c>
      <c r="E67" s="242">
        <f>IF(Sheet1!E452="","",Sheet1!E452)</f>
        <v>1985.8920171003999</v>
      </c>
      <c r="F67" s="242">
        <f>IF(Sheet1!F452="","",Sheet1!F452)</f>
        <v>1776.35758958002</v>
      </c>
      <c r="G67" s="242">
        <f>IF(Sheet1!G452="","",Sheet1!G452)</f>
        <v>1881.1248033402101</v>
      </c>
      <c r="H67" s="242">
        <f>IF(Sheet1!H452="","",Sheet1!H452)</f>
        <v>104.76721376018986</v>
      </c>
      <c r="I67" s="242">
        <f>IF(Sheet1!I452="","",Sheet1!I452)</f>
        <v>-104.76721376019009</v>
      </c>
      <c r="J67" s="242" t="str">
        <f>IF(Sheet1!J452="","",Sheet1!J452)</f>
        <v/>
      </c>
      <c r="K67" s="242" t="str">
        <f>IF(Sheet1!K452="","",Sheet1!K452)</f>
        <v/>
      </c>
      <c r="L67" s="242" t="str">
        <f>IF(Sheet1!L452="","",Sheet1!L452)</f>
        <v/>
      </c>
      <c r="M67" s="242" t="str">
        <f>IF(Sheet1!M452="","",Sheet1!M452)</f>
        <v/>
      </c>
      <c r="N67" s="242" t="str">
        <f>IF(Sheet1!N452="","",Sheet1!N452)</f>
        <v/>
      </c>
      <c r="O67" s="242" t="str">
        <f>IF(Sheet1!O452="","",Sheet1!O452)</f>
        <v/>
      </c>
      <c r="P67" s="242" t="str">
        <f>IF(Sheet1!P452="","",Sheet1!P452)</f>
        <v/>
      </c>
      <c r="Q67" s="242" t="str">
        <f>IF(Sheet1!Q452="","",Sheet1!Q452)</f>
        <v/>
      </c>
      <c r="R67" s="242" t="str">
        <f>IF(Sheet1!R452="","",Sheet1!R452)</f>
        <v/>
      </c>
      <c r="S67" s="242" t="str">
        <f>IF(Sheet1!S452="","",Sheet1!S452)</f>
        <v/>
      </c>
    </row>
    <row r="68" spans="2:19">
      <c r="B68" t="s">
        <v>678</v>
      </c>
      <c r="D68" t="s">
        <v>1734</v>
      </c>
      <c r="E68" s="242">
        <f>IF(Sheet1!E453="","",Sheet1!E453)</f>
        <v>1789.79153369458</v>
      </c>
      <c r="F68" s="242">
        <f>IF(Sheet1!F453="","",Sheet1!F453)</f>
        <v>2002.70759478478</v>
      </c>
      <c r="G68" s="242">
        <f>IF(Sheet1!G453="","",Sheet1!G453)</f>
        <v>1881.1248033402101</v>
      </c>
      <c r="H68" s="242">
        <f>IF(Sheet1!H453="","",Sheet1!H453)</f>
        <v>-91.333269645630025</v>
      </c>
      <c r="I68" s="242">
        <f>IF(Sheet1!I453="","",Sheet1!I453)</f>
        <v>121.58279144456992</v>
      </c>
      <c r="J68" s="242" t="str">
        <f>IF(Sheet1!J453="","",Sheet1!J453)</f>
        <v/>
      </c>
      <c r="K68" s="242" t="str">
        <f>IF(Sheet1!K453="","",Sheet1!K453)</f>
        <v/>
      </c>
      <c r="L68" s="242" t="str">
        <f>IF(Sheet1!L453="","",Sheet1!L453)</f>
        <v/>
      </c>
      <c r="M68" s="242" t="str">
        <f>IF(Sheet1!M453="","",Sheet1!M453)</f>
        <v/>
      </c>
      <c r="N68" s="242" t="str">
        <f>IF(Sheet1!N453="","",Sheet1!N453)</f>
        <v/>
      </c>
      <c r="O68" s="242" t="str">
        <f>IF(Sheet1!O453="","",Sheet1!O453)</f>
        <v/>
      </c>
      <c r="P68" s="242" t="str">
        <f>IF(Sheet1!P453="","",Sheet1!P453)</f>
        <v/>
      </c>
      <c r="Q68" s="242" t="str">
        <f>IF(Sheet1!Q453="","",Sheet1!Q453)</f>
        <v/>
      </c>
      <c r="R68" s="242" t="str">
        <f>IF(Sheet1!R453="","",Sheet1!R453)</f>
        <v/>
      </c>
      <c r="S68" s="242" t="str">
        <f>IF(Sheet1!S453="","",Sheet1!S453)</f>
        <v/>
      </c>
    </row>
    <row r="69" spans="2:19">
      <c r="B69" t="s">
        <v>679</v>
      </c>
      <c r="D69" t="s">
        <v>1735</v>
      </c>
      <c r="E69" s="242">
        <f>IF(Sheet1!E454="","",Sheet1!E454)</f>
        <v>1647.5984940126</v>
      </c>
      <c r="F69" s="242">
        <f>IF(Sheet1!F454="","",Sheet1!F454)</f>
        <v>2114.6511126678201</v>
      </c>
      <c r="G69" s="242">
        <f>IF(Sheet1!G454="","",Sheet1!G454)</f>
        <v>1881.1248033402101</v>
      </c>
      <c r="H69" s="242">
        <f>IF(Sheet1!H454="","",Sheet1!H454)</f>
        <v>-233.52630932761008</v>
      </c>
      <c r="I69" s="242">
        <f>IF(Sheet1!I454="","",Sheet1!I454)</f>
        <v>233.52630932761008</v>
      </c>
      <c r="J69" s="242" t="str">
        <f>IF(Sheet1!J454="","",Sheet1!J454)</f>
        <v/>
      </c>
      <c r="K69" s="242" t="str">
        <f>IF(Sheet1!K454="","",Sheet1!K454)</f>
        <v/>
      </c>
      <c r="L69" s="242" t="str">
        <f>IF(Sheet1!L454="","",Sheet1!L454)</f>
        <v/>
      </c>
      <c r="M69" s="242" t="str">
        <f>IF(Sheet1!M454="","",Sheet1!M454)</f>
        <v/>
      </c>
      <c r="N69" s="242" t="str">
        <f>IF(Sheet1!N454="","",Sheet1!N454)</f>
        <v/>
      </c>
      <c r="O69" s="242" t="str">
        <f>IF(Sheet1!O454="","",Sheet1!O454)</f>
        <v/>
      </c>
      <c r="P69" s="242" t="str">
        <f>IF(Sheet1!P454="","",Sheet1!P454)</f>
        <v/>
      </c>
      <c r="Q69" s="242" t="str">
        <f>IF(Sheet1!Q454="","",Sheet1!Q454)</f>
        <v/>
      </c>
      <c r="R69" s="242" t="str">
        <f>IF(Sheet1!R454="","",Sheet1!R454)</f>
        <v/>
      </c>
      <c r="S69" s="242" t="str">
        <f>IF(Sheet1!S454="","",Sheet1!S454)</f>
        <v/>
      </c>
    </row>
    <row r="70" spans="2:19">
      <c r="B70" t="s">
        <v>680</v>
      </c>
      <c r="D70" t="s">
        <v>1736</v>
      </c>
      <c r="E70" s="242" t="str">
        <f>IF(Sheet1!E455="","",Sheet1!E455)</f>
        <v>OK</v>
      </c>
      <c r="F70" s="242" t="str">
        <f>IF(Sheet1!F455="","",Sheet1!F455)</f>
        <v/>
      </c>
      <c r="G70" s="242" t="str">
        <f>IF(Sheet1!G455="","",Sheet1!G455)</f>
        <v/>
      </c>
      <c r="H70" s="242" t="str">
        <f>IF(Sheet1!H455="","",Sheet1!H455)</f>
        <v/>
      </c>
      <c r="I70" s="242" t="str">
        <f>IF(Sheet1!I455="","",Sheet1!I455)</f>
        <v/>
      </c>
      <c r="J70" s="242" t="str">
        <f>IF(Sheet1!J455="","",Sheet1!J455)</f>
        <v/>
      </c>
      <c r="K70" s="242" t="str">
        <f>IF(Sheet1!K455="","",Sheet1!K455)</f>
        <v/>
      </c>
      <c r="L70" s="242" t="str">
        <f>IF(Sheet1!L455="","",Sheet1!L455)</f>
        <v/>
      </c>
      <c r="M70" s="242" t="str">
        <f>IF(Sheet1!M455="","",Sheet1!M455)</f>
        <v/>
      </c>
      <c r="N70" s="242" t="str">
        <f>IF(Sheet1!N455="","",Sheet1!N455)</f>
        <v/>
      </c>
      <c r="O70" s="242" t="str">
        <f>IF(Sheet1!O455="","",Sheet1!O455)</f>
        <v/>
      </c>
      <c r="P70" s="242" t="str">
        <f>IF(Sheet1!P455="","",Sheet1!P455)</f>
        <v/>
      </c>
      <c r="Q70" s="242" t="str">
        <f>IF(Sheet1!Q455="","",Sheet1!Q455)</f>
        <v/>
      </c>
      <c r="R70" s="242" t="str">
        <f>IF(Sheet1!R455="","",Sheet1!R455)</f>
        <v/>
      </c>
      <c r="S70" s="242" t="str">
        <f>IF(Sheet1!S455="","",Sheet1!S455)</f>
        <v/>
      </c>
    </row>
    <row r="71" spans="2:19">
      <c r="E71" s="242"/>
      <c r="F71" s="242"/>
      <c r="G71" s="242"/>
      <c r="H71" s="242"/>
      <c r="I71" s="242"/>
      <c r="J71" s="242"/>
      <c r="K71" s="242"/>
      <c r="L71" s="242"/>
      <c r="M71" s="242"/>
      <c r="N71" s="242"/>
      <c r="O71" s="242"/>
      <c r="P71" s="242"/>
      <c r="Q71" s="242"/>
      <c r="R71" s="242"/>
      <c r="S71" s="242"/>
    </row>
  </sheetData>
  <mergeCells count="6">
    <mergeCell ref="B60:S60"/>
    <mergeCell ref="A1:U2"/>
    <mergeCell ref="A3:U3"/>
    <mergeCell ref="B6:S6"/>
    <mergeCell ref="B20:S20"/>
    <mergeCell ref="B37:S37"/>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8"/>
  <sheetViews>
    <sheetView workbookViewId="0">
      <pane ySplit="5" topLeftCell="A6" activePane="bottomLeft" state="frozen"/>
      <selection pane="bottomLeft"/>
    </sheetView>
  </sheetViews>
  <sheetFormatPr defaultRowHeight="12.75"/>
  <cols>
    <col min="1" max="1" width="6" customWidth="1"/>
    <col min="2" max="2" width="53" customWidth="1"/>
    <col min="3" max="3" width="13" customWidth="1"/>
    <col min="4" max="4" width="14" customWidth="1"/>
    <col min="5" max="21" width="13" customWidth="1"/>
  </cols>
  <sheetData>
    <row r="1" spans="1:21" ht="23.1" customHeight="1">
      <c r="A1" s="5" t="s">
        <v>1737</v>
      </c>
      <c r="B1" s="5"/>
      <c r="C1" s="5"/>
      <c r="D1" s="5"/>
      <c r="E1" s="5"/>
      <c r="F1" s="5"/>
      <c r="G1" s="5"/>
      <c r="H1" s="5"/>
      <c r="I1" s="5"/>
      <c r="J1" s="5"/>
      <c r="K1" s="5"/>
      <c r="L1" s="5"/>
      <c r="M1" s="5"/>
      <c r="N1" s="5"/>
      <c r="O1" s="5"/>
      <c r="P1" s="5"/>
      <c r="Q1" s="5"/>
      <c r="R1" s="5"/>
      <c r="S1" s="5"/>
      <c r="T1" s="5"/>
      <c r="U1" s="5"/>
    </row>
    <row r="2" spans="1:21" ht="23.1" customHeight="1">
      <c r="A2" s="5"/>
      <c r="B2" s="5"/>
      <c r="C2" s="5"/>
      <c r="D2" s="5"/>
      <c r="E2" s="5"/>
      <c r="F2" s="5"/>
      <c r="G2" s="5"/>
      <c r="H2" s="5"/>
      <c r="I2" s="5"/>
      <c r="J2" s="5"/>
      <c r="K2" s="5"/>
      <c r="L2" s="5"/>
      <c r="M2" s="5"/>
      <c r="N2" s="5"/>
      <c r="O2" s="5"/>
      <c r="P2" s="5"/>
      <c r="Q2" s="5"/>
      <c r="R2" s="5"/>
      <c r="S2" s="5"/>
      <c r="T2" s="5"/>
      <c r="U2" s="5"/>
    </row>
    <row r="3" spans="1:21" ht="24" customHeight="1">
      <c r="A3" s="4" t="s">
        <v>1738</v>
      </c>
      <c r="B3" s="4"/>
      <c r="C3" s="4"/>
      <c r="D3" s="4"/>
      <c r="E3" s="4"/>
      <c r="F3" s="4"/>
      <c r="G3" s="4"/>
      <c r="H3" s="4"/>
      <c r="I3" s="4"/>
      <c r="J3" s="4"/>
      <c r="K3" s="4"/>
      <c r="L3" s="4"/>
      <c r="M3" s="4"/>
      <c r="N3" s="4"/>
      <c r="O3" s="4"/>
      <c r="P3" s="4"/>
      <c r="Q3" s="4"/>
      <c r="R3" s="4"/>
      <c r="S3" s="4"/>
      <c r="T3" s="4"/>
      <c r="U3" s="4"/>
    </row>
    <row r="5" spans="1:21" ht="26.1" customHeight="1">
      <c r="B5" s="241" t="s">
        <v>1233</v>
      </c>
      <c r="C5" s="241" t="s">
        <v>1234</v>
      </c>
      <c r="D5" s="241" t="s">
        <v>1235</v>
      </c>
      <c r="E5" s="241" t="str">
        <f>Sheet1!E40</f>
        <v>FY21A</v>
      </c>
      <c r="F5" s="241" t="str">
        <f>Sheet1!F40</f>
        <v>FY22A</v>
      </c>
      <c r="G5" s="241" t="str">
        <f>Sheet1!G40</f>
        <v>FY23A</v>
      </c>
      <c r="H5" s="241" t="str">
        <f>Sheet1!H40</f>
        <v>FY24A</v>
      </c>
      <c r="I5" s="241" t="str">
        <f>Sheet1!I40</f>
        <v>FY25A</v>
      </c>
      <c r="J5" s="241" t="str">
        <f>Sheet1!J40</f>
        <v>FY26E</v>
      </c>
      <c r="K5" s="241" t="str">
        <f>Sheet1!K40</f>
        <v>FY27E</v>
      </c>
      <c r="L5" s="241" t="str">
        <f>Sheet1!L40</f>
        <v>FY28E</v>
      </c>
      <c r="M5" s="241" t="str">
        <f>Sheet1!M40</f>
        <v>FY29E</v>
      </c>
      <c r="N5" s="241" t="str">
        <f>Sheet1!N40</f>
        <v>FY30E</v>
      </c>
      <c r="O5" s="241" t="str">
        <f>Sheet1!O40</f>
        <v>FY31E</v>
      </c>
      <c r="P5" s="241" t="str">
        <f>Sheet1!P40</f>
        <v>FY32E</v>
      </c>
      <c r="Q5" s="241" t="str">
        <f>Sheet1!Q40</f>
        <v>FY33E</v>
      </c>
      <c r="R5" s="241" t="str">
        <f>Sheet1!R40</f>
        <v>FY34E</v>
      </c>
      <c r="S5" s="241" t="str">
        <f>Sheet1!S40</f>
        <v>FY35E</v>
      </c>
    </row>
    <row r="6" spans="1:21" ht="20.100000000000001" customHeight="1">
      <c r="B6" s="3" t="s">
        <v>1739</v>
      </c>
      <c r="C6" s="3"/>
      <c r="D6" s="3"/>
      <c r="E6" s="2"/>
      <c r="F6" s="2"/>
      <c r="G6" s="2"/>
      <c r="H6" s="2"/>
      <c r="I6" s="2"/>
      <c r="J6" s="2"/>
      <c r="K6" s="2"/>
      <c r="L6" s="2"/>
      <c r="M6" s="2"/>
      <c r="N6" s="2"/>
      <c r="O6" s="2"/>
      <c r="P6" s="2"/>
      <c r="Q6" s="2"/>
      <c r="R6" s="2"/>
      <c r="S6" s="2"/>
    </row>
    <row r="7" spans="1:21">
      <c r="B7" t="s">
        <v>585</v>
      </c>
      <c r="D7" t="s">
        <v>1740</v>
      </c>
      <c r="E7" s="242" t="str">
        <f>IF(Sheet1!E361="","",Sheet1!E361)</f>
        <v>FY21A</v>
      </c>
      <c r="F7" s="242" t="str">
        <f>IF(Sheet1!F361="","",Sheet1!F361)</f>
        <v>FY22A</v>
      </c>
      <c r="G7" s="242" t="str">
        <f>IF(Sheet1!G361="","",Sheet1!G361)</f>
        <v>FY23A</v>
      </c>
      <c r="H7" s="242" t="str">
        <f>IF(Sheet1!H361="","",Sheet1!H361)</f>
        <v>FY24A</v>
      </c>
      <c r="I7" s="242" t="str">
        <f>IF(Sheet1!I361="","",Sheet1!I361)</f>
        <v>FY25A</v>
      </c>
      <c r="J7" s="242" t="str">
        <f>IF(Sheet1!J361="","",Sheet1!J361)</f>
        <v>FY26E</v>
      </c>
      <c r="K7" s="242" t="str">
        <f>IF(Sheet1!K361="","",Sheet1!K361)</f>
        <v>FY27E</v>
      </c>
      <c r="L7" s="242" t="str">
        <f>IF(Sheet1!L361="","",Sheet1!L361)</f>
        <v>FY28E</v>
      </c>
      <c r="M7" s="242" t="str">
        <f>IF(Sheet1!M361="","",Sheet1!M361)</f>
        <v>FY29E</v>
      </c>
      <c r="N7" s="242" t="str">
        <f>IF(Sheet1!N361="","",Sheet1!N361)</f>
        <v>FY30E</v>
      </c>
      <c r="O7" s="242" t="str">
        <f>IF(Sheet1!O361="","",Sheet1!O361)</f>
        <v>FY31E</v>
      </c>
      <c r="P7" s="242" t="str">
        <f>IF(Sheet1!P361="","",Sheet1!P361)</f>
        <v>FY32E</v>
      </c>
      <c r="Q7" s="242" t="str">
        <f>IF(Sheet1!Q361="","",Sheet1!Q361)</f>
        <v>FY33E</v>
      </c>
      <c r="R7" s="242" t="str">
        <f>IF(Sheet1!R361="","",Sheet1!R361)</f>
        <v>FY34E</v>
      </c>
      <c r="S7" s="242" t="str">
        <f>IF(Sheet1!S361="","",Sheet1!S361)</f>
        <v>FY35E</v>
      </c>
    </row>
    <row r="8" spans="1:21">
      <c r="B8" t="s">
        <v>586</v>
      </c>
      <c r="D8" t="s">
        <v>1741</v>
      </c>
      <c r="E8" s="242">
        <f>IF(Sheet1!E362="","",Sheet1!E362)</f>
        <v>0</v>
      </c>
      <c r="F8" s="242">
        <f>IF(Sheet1!F362="","",Sheet1!F362)</f>
        <v>0</v>
      </c>
      <c r="G8" s="242">
        <f>IF(Sheet1!G362="","",Sheet1!G362)</f>
        <v>0</v>
      </c>
      <c r="H8" s="242">
        <f>IF(Sheet1!H362="","",Sheet1!H362)</f>
        <v>0</v>
      </c>
      <c r="I8" s="242">
        <f>IF(Sheet1!I362="","",Sheet1!I362)</f>
        <v>0</v>
      </c>
      <c r="J8" s="242">
        <f>IF(Sheet1!J362="","",Sheet1!J362)</f>
        <v>0</v>
      </c>
      <c r="K8" s="242">
        <f>IF(Sheet1!K362="","",Sheet1!K362)</f>
        <v>0</v>
      </c>
      <c r="L8" s="242">
        <f>IF(Sheet1!L362="","",Sheet1!L362)</f>
        <v>0</v>
      </c>
      <c r="M8" s="242">
        <f>IF(Sheet1!M362="","",Sheet1!M362)</f>
        <v>0</v>
      </c>
      <c r="N8" s="242">
        <f>IF(Sheet1!N362="","",Sheet1!N362)</f>
        <v>0</v>
      </c>
      <c r="O8" s="242">
        <f>IF(Sheet1!O362="","",Sheet1!O362)</f>
        <v>0</v>
      </c>
      <c r="P8" s="242">
        <f>IF(Sheet1!P362="","",Sheet1!P362)</f>
        <v>0</v>
      </c>
      <c r="Q8" s="242">
        <f>IF(Sheet1!Q362="","",Sheet1!Q362)</f>
        <v>0</v>
      </c>
      <c r="R8" s="242">
        <f>IF(Sheet1!R362="","",Sheet1!R362)</f>
        <v>0</v>
      </c>
      <c r="S8" s="242">
        <f>IF(Sheet1!S362="","",Sheet1!S362)</f>
        <v>0</v>
      </c>
    </row>
    <row r="9" spans="1:21">
      <c r="B9" t="s">
        <v>587</v>
      </c>
      <c r="D9" t="s">
        <v>1742</v>
      </c>
      <c r="E9" s="242">
        <f>IF(Sheet1!E363="","",Sheet1!E363)</f>
        <v>0</v>
      </c>
      <c r="F9" s="242">
        <f>IF(Sheet1!F363="","",Sheet1!F363)</f>
        <v>0</v>
      </c>
      <c r="G9" s="242">
        <f>IF(Sheet1!G363="","",Sheet1!G363)</f>
        <v>0</v>
      </c>
      <c r="H9" s="242">
        <f>IF(Sheet1!H363="","",Sheet1!H363)</f>
        <v>0</v>
      </c>
      <c r="I9" s="242">
        <f>IF(Sheet1!I363="","",Sheet1!I363)</f>
        <v>0</v>
      </c>
      <c r="J9" s="242" t="str">
        <f>IF(Sheet1!J363="","",Sheet1!J363)</f>
        <v/>
      </c>
      <c r="K9" s="242" t="str">
        <f>IF(Sheet1!K363="","",Sheet1!K363)</f>
        <v/>
      </c>
      <c r="L9" s="242" t="str">
        <f>IF(Sheet1!L363="","",Sheet1!L363)</f>
        <v/>
      </c>
      <c r="M9" s="242" t="str">
        <f>IF(Sheet1!M363="","",Sheet1!M363)</f>
        <v/>
      </c>
      <c r="N9" s="242" t="str">
        <f>IF(Sheet1!N363="","",Sheet1!N363)</f>
        <v/>
      </c>
      <c r="O9" s="242" t="str">
        <f>IF(Sheet1!O363="","",Sheet1!O363)</f>
        <v/>
      </c>
      <c r="P9" s="242" t="str">
        <f>IF(Sheet1!P363="","",Sheet1!P363)</f>
        <v/>
      </c>
      <c r="Q9" s="242" t="str">
        <f>IF(Sheet1!Q363="","",Sheet1!Q363)</f>
        <v/>
      </c>
      <c r="R9" s="242" t="str">
        <f>IF(Sheet1!R363="","",Sheet1!R363)</f>
        <v/>
      </c>
      <c r="S9" s="242" t="str">
        <f>IF(Sheet1!S363="","",Sheet1!S363)</f>
        <v/>
      </c>
    </row>
    <row r="10" spans="1:21">
      <c r="B10" t="s">
        <v>588</v>
      </c>
      <c r="D10" t="s">
        <v>1743</v>
      </c>
      <c r="E10" s="242" t="str">
        <f>IF(Sheet1!E364="","",Sheet1!E364)</f>
        <v/>
      </c>
      <c r="F10" s="242" t="str">
        <f>IF(Sheet1!F364="","",Sheet1!F364)</f>
        <v/>
      </c>
      <c r="G10" s="242" t="str">
        <f>IF(Sheet1!G364="","",Sheet1!G364)</f>
        <v/>
      </c>
      <c r="H10" s="242">
        <f>IF(Sheet1!H364="","",Sheet1!H364)</f>
        <v>0</v>
      </c>
      <c r="I10" s="242">
        <f>IF(Sheet1!I364="","",Sheet1!I364)</f>
        <v>0</v>
      </c>
      <c r="J10" s="242" t="str">
        <f>IF(Sheet1!J364="","",Sheet1!J364)</f>
        <v/>
      </c>
      <c r="K10" s="242" t="str">
        <f>IF(Sheet1!K364="","",Sheet1!K364)</f>
        <v/>
      </c>
      <c r="L10" s="242" t="str">
        <f>IF(Sheet1!L364="","",Sheet1!L364)</f>
        <v/>
      </c>
      <c r="M10" s="242" t="str">
        <f>IF(Sheet1!M364="","",Sheet1!M364)</f>
        <v/>
      </c>
      <c r="N10" s="242" t="str">
        <f>IF(Sheet1!N364="","",Sheet1!N364)</f>
        <v/>
      </c>
      <c r="O10" s="242" t="str">
        <f>IF(Sheet1!O364="","",Sheet1!O364)</f>
        <v/>
      </c>
      <c r="P10" s="242" t="str">
        <f>IF(Sheet1!P364="","",Sheet1!P364)</f>
        <v/>
      </c>
      <c r="Q10" s="242" t="str">
        <f>IF(Sheet1!Q364="","",Sheet1!Q364)</f>
        <v/>
      </c>
      <c r="R10" s="242" t="str">
        <f>IF(Sheet1!R364="","",Sheet1!R364)</f>
        <v/>
      </c>
      <c r="S10" s="242" t="str">
        <f>IF(Sheet1!S364="","",Sheet1!S364)</f>
        <v/>
      </c>
    </row>
    <row r="11" spans="1:21">
      <c r="B11" t="s">
        <v>589</v>
      </c>
      <c r="D11" t="s">
        <v>1744</v>
      </c>
      <c r="E11" s="242" t="str">
        <f>IF(Sheet1!E365="","",Sheet1!E365)</f>
        <v/>
      </c>
      <c r="F11" s="242" t="str">
        <f>IF(Sheet1!F365="","",Sheet1!F365)</f>
        <v/>
      </c>
      <c r="G11" s="242" t="str">
        <f>IF(Sheet1!G365="","",Sheet1!G365)</f>
        <v/>
      </c>
      <c r="H11" s="242" t="str">
        <f>IF(Sheet1!H365="","",Sheet1!H365)</f>
        <v/>
      </c>
      <c r="I11" s="242" t="str">
        <f>IF(Sheet1!I365="","",Sheet1!I365)</f>
        <v/>
      </c>
      <c r="J11" s="242">
        <f>IF(Sheet1!J365="","",Sheet1!J365)</f>
        <v>0</v>
      </c>
      <c r="K11" s="242">
        <f>IF(Sheet1!K365="","",Sheet1!K365)</f>
        <v>0</v>
      </c>
      <c r="L11" s="242">
        <f>IF(Sheet1!L365="","",Sheet1!L365)</f>
        <v>0</v>
      </c>
      <c r="M11" s="242">
        <f>IF(Sheet1!M365="","",Sheet1!M365)</f>
        <v>0</v>
      </c>
      <c r="N11" s="242">
        <f>IF(Sheet1!N365="","",Sheet1!N365)</f>
        <v>0</v>
      </c>
      <c r="O11" s="242">
        <f>IF(Sheet1!O365="","",Sheet1!O365)</f>
        <v>0</v>
      </c>
      <c r="P11" s="242">
        <f>IF(Sheet1!P365="","",Sheet1!P365)</f>
        <v>0</v>
      </c>
      <c r="Q11" s="242">
        <f>IF(Sheet1!Q365="","",Sheet1!Q365)</f>
        <v>0</v>
      </c>
      <c r="R11" s="242">
        <f>IF(Sheet1!R365="","",Sheet1!R365)</f>
        <v>0</v>
      </c>
      <c r="S11" s="242">
        <f>IF(Sheet1!S365="","",Sheet1!S365)</f>
        <v>0</v>
      </c>
    </row>
    <row r="12" spans="1:21">
      <c r="B12" t="s">
        <v>590</v>
      </c>
      <c r="D12" t="s">
        <v>1745</v>
      </c>
      <c r="E12" s="242" t="str">
        <f>IF(Sheet1!E366="","",Sheet1!E366)</f>
        <v/>
      </c>
      <c r="F12" s="242" t="str">
        <f>IF(Sheet1!F366="","",Sheet1!F366)</f>
        <v/>
      </c>
      <c r="G12" s="242" t="str">
        <f>IF(Sheet1!G366="","",Sheet1!G366)</f>
        <v/>
      </c>
      <c r="H12" s="242" t="str">
        <f>IF(Sheet1!H366="","",Sheet1!H366)</f>
        <v/>
      </c>
      <c r="I12" s="242" t="str">
        <f>IF(Sheet1!I366="","",Sheet1!I366)</f>
        <v/>
      </c>
      <c r="J12" s="242">
        <f>IF(Sheet1!J366="","",Sheet1!J366)</f>
        <v>0</v>
      </c>
      <c r="K12" s="242">
        <f>IF(Sheet1!K366="","",Sheet1!K366)</f>
        <v>0</v>
      </c>
      <c r="L12" s="242">
        <f>IF(Sheet1!L366="","",Sheet1!L366)</f>
        <v>0</v>
      </c>
      <c r="M12" s="242">
        <f>IF(Sheet1!M366="","",Sheet1!M366)</f>
        <v>0</v>
      </c>
      <c r="N12" s="242">
        <f>IF(Sheet1!N366="","",Sheet1!N366)</f>
        <v>0</v>
      </c>
      <c r="O12" s="242">
        <f>IF(Sheet1!O366="","",Sheet1!O366)</f>
        <v>0</v>
      </c>
      <c r="P12" s="242">
        <f>IF(Sheet1!P366="","",Sheet1!P366)</f>
        <v>0</v>
      </c>
      <c r="Q12" s="242">
        <f>IF(Sheet1!Q366="","",Sheet1!Q366)</f>
        <v>0</v>
      </c>
      <c r="R12" s="242">
        <f>IF(Sheet1!R366="","",Sheet1!R366)</f>
        <v>0</v>
      </c>
      <c r="S12" s="242">
        <f>IF(Sheet1!S366="","",Sheet1!S366)</f>
        <v>0</v>
      </c>
    </row>
    <row r="13" spans="1:21">
      <c r="B13" t="s">
        <v>591</v>
      </c>
      <c r="D13" t="s">
        <v>1746</v>
      </c>
      <c r="E13" s="242" t="str">
        <f>IF(Sheet1!E367="","",Sheet1!E367)</f>
        <v/>
      </c>
      <c r="F13" s="242" t="str">
        <f>IF(Sheet1!F367="","",Sheet1!F367)</f>
        <v/>
      </c>
      <c r="G13" s="242" t="str">
        <f>IF(Sheet1!G367="","",Sheet1!G367)</f>
        <v/>
      </c>
      <c r="H13" s="242" t="str">
        <f>IF(Sheet1!H367="","",Sheet1!H367)</f>
        <v/>
      </c>
      <c r="I13" s="242" t="str">
        <f>IF(Sheet1!I367="","",Sheet1!I367)</f>
        <v/>
      </c>
      <c r="J13" s="242">
        <f>IF(Sheet1!J367="","",Sheet1!J367)</f>
        <v>0</v>
      </c>
      <c r="K13" s="242">
        <f>IF(Sheet1!K367="","",Sheet1!K367)</f>
        <v>0</v>
      </c>
      <c r="L13" s="242">
        <f>IF(Sheet1!L367="","",Sheet1!L367)</f>
        <v>0</v>
      </c>
      <c r="M13" s="242">
        <f>IF(Sheet1!M367="","",Sheet1!M367)</f>
        <v>0</v>
      </c>
      <c r="N13" s="242">
        <f>IF(Sheet1!N367="","",Sheet1!N367)</f>
        <v>0</v>
      </c>
      <c r="O13" s="242">
        <f>IF(Sheet1!O367="","",Sheet1!O367)</f>
        <v>0</v>
      </c>
      <c r="P13" s="242">
        <f>IF(Sheet1!P367="","",Sheet1!P367)</f>
        <v>0</v>
      </c>
      <c r="Q13" s="242">
        <f>IF(Sheet1!Q367="","",Sheet1!Q367)</f>
        <v>0</v>
      </c>
      <c r="R13" s="242">
        <f>IF(Sheet1!R367="","",Sheet1!R367)</f>
        <v>0</v>
      </c>
      <c r="S13" s="242">
        <f>IF(Sheet1!S367="","",Sheet1!S367)</f>
        <v>0</v>
      </c>
    </row>
    <row r="14" spans="1:21">
      <c r="B14" t="s">
        <v>592</v>
      </c>
      <c r="D14" t="s">
        <v>1747</v>
      </c>
      <c r="E14" s="242" t="str">
        <f>IF(Sheet1!E368="","",Sheet1!E368)</f>
        <v/>
      </c>
      <c r="F14" s="242" t="str">
        <f>IF(Sheet1!F368="","",Sheet1!F368)</f>
        <v/>
      </c>
      <c r="G14" s="242" t="str">
        <f>IF(Sheet1!G368="","",Sheet1!G368)</f>
        <v/>
      </c>
      <c r="H14" s="242" t="str">
        <f>IF(Sheet1!H368="","",Sheet1!H368)</f>
        <v/>
      </c>
      <c r="I14" s="242" t="str">
        <f>IF(Sheet1!I368="","",Sheet1!I368)</f>
        <v/>
      </c>
      <c r="J14" s="242">
        <f>IF(Sheet1!J368="","",Sheet1!J368)</f>
        <v>0</v>
      </c>
      <c r="K14" s="242">
        <f>IF(Sheet1!K368="","",Sheet1!K368)</f>
        <v>0</v>
      </c>
      <c r="L14" s="242">
        <f>IF(Sheet1!L368="","",Sheet1!L368)</f>
        <v>0</v>
      </c>
      <c r="M14" s="242">
        <f>IF(Sheet1!M368="","",Sheet1!M368)</f>
        <v>0</v>
      </c>
      <c r="N14" s="242">
        <f>IF(Sheet1!N368="","",Sheet1!N368)</f>
        <v>0</v>
      </c>
      <c r="O14" s="242">
        <f>IF(Sheet1!O368="","",Sheet1!O368)</f>
        <v>0</v>
      </c>
      <c r="P14" s="242">
        <f>IF(Sheet1!P368="","",Sheet1!P368)</f>
        <v>0</v>
      </c>
      <c r="Q14" s="242">
        <f>IF(Sheet1!Q368="","",Sheet1!Q368)</f>
        <v>0</v>
      </c>
      <c r="R14" s="242">
        <f>IF(Sheet1!R368="","",Sheet1!R368)</f>
        <v>0</v>
      </c>
      <c r="S14" s="242">
        <f>IF(Sheet1!S368="","",Sheet1!S368)</f>
        <v>0</v>
      </c>
    </row>
    <row r="15" spans="1:21">
      <c r="B15" t="s">
        <v>593</v>
      </c>
      <c r="D15" t="s">
        <v>1748</v>
      </c>
      <c r="E15" s="242" t="str">
        <f>IF(Sheet1!E369="","",Sheet1!E369)</f>
        <v/>
      </c>
      <c r="F15" s="242" t="str">
        <f>IF(Sheet1!F369="","",Sheet1!F369)</f>
        <v/>
      </c>
      <c r="G15" s="242" t="str">
        <f>IF(Sheet1!G369="","",Sheet1!G369)</f>
        <v/>
      </c>
      <c r="H15" s="242" t="str">
        <f>IF(Sheet1!H369="","",Sheet1!H369)</f>
        <v/>
      </c>
      <c r="I15" s="242" t="str">
        <f>IF(Sheet1!I369="","",Sheet1!I369)</f>
        <v/>
      </c>
      <c r="J15" s="242">
        <f>IF(Sheet1!J369="","",Sheet1!J369)</f>
        <v>0</v>
      </c>
      <c r="K15" s="242">
        <f>IF(Sheet1!K369="","",Sheet1!K369)</f>
        <v>0</v>
      </c>
      <c r="L15" s="242">
        <f>IF(Sheet1!L369="","",Sheet1!L369)</f>
        <v>0</v>
      </c>
      <c r="M15" s="242">
        <f>IF(Sheet1!M369="","",Sheet1!M369)</f>
        <v>0</v>
      </c>
      <c r="N15" s="242">
        <f>IF(Sheet1!N369="","",Sheet1!N369)</f>
        <v>0</v>
      </c>
      <c r="O15" s="242">
        <f>IF(Sheet1!O369="","",Sheet1!O369)</f>
        <v>0</v>
      </c>
      <c r="P15" s="242">
        <f>IF(Sheet1!P369="","",Sheet1!P369)</f>
        <v>0</v>
      </c>
      <c r="Q15" s="242">
        <f>IF(Sheet1!Q369="","",Sheet1!Q369)</f>
        <v>0</v>
      </c>
      <c r="R15" s="242">
        <f>IF(Sheet1!R369="","",Sheet1!R369)</f>
        <v>0</v>
      </c>
      <c r="S15" s="242">
        <f>IF(Sheet1!S369="","",Sheet1!S369)</f>
        <v>0</v>
      </c>
    </row>
    <row r="16" spans="1:21">
      <c r="B16" t="s">
        <v>594</v>
      </c>
      <c r="D16" t="s">
        <v>1749</v>
      </c>
      <c r="E16" s="242">
        <f>IF(Sheet1!E370="","",Sheet1!E370)</f>
        <v>0</v>
      </c>
      <c r="F16" s="242">
        <f>IF(Sheet1!F370="","",Sheet1!F370)</f>
        <v>0</v>
      </c>
      <c r="G16" s="242">
        <f>IF(Sheet1!G370="","",Sheet1!G370)</f>
        <v>0</v>
      </c>
      <c r="H16" s="242">
        <f>IF(Sheet1!H370="","",Sheet1!H370)</f>
        <v>0</v>
      </c>
      <c r="I16" s="242">
        <f>IF(Sheet1!I370="","",Sheet1!I370)</f>
        <v>0</v>
      </c>
      <c r="J16" s="242">
        <f>IF(Sheet1!J370="","",Sheet1!J370)</f>
        <v>0</v>
      </c>
      <c r="K16" s="242">
        <f>IF(Sheet1!K370="","",Sheet1!K370)</f>
        <v>0</v>
      </c>
      <c r="L16" s="242">
        <f>IF(Sheet1!L370="","",Sheet1!L370)</f>
        <v>0</v>
      </c>
      <c r="M16" s="242">
        <f>IF(Sheet1!M370="","",Sheet1!M370)</f>
        <v>0</v>
      </c>
      <c r="N16" s="242">
        <f>IF(Sheet1!N370="","",Sheet1!N370)</f>
        <v>0</v>
      </c>
      <c r="O16" s="242">
        <f>IF(Sheet1!O370="","",Sheet1!O370)</f>
        <v>0</v>
      </c>
      <c r="P16" s="242">
        <f>IF(Sheet1!P370="","",Sheet1!P370)</f>
        <v>0</v>
      </c>
      <c r="Q16" s="242">
        <f>IF(Sheet1!Q370="","",Sheet1!Q370)</f>
        <v>0</v>
      </c>
      <c r="R16" s="242">
        <f>IF(Sheet1!R370="","",Sheet1!R370)</f>
        <v>0</v>
      </c>
      <c r="S16" s="242">
        <f>IF(Sheet1!S370="","",Sheet1!S370)</f>
        <v>0</v>
      </c>
    </row>
    <row r="17" spans="2:19">
      <c r="B17" t="s">
        <v>595</v>
      </c>
      <c r="D17" t="s">
        <v>1750</v>
      </c>
      <c r="E17" s="242" t="str">
        <f>IF(Sheet1!E371="","",Sheet1!E371)</f>
        <v/>
      </c>
      <c r="F17" s="242" t="str">
        <f>IF(Sheet1!F371="","",Sheet1!F371)</f>
        <v/>
      </c>
      <c r="G17" s="242" t="str">
        <f>IF(Sheet1!G371="","",Sheet1!G371)</f>
        <v/>
      </c>
      <c r="H17" s="242" t="str">
        <f>IF(Sheet1!H371="","",Sheet1!H371)</f>
        <v/>
      </c>
      <c r="I17" s="242">
        <f>IF(Sheet1!I371="","",Sheet1!I371)</f>
        <v>0</v>
      </c>
      <c r="J17" s="242" t="str">
        <f>IF(Sheet1!J371="","",Sheet1!J371)</f>
        <v/>
      </c>
      <c r="K17" s="242" t="str">
        <f>IF(Sheet1!K371="","",Sheet1!K371)</f>
        <v/>
      </c>
      <c r="L17" s="242" t="str">
        <f>IF(Sheet1!L371="","",Sheet1!L371)</f>
        <v/>
      </c>
      <c r="M17" s="242" t="str">
        <f>IF(Sheet1!M371="","",Sheet1!M371)</f>
        <v/>
      </c>
      <c r="N17" s="242" t="str">
        <f>IF(Sheet1!N371="","",Sheet1!N371)</f>
        <v/>
      </c>
      <c r="O17" s="242" t="str">
        <f>IF(Sheet1!O371="","",Sheet1!O371)</f>
        <v/>
      </c>
      <c r="P17" s="242" t="str">
        <f>IF(Sheet1!P371="","",Sheet1!P371)</f>
        <v/>
      </c>
      <c r="Q17" s="242" t="str">
        <f>IF(Sheet1!Q371="","",Sheet1!Q371)</f>
        <v/>
      </c>
      <c r="R17" s="242" t="str">
        <f>IF(Sheet1!R371="","",Sheet1!R371)</f>
        <v/>
      </c>
      <c r="S17" s="242" t="str">
        <f>IF(Sheet1!S371="","",Sheet1!S371)</f>
        <v/>
      </c>
    </row>
    <row r="18" spans="2:19">
      <c r="B18" t="s">
        <v>596</v>
      </c>
      <c r="D18" t="s">
        <v>1751</v>
      </c>
      <c r="E18" s="242" t="str">
        <f>IF(Sheet1!E372="","",Sheet1!E372)</f>
        <v/>
      </c>
      <c r="F18" s="242" t="str">
        <f>IF(Sheet1!F372="","",Sheet1!F372)</f>
        <v/>
      </c>
      <c r="G18" s="242" t="str">
        <f>IF(Sheet1!G372="","",Sheet1!G372)</f>
        <v/>
      </c>
      <c r="H18" s="242" t="str">
        <f>IF(Sheet1!H372="","",Sheet1!H372)</f>
        <v/>
      </c>
      <c r="I18" s="242" t="str">
        <f>IF(Sheet1!I372="","",Sheet1!I372)</f>
        <v/>
      </c>
      <c r="J18" s="242">
        <f>IF(Sheet1!J372="","",Sheet1!J372)</f>
        <v>0</v>
      </c>
      <c r="K18" s="242">
        <f>IF(Sheet1!K372="","",Sheet1!K372)</f>
        <v>0</v>
      </c>
      <c r="L18" s="242">
        <f>IF(Sheet1!L372="","",Sheet1!L372)</f>
        <v>0</v>
      </c>
      <c r="M18" s="242">
        <f>IF(Sheet1!M372="","",Sheet1!M372)</f>
        <v>0</v>
      </c>
      <c r="N18" s="242">
        <f>IF(Sheet1!N372="","",Sheet1!N372)</f>
        <v>0</v>
      </c>
      <c r="O18" s="242">
        <f>IF(Sheet1!O372="","",Sheet1!O372)</f>
        <v>0</v>
      </c>
      <c r="P18" s="242">
        <f>IF(Sheet1!P372="","",Sheet1!P372)</f>
        <v>0</v>
      </c>
      <c r="Q18" s="242">
        <f>IF(Sheet1!Q372="","",Sheet1!Q372)</f>
        <v>0</v>
      </c>
      <c r="R18" s="242">
        <f>IF(Sheet1!R372="","",Sheet1!R372)</f>
        <v>0</v>
      </c>
      <c r="S18" s="242">
        <f>IF(Sheet1!S372="","",Sheet1!S372)</f>
        <v>0</v>
      </c>
    </row>
    <row r="19" spans="2:19">
      <c r="B19" t="s">
        <v>597</v>
      </c>
      <c r="D19" t="s">
        <v>1752</v>
      </c>
      <c r="E19" s="242">
        <f>IF(Sheet1!E373="","",Sheet1!E373)</f>
        <v>0</v>
      </c>
      <c r="F19" s="242">
        <f>IF(Sheet1!F373="","",Sheet1!F373)</f>
        <v>0</v>
      </c>
      <c r="G19" s="242">
        <f>IF(Sheet1!G373="","",Sheet1!G373)</f>
        <v>0</v>
      </c>
      <c r="H19" s="242">
        <f>IF(Sheet1!H373="","",Sheet1!H373)</f>
        <v>0</v>
      </c>
      <c r="I19" s="242">
        <f>IF(Sheet1!I373="","",Sheet1!I373)</f>
        <v>0</v>
      </c>
      <c r="J19" s="242">
        <f>IF(Sheet1!J373="","",Sheet1!J373)</f>
        <v>0</v>
      </c>
      <c r="K19" s="242">
        <f>IF(Sheet1!K373="","",Sheet1!K373)</f>
        <v>0</v>
      </c>
      <c r="L19" s="242">
        <f>IF(Sheet1!L373="","",Sheet1!L373)</f>
        <v>0</v>
      </c>
      <c r="M19" s="242">
        <f>IF(Sheet1!M373="","",Sheet1!M373)</f>
        <v>0</v>
      </c>
      <c r="N19" s="242">
        <f>IF(Sheet1!N373="","",Sheet1!N373)</f>
        <v>0</v>
      </c>
      <c r="O19" s="242">
        <f>IF(Sheet1!O373="","",Sheet1!O373)</f>
        <v>0</v>
      </c>
      <c r="P19" s="242">
        <f>IF(Sheet1!P373="","",Sheet1!P373)</f>
        <v>0</v>
      </c>
      <c r="Q19" s="242">
        <f>IF(Sheet1!Q373="","",Sheet1!Q373)</f>
        <v>0</v>
      </c>
      <c r="R19" s="242">
        <f>IF(Sheet1!R373="","",Sheet1!R373)</f>
        <v>0</v>
      </c>
      <c r="S19" s="242">
        <f>IF(Sheet1!S373="","",Sheet1!S373)</f>
        <v>0</v>
      </c>
    </row>
    <row r="20" spans="2:19" ht="20.100000000000001" customHeight="1">
      <c r="B20" s="3" t="s">
        <v>1753</v>
      </c>
      <c r="C20" s="3"/>
      <c r="D20" s="3"/>
      <c r="E20" s="2"/>
      <c r="F20" s="2"/>
      <c r="G20" s="2"/>
      <c r="H20" s="2"/>
      <c r="I20" s="2"/>
      <c r="J20" s="2"/>
      <c r="K20" s="2"/>
      <c r="L20" s="2"/>
      <c r="M20" s="2"/>
      <c r="N20" s="2"/>
      <c r="O20" s="2"/>
      <c r="P20" s="2"/>
      <c r="Q20" s="2"/>
      <c r="R20" s="2"/>
      <c r="S20" s="2"/>
    </row>
    <row r="21" spans="2:19">
      <c r="B21" t="s">
        <v>642</v>
      </c>
      <c r="D21" t="s">
        <v>1754</v>
      </c>
      <c r="E21" s="242">
        <f>IF(Sheet1!E417="","",Sheet1!E417)</f>
        <v>1.5359983003967956</v>
      </c>
      <c r="F21" s="242" t="str">
        <f>IF(Sheet1!F417="","",Sheet1!F417)</f>
        <v/>
      </c>
      <c r="G21" s="242" t="str">
        <f>IF(Sheet1!G417="","",Sheet1!G417)</f>
        <v/>
      </c>
      <c r="H21" s="242" t="str">
        <f>IF(Sheet1!H417="","",Sheet1!H417)</f>
        <v/>
      </c>
      <c r="I21" s="242" t="str">
        <f>IF(Sheet1!I417="","",Sheet1!I417)</f>
        <v/>
      </c>
      <c r="J21" s="242" t="str">
        <f>IF(Sheet1!J417="","",Sheet1!J417)</f>
        <v/>
      </c>
      <c r="K21" s="242" t="str">
        <f>IF(Sheet1!K417="","",Sheet1!K417)</f>
        <v/>
      </c>
      <c r="L21" s="242" t="str">
        <f>IF(Sheet1!L417="","",Sheet1!L417)</f>
        <v/>
      </c>
      <c r="M21" s="242" t="str">
        <f>IF(Sheet1!M417="","",Sheet1!M417)</f>
        <v/>
      </c>
      <c r="N21" s="242" t="str">
        <f>IF(Sheet1!N417="","",Sheet1!N417)</f>
        <v/>
      </c>
      <c r="O21" s="242" t="str">
        <f>IF(Sheet1!O417="","",Sheet1!O417)</f>
        <v/>
      </c>
      <c r="P21" s="242" t="str">
        <f>IF(Sheet1!P417="","",Sheet1!P417)</f>
        <v/>
      </c>
      <c r="Q21" s="242" t="str">
        <f>IF(Sheet1!Q417="","",Sheet1!Q417)</f>
        <v/>
      </c>
      <c r="R21" s="242" t="str">
        <f>IF(Sheet1!R417="","",Sheet1!R417)</f>
        <v/>
      </c>
      <c r="S21" s="242" t="str">
        <f>IF(Sheet1!S417="","",Sheet1!S417)</f>
        <v/>
      </c>
    </row>
    <row r="22" spans="2:19">
      <c r="B22" t="s">
        <v>644</v>
      </c>
      <c r="D22" t="s">
        <v>1653</v>
      </c>
      <c r="E22" s="242">
        <f>IF(Sheet1!E418="","",Sheet1!E418)</f>
        <v>0</v>
      </c>
      <c r="F22" s="242" t="str">
        <f>IF(Sheet1!F418="","",Sheet1!F418)</f>
        <v/>
      </c>
      <c r="G22" s="242" t="str">
        <f>IF(Sheet1!G418="","",Sheet1!G418)</f>
        <v/>
      </c>
      <c r="H22" s="242" t="str">
        <f>IF(Sheet1!H418="","",Sheet1!H418)</f>
        <v/>
      </c>
      <c r="I22" s="242" t="str">
        <f>IF(Sheet1!I418="","",Sheet1!I418)</f>
        <v/>
      </c>
      <c r="J22" s="242" t="str">
        <f>IF(Sheet1!J418="","",Sheet1!J418)</f>
        <v/>
      </c>
      <c r="K22" s="242" t="str">
        <f>IF(Sheet1!K418="","",Sheet1!K418)</f>
        <v/>
      </c>
      <c r="L22" s="242" t="str">
        <f>IF(Sheet1!L418="","",Sheet1!L418)</f>
        <v/>
      </c>
      <c r="M22" s="242" t="str">
        <f>IF(Sheet1!M418="","",Sheet1!M418)</f>
        <v/>
      </c>
      <c r="N22" s="242" t="str">
        <f>IF(Sheet1!N418="","",Sheet1!N418)</f>
        <v/>
      </c>
      <c r="O22" s="242" t="str">
        <f>IF(Sheet1!O418="","",Sheet1!O418)</f>
        <v/>
      </c>
      <c r="P22" s="242" t="str">
        <f>IF(Sheet1!P418="","",Sheet1!P418)</f>
        <v/>
      </c>
      <c r="Q22" s="242" t="str">
        <f>IF(Sheet1!Q418="","",Sheet1!Q418)</f>
        <v/>
      </c>
      <c r="R22" s="242" t="str">
        <f>IF(Sheet1!R418="","",Sheet1!R418)</f>
        <v/>
      </c>
      <c r="S22" s="242" t="str">
        <f>IF(Sheet1!S418="","",Sheet1!S418)</f>
        <v/>
      </c>
    </row>
    <row r="23" spans="2:19">
      <c r="B23" t="s">
        <v>645</v>
      </c>
      <c r="D23" t="s">
        <v>1654</v>
      </c>
      <c r="E23" s="242">
        <f>IF(Sheet1!E419="","",Sheet1!E419)</f>
        <v>0</v>
      </c>
      <c r="F23" s="242" t="str">
        <f>IF(Sheet1!F419="","",Sheet1!F419)</f>
        <v/>
      </c>
      <c r="G23" s="242" t="str">
        <f>IF(Sheet1!G419="","",Sheet1!G419)</f>
        <v/>
      </c>
      <c r="H23" s="242" t="str">
        <f>IF(Sheet1!H419="","",Sheet1!H419)</f>
        <v/>
      </c>
      <c r="I23" s="242" t="str">
        <f>IF(Sheet1!I419="","",Sheet1!I419)</f>
        <v/>
      </c>
      <c r="J23" s="242" t="str">
        <f>IF(Sheet1!J419="","",Sheet1!J419)</f>
        <v/>
      </c>
      <c r="K23" s="242" t="str">
        <f>IF(Sheet1!K419="","",Sheet1!K419)</f>
        <v/>
      </c>
      <c r="L23" s="242" t="str">
        <f>IF(Sheet1!L419="","",Sheet1!L419)</f>
        <v/>
      </c>
      <c r="M23" s="242" t="str">
        <f>IF(Sheet1!M419="","",Sheet1!M419)</f>
        <v/>
      </c>
      <c r="N23" s="242" t="str">
        <f>IF(Sheet1!N419="","",Sheet1!N419)</f>
        <v/>
      </c>
      <c r="O23" s="242" t="str">
        <f>IF(Sheet1!O419="","",Sheet1!O419)</f>
        <v/>
      </c>
      <c r="P23" s="242" t="str">
        <f>IF(Sheet1!P419="","",Sheet1!P419)</f>
        <v/>
      </c>
      <c r="Q23" s="242" t="str">
        <f>IF(Sheet1!Q419="","",Sheet1!Q419)</f>
        <v/>
      </c>
      <c r="R23" s="242" t="str">
        <f>IF(Sheet1!R419="","",Sheet1!R419)</f>
        <v/>
      </c>
      <c r="S23" s="242" t="str">
        <f>IF(Sheet1!S419="","",Sheet1!S419)</f>
        <v/>
      </c>
    </row>
    <row r="24" spans="2:19">
      <c r="B24" t="s">
        <v>646</v>
      </c>
      <c r="D24" t="s">
        <v>1755</v>
      </c>
      <c r="E24" s="242" t="str">
        <f>IF(Sheet1!E420="","",Sheet1!E420)</f>
        <v>OK</v>
      </c>
      <c r="F24" s="242" t="str">
        <f>IF(Sheet1!F420="","",Sheet1!F420)</f>
        <v/>
      </c>
      <c r="G24" s="242" t="str">
        <f>IF(Sheet1!G420="","",Sheet1!G420)</f>
        <v/>
      </c>
      <c r="H24" s="242" t="str">
        <f>IF(Sheet1!H420="","",Sheet1!H420)</f>
        <v/>
      </c>
      <c r="I24" s="242" t="str">
        <f>IF(Sheet1!I420="","",Sheet1!I420)</f>
        <v/>
      </c>
      <c r="J24" s="242" t="str">
        <f>IF(Sheet1!J420="","",Sheet1!J420)</f>
        <v/>
      </c>
      <c r="K24" s="242" t="str">
        <f>IF(Sheet1!K420="","",Sheet1!K420)</f>
        <v/>
      </c>
      <c r="L24" s="242" t="str">
        <f>IF(Sheet1!L420="","",Sheet1!L420)</f>
        <v/>
      </c>
      <c r="M24" s="242" t="str">
        <f>IF(Sheet1!M420="","",Sheet1!M420)</f>
        <v/>
      </c>
      <c r="N24" s="242" t="str">
        <f>IF(Sheet1!N420="","",Sheet1!N420)</f>
        <v/>
      </c>
      <c r="O24" s="242" t="str">
        <f>IF(Sheet1!O420="","",Sheet1!O420)</f>
        <v/>
      </c>
      <c r="P24" s="242" t="str">
        <f>IF(Sheet1!P420="","",Sheet1!P420)</f>
        <v/>
      </c>
      <c r="Q24" s="242" t="str">
        <f>IF(Sheet1!Q420="","",Sheet1!Q420)</f>
        <v/>
      </c>
      <c r="R24" s="242" t="str">
        <f>IF(Sheet1!R420="","",Sheet1!R420)</f>
        <v/>
      </c>
      <c r="S24" s="242" t="str">
        <f>IF(Sheet1!S420="","",Sheet1!S420)</f>
        <v/>
      </c>
    </row>
    <row r="25" spans="2:19" ht="20.100000000000001" customHeight="1">
      <c r="B25" s="3" t="s">
        <v>1756</v>
      </c>
      <c r="C25" s="3"/>
      <c r="D25" s="3"/>
      <c r="E25" s="2"/>
      <c r="F25" s="2"/>
      <c r="G25" s="2"/>
      <c r="H25" s="2"/>
      <c r="I25" s="2"/>
      <c r="J25" s="2"/>
      <c r="K25" s="2"/>
      <c r="L25" s="2"/>
      <c r="M25" s="2"/>
      <c r="N25" s="2"/>
      <c r="O25" s="2"/>
      <c r="P25" s="2"/>
      <c r="Q25" s="2"/>
      <c r="R25" s="2"/>
      <c r="S25" s="2"/>
    </row>
    <row r="26" spans="2:19">
      <c r="B26" t="s">
        <v>665</v>
      </c>
      <c r="D26" t="s">
        <v>1724</v>
      </c>
      <c r="E26" s="242" t="str">
        <f>IF(Sheet1!E444="","",Sheet1!E444)</f>
        <v>OK</v>
      </c>
      <c r="F26" s="242" t="str">
        <f>IF(Sheet1!F444="","",Sheet1!F444)</f>
        <v/>
      </c>
      <c r="G26" s="242" t="str">
        <f>IF(Sheet1!G444="","",Sheet1!G444)</f>
        <v/>
      </c>
      <c r="H26" s="242" t="str">
        <f>IF(Sheet1!H444="","",Sheet1!H444)</f>
        <v/>
      </c>
      <c r="I26" s="242" t="str">
        <f>IF(Sheet1!I444="","",Sheet1!I444)</f>
        <v/>
      </c>
      <c r="J26" s="242" t="str">
        <f>IF(Sheet1!J444="","",Sheet1!J444)</f>
        <v/>
      </c>
      <c r="K26" s="242" t="str">
        <f>IF(Sheet1!K444="","",Sheet1!K444)</f>
        <v/>
      </c>
      <c r="L26" s="242" t="str">
        <f>IF(Sheet1!L444="","",Sheet1!L444)</f>
        <v/>
      </c>
      <c r="M26" s="242" t="str">
        <f>IF(Sheet1!M444="","",Sheet1!M444)</f>
        <v/>
      </c>
      <c r="N26" s="242" t="str">
        <f>IF(Sheet1!N444="","",Sheet1!N444)</f>
        <v/>
      </c>
      <c r="O26" s="242" t="str">
        <f>IF(Sheet1!O444="","",Sheet1!O444)</f>
        <v/>
      </c>
      <c r="P26" s="242" t="str">
        <f>IF(Sheet1!P444="","",Sheet1!P444)</f>
        <v/>
      </c>
      <c r="Q26" s="242" t="str">
        <f>IF(Sheet1!Q444="","",Sheet1!Q444)</f>
        <v/>
      </c>
      <c r="R26" s="242" t="str">
        <f>IF(Sheet1!R444="","",Sheet1!R444)</f>
        <v/>
      </c>
      <c r="S26" s="242" t="str">
        <f>IF(Sheet1!S444="","",Sheet1!S444)</f>
        <v/>
      </c>
    </row>
    <row r="27" spans="2:19">
      <c r="B27" t="s">
        <v>680</v>
      </c>
      <c r="D27" t="s">
        <v>1736</v>
      </c>
      <c r="E27" s="242" t="str">
        <f>IF(Sheet1!E455="","",Sheet1!E455)</f>
        <v>OK</v>
      </c>
      <c r="F27" s="242" t="str">
        <f>IF(Sheet1!F455="","",Sheet1!F455)</f>
        <v/>
      </c>
      <c r="G27" s="242" t="str">
        <f>IF(Sheet1!G455="","",Sheet1!G455)</f>
        <v/>
      </c>
      <c r="H27" s="242" t="str">
        <f>IF(Sheet1!H455="","",Sheet1!H455)</f>
        <v/>
      </c>
      <c r="I27" s="242" t="str">
        <f>IF(Sheet1!I455="","",Sheet1!I455)</f>
        <v/>
      </c>
      <c r="J27" s="242" t="str">
        <f>IF(Sheet1!J455="","",Sheet1!J455)</f>
        <v/>
      </c>
      <c r="K27" s="242" t="str">
        <f>IF(Sheet1!K455="","",Sheet1!K455)</f>
        <v/>
      </c>
      <c r="L27" s="242" t="str">
        <f>IF(Sheet1!L455="","",Sheet1!L455)</f>
        <v/>
      </c>
      <c r="M27" s="242" t="str">
        <f>IF(Sheet1!M455="","",Sheet1!M455)</f>
        <v/>
      </c>
      <c r="N27" s="242" t="str">
        <f>IF(Sheet1!N455="","",Sheet1!N455)</f>
        <v/>
      </c>
      <c r="O27" s="242" t="str">
        <f>IF(Sheet1!O455="","",Sheet1!O455)</f>
        <v/>
      </c>
      <c r="P27" s="242" t="str">
        <f>IF(Sheet1!P455="","",Sheet1!P455)</f>
        <v/>
      </c>
      <c r="Q27" s="242" t="str">
        <f>IF(Sheet1!Q455="","",Sheet1!Q455)</f>
        <v/>
      </c>
      <c r="R27" s="242" t="str">
        <f>IF(Sheet1!R455="","",Sheet1!R455)</f>
        <v/>
      </c>
      <c r="S27" s="242" t="str">
        <f>IF(Sheet1!S455="","",Sheet1!S455)</f>
        <v/>
      </c>
    </row>
    <row r="28" spans="2:19">
      <c r="E28" s="242"/>
      <c r="F28" s="242"/>
      <c r="G28" s="242"/>
      <c r="H28" s="242"/>
      <c r="I28" s="242"/>
      <c r="J28" s="242"/>
      <c r="K28" s="242"/>
      <c r="L28" s="242"/>
      <c r="M28" s="242"/>
      <c r="N28" s="242"/>
      <c r="O28" s="242"/>
      <c r="P28" s="242"/>
      <c r="Q28" s="242"/>
      <c r="R28" s="242"/>
      <c r="S28" s="242"/>
    </row>
  </sheetData>
  <mergeCells count="5">
    <mergeCell ref="A1:U2"/>
    <mergeCell ref="A3:U3"/>
    <mergeCell ref="B6:S6"/>
    <mergeCell ref="B20:S20"/>
    <mergeCell ref="B25:S25"/>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54"/>
  <sheetViews>
    <sheetView workbookViewId="0">
      <pane ySplit="5" topLeftCell="A6" activePane="bottomLeft" state="frozen"/>
      <selection pane="bottomLeft"/>
    </sheetView>
  </sheetViews>
  <sheetFormatPr defaultRowHeight="12.75"/>
  <cols>
    <col min="1" max="1" width="6" customWidth="1"/>
    <col min="2" max="2" width="53" customWidth="1"/>
    <col min="3" max="3" width="80" customWidth="1"/>
    <col min="4" max="4" width="14" customWidth="1"/>
    <col min="5" max="21" width="13" customWidth="1"/>
  </cols>
  <sheetData>
    <row r="1" spans="1:21" ht="23.1" customHeight="1">
      <c r="A1" s="5" t="s">
        <v>1757</v>
      </c>
      <c r="B1" s="5"/>
      <c r="C1" s="5"/>
      <c r="D1" s="5"/>
      <c r="E1" s="5"/>
      <c r="F1" s="5"/>
      <c r="G1" s="5"/>
      <c r="H1" s="5"/>
      <c r="I1" s="5"/>
      <c r="J1" s="5"/>
      <c r="K1" s="5"/>
      <c r="L1" s="5"/>
      <c r="M1" s="5"/>
      <c r="N1" s="5"/>
      <c r="O1" s="5"/>
      <c r="P1" s="5"/>
      <c r="Q1" s="5"/>
      <c r="R1" s="5"/>
      <c r="S1" s="5"/>
      <c r="T1" s="5"/>
      <c r="U1" s="5"/>
    </row>
    <row r="2" spans="1:21" ht="23.1" customHeight="1">
      <c r="A2" s="5"/>
      <c r="B2" s="5"/>
      <c r="C2" s="5"/>
      <c r="D2" s="5"/>
      <c r="E2" s="5"/>
      <c r="F2" s="5"/>
      <c r="G2" s="5"/>
      <c r="H2" s="5"/>
      <c r="I2" s="5"/>
      <c r="J2" s="5"/>
      <c r="K2" s="5"/>
      <c r="L2" s="5"/>
      <c r="M2" s="5"/>
      <c r="N2" s="5"/>
      <c r="O2" s="5"/>
      <c r="P2" s="5"/>
      <c r="Q2" s="5"/>
      <c r="R2" s="5"/>
      <c r="S2" s="5"/>
      <c r="T2" s="5"/>
      <c r="U2" s="5"/>
    </row>
    <row r="3" spans="1:21" ht="24" customHeight="1">
      <c r="A3" s="4" t="s">
        <v>1758</v>
      </c>
      <c r="B3" s="4"/>
      <c r="C3" s="4"/>
      <c r="D3" s="4"/>
      <c r="E3" s="4"/>
      <c r="F3" s="4"/>
      <c r="G3" s="4"/>
      <c r="H3" s="4"/>
      <c r="I3" s="4"/>
      <c r="J3" s="4"/>
      <c r="K3" s="4"/>
      <c r="L3" s="4"/>
      <c r="M3" s="4"/>
      <c r="N3" s="4"/>
      <c r="O3" s="4"/>
      <c r="P3" s="4"/>
      <c r="Q3" s="4"/>
      <c r="R3" s="4"/>
      <c r="S3" s="4"/>
      <c r="T3" s="4"/>
      <c r="U3" s="4"/>
    </row>
    <row r="5" spans="1:21" ht="26.1" customHeight="1">
      <c r="B5" s="241" t="s">
        <v>1233</v>
      </c>
      <c r="C5" s="241" t="s">
        <v>1234</v>
      </c>
      <c r="D5" s="241" t="s">
        <v>1235</v>
      </c>
      <c r="E5" s="241" t="str">
        <f>Sheet1!E40</f>
        <v>FY21A</v>
      </c>
      <c r="F5" s="241" t="str">
        <f>Sheet1!F40</f>
        <v>FY22A</v>
      </c>
      <c r="G5" s="241" t="str">
        <f>Sheet1!G40</f>
        <v>FY23A</v>
      </c>
      <c r="H5" s="241" t="str">
        <f>Sheet1!H40</f>
        <v>FY24A</v>
      </c>
      <c r="I5" s="241" t="str">
        <f>Sheet1!I40</f>
        <v>FY25A</v>
      </c>
      <c r="J5" s="241" t="str">
        <f>Sheet1!J40</f>
        <v>FY26E</v>
      </c>
      <c r="K5" s="241" t="str">
        <f>Sheet1!K40</f>
        <v>FY27E</v>
      </c>
      <c r="L5" s="241" t="str">
        <f>Sheet1!L40</f>
        <v>FY28E</v>
      </c>
      <c r="M5" s="241" t="str">
        <f>Sheet1!M40</f>
        <v>FY29E</v>
      </c>
      <c r="N5" s="241" t="str">
        <f>Sheet1!N40</f>
        <v>FY30E</v>
      </c>
      <c r="O5" s="241" t="str">
        <f>Sheet1!O40</f>
        <v>FY31E</v>
      </c>
      <c r="P5" s="241" t="str">
        <f>Sheet1!P40</f>
        <v>FY32E</v>
      </c>
      <c r="Q5" s="241" t="str">
        <f>Sheet1!Q40</f>
        <v>FY33E</v>
      </c>
      <c r="R5" s="241" t="str">
        <f>Sheet1!R40</f>
        <v>FY34E</v>
      </c>
      <c r="S5" s="241" t="str">
        <f>Sheet1!S40</f>
        <v>FY35E</v>
      </c>
    </row>
    <row r="6" spans="1:21" ht="20.100000000000001" customHeight="1">
      <c r="B6" s="3" t="s">
        <v>1759</v>
      </c>
      <c r="C6" s="3"/>
      <c r="D6" s="3"/>
      <c r="E6" s="2"/>
      <c r="F6" s="2"/>
      <c r="G6" s="2"/>
      <c r="H6" s="2"/>
      <c r="I6" s="2"/>
      <c r="J6" s="2"/>
      <c r="K6" s="2"/>
      <c r="L6" s="2"/>
      <c r="M6" s="2"/>
      <c r="N6" s="2"/>
      <c r="O6" s="2"/>
      <c r="P6" s="2"/>
      <c r="Q6" s="2"/>
      <c r="R6" s="2"/>
      <c r="S6" s="2"/>
    </row>
    <row r="7" spans="1:21">
      <c r="B7" t="s">
        <v>184</v>
      </c>
      <c r="D7" t="s">
        <v>1237</v>
      </c>
      <c r="E7" s="242">
        <f>IF(Sheet1!E20="","",Sheet1!E20)</f>
        <v>1095</v>
      </c>
      <c r="F7" s="242" t="str">
        <f>IF(Sheet1!F20="","",Sheet1!F20)</f>
        <v/>
      </c>
      <c r="G7" s="242" t="str">
        <f>IF(Sheet1!G20="","",Sheet1!G20)</f>
        <v/>
      </c>
      <c r="H7" s="242" t="str">
        <f>IF(Sheet1!H20="","",Sheet1!H20)</f>
        <v/>
      </c>
      <c r="I7" s="242" t="str">
        <f>IF(Sheet1!I20="","",Sheet1!I20)</f>
        <v/>
      </c>
      <c r="J7" s="242" t="str">
        <f>IF(Sheet1!J20="","",Sheet1!J20)</f>
        <v/>
      </c>
      <c r="K7" s="242" t="str">
        <f>IF(Sheet1!K20="","",Sheet1!K20)</f>
        <v/>
      </c>
      <c r="L7" s="242" t="str">
        <f>IF(Sheet1!L20="","",Sheet1!L20)</f>
        <v/>
      </c>
      <c r="M7" s="242" t="str">
        <f>IF(Sheet1!M20="","",Sheet1!M20)</f>
        <v/>
      </c>
      <c r="N7" s="242" t="str">
        <f>IF(Sheet1!N20="","",Sheet1!N20)</f>
        <v/>
      </c>
      <c r="O7" s="242" t="str">
        <f>IF(Sheet1!O20="","",Sheet1!O20)</f>
        <v/>
      </c>
      <c r="P7" s="242" t="str">
        <f>IF(Sheet1!P20="","",Sheet1!P20)</f>
        <v/>
      </c>
      <c r="Q7" s="242" t="str">
        <f>IF(Sheet1!Q20="","",Sheet1!Q20)</f>
        <v/>
      </c>
      <c r="R7" s="242" t="str">
        <f>IF(Sheet1!R20="","",Sheet1!R20)</f>
        <v/>
      </c>
      <c r="S7" s="242" t="str">
        <f>IF(Sheet1!S20="","",Sheet1!S20)</f>
        <v/>
      </c>
    </row>
    <row r="8" spans="1:21">
      <c r="B8" t="s">
        <v>194</v>
      </c>
      <c r="D8" t="s">
        <v>1268</v>
      </c>
      <c r="E8" s="242">
        <f>IF(Sheet1!E24="","",Sheet1!E24)</f>
        <v>5.5600000000000004E-2</v>
      </c>
      <c r="F8" s="242" t="str">
        <f>IF(Sheet1!F24="","",Sheet1!F24)</f>
        <v>gross / spread</v>
      </c>
      <c r="G8" s="242">
        <f>IF(Sheet1!G24="","",Sheet1!G24)</f>
        <v>7.1800000000000003E-2</v>
      </c>
      <c r="H8" s="242">
        <f>IF(Sheet1!H24="","",Sheet1!H24)</f>
        <v>1.6199999999999999E-2</v>
      </c>
      <c r="I8" s="242" t="str">
        <f>IF(Sheet1!I24="","",Sheet1!I24)</f>
        <v/>
      </c>
      <c r="J8" s="242" t="str">
        <f>IF(Sheet1!J24="","",Sheet1!J24)</f>
        <v/>
      </c>
      <c r="K8" s="242" t="str">
        <f>IF(Sheet1!K24="","",Sheet1!K24)</f>
        <v/>
      </c>
      <c r="L8" s="242" t="str">
        <f>IF(Sheet1!L24="","",Sheet1!L24)</f>
        <v/>
      </c>
      <c r="M8" s="242" t="str">
        <f>IF(Sheet1!M24="","",Sheet1!M24)</f>
        <v/>
      </c>
      <c r="N8" s="242" t="str">
        <f>IF(Sheet1!N24="","",Sheet1!N24)</f>
        <v/>
      </c>
      <c r="O8" s="242" t="str">
        <f>IF(Sheet1!O24="","",Sheet1!O24)</f>
        <v/>
      </c>
      <c r="P8" s="242" t="str">
        <f>IF(Sheet1!P24="","",Sheet1!P24)</f>
        <v/>
      </c>
      <c r="Q8" s="242" t="str">
        <f>IF(Sheet1!Q24="","",Sheet1!Q24)</f>
        <v/>
      </c>
      <c r="R8" s="242" t="str">
        <f>IF(Sheet1!R24="","",Sheet1!R24)</f>
        <v/>
      </c>
      <c r="S8" s="242" t="str">
        <f>IF(Sheet1!S24="","",Sheet1!S24)</f>
        <v/>
      </c>
    </row>
    <row r="9" spans="1:21">
      <c r="B9" t="s">
        <v>197</v>
      </c>
      <c r="D9" t="s">
        <v>1269</v>
      </c>
      <c r="E9" s="242">
        <f>IF(Sheet1!E25="","",Sheet1!E25)</f>
        <v>6.6900000000000001E-2</v>
      </c>
      <c r="F9" s="242" t="str">
        <f>IF(Sheet1!F25="","",Sheet1!F25)</f>
        <v/>
      </c>
      <c r="G9" s="242" t="str">
        <f>IF(Sheet1!G25="","",Sheet1!G25)</f>
        <v/>
      </c>
      <c r="H9" s="242" t="str">
        <f>IF(Sheet1!H25="","",Sheet1!H25)</f>
        <v/>
      </c>
      <c r="I9" s="242" t="str">
        <f>IF(Sheet1!I25="","",Sheet1!I25)</f>
        <v/>
      </c>
      <c r="J9" s="242" t="str">
        <f>IF(Sheet1!J25="","",Sheet1!J25)</f>
        <v/>
      </c>
      <c r="K9" s="242" t="str">
        <f>IF(Sheet1!K25="","",Sheet1!K25)</f>
        <v/>
      </c>
      <c r="L9" s="242" t="str">
        <f>IF(Sheet1!L25="","",Sheet1!L25)</f>
        <v/>
      </c>
      <c r="M9" s="242" t="str">
        <f>IF(Sheet1!M25="","",Sheet1!M25)</f>
        <v/>
      </c>
      <c r="N9" s="242" t="str">
        <f>IF(Sheet1!N25="","",Sheet1!N25)</f>
        <v/>
      </c>
      <c r="O9" s="242" t="str">
        <f>IF(Sheet1!O25="","",Sheet1!O25)</f>
        <v/>
      </c>
      <c r="P9" s="242" t="str">
        <f>IF(Sheet1!P25="","",Sheet1!P25)</f>
        <v/>
      </c>
      <c r="Q9" s="242" t="str">
        <f>IF(Sheet1!Q25="","",Sheet1!Q25)</f>
        <v/>
      </c>
      <c r="R9" s="242" t="str">
        <f>IF(Sheet1!R25="","",Sheet1!R25)</f>
        <v/>
      </c>
      <c r="S9" s="242" t="str">
        <f>IF(Sheet1!S25="","",Sheet1!S25)</f>
        <v/>
      </c>
    </row>
    <row r="10" spans="1:21">
      <c r="B10" t="s">
        <v>199</v>
      </c>
      <c r="D10" t="s">
        <v>1270</v>
      </c>
      <c r="E10" s="242">
        <f>IF(Sheet1!E26="","",Sheet1!E26)</f>
        <v>0.75880000000000003</v>
      </c>
      <c r="F10" s="242" t="str">
        <f>IF(Sheet1!F26="","",Sheet1!F26)</f>
        <v/>
      </c>
      <c r="G10" s="242" t="str">
        <f>IF(Sheet1!G26="","",Sheet1!G26)</f>
        <v/>
      </c>
      <c r="H10" s="242" t="str">
        <f>IF(Sheet1!H26="","",Sheet1!H26)</f>
        <v/>
      </c>
      <c r="I10" s="242" t="str">
        <f>IF(Sheet1!I26="","",Sheet1!I26)</f>
        <v/>
      </c>
      <c r="J10" s="242" t="str">
        <f>IF(Sheet1!J26="","",Sheet1!J26)</f>
        <v/>
      </c>
      <c r="K10" s="242" t="str">
        <f>IF(Sheet1!K26="","",Sheet1!K26)</f>
        <v/>
      </c>
      <c r="L10" s="242" t="str">
        <f>IF(Sheet1!L26="","",Sheet1!L26)</f>
        <v/>
      </c>
      <c r="M10" s="242" t="str">
        <f>IF(Sheet1!M26="","",Sheet1!M26)</f>
        <v/>
      </c>
      <c r="N10" s="242" t="str">
        <f>IF(Sheet1!N26="","",Sheet1!N26)</f>
        <v/>
      </c>
      <c r="O10" s="242" t="str">
        <f>IF(Sheet1!O26="","",Sheet1!O26)</f>
        <v/>
      </c>
      <c r="P10" s="242" t="str">
        <f>IF(Sheet1!P26="","",Sheet1!P26)</f>
        <v/>
      </c>
      <c r="Q10" s="242" t="str">
        <f>IF(Sheet1!Q26="","",Sheet1!Q26)</f>
        <v/>
      </c>
      <c r="R10" s="242" t="str">
        <f>IF(Sheet1!R26="","",Sheet1!R26)</f>
        <v/>
      </c>
      <c r="S10" s="242" t="str">
        <f>IF(Sheet1!S26="","",Sheet1!S26)</f>
        <v/>
      </c>
    </row>
    <row r="11" spans="1:21">
      <c r="B11" t="s">
        <v>205</v>
      </c>
      <c r="D11" t="s">
        <v>1272</v>
      </c>
      <c r="E11" s="242">
        <f>IF(Sheet1!E29="","",Sheet1!E29)</f>
        <v>0.33333333333333298</v>
      </c>
      <c r="F11" s="242" t="str">
        <f>IF(Sheet1!F29="","",Sheet1!F29)</f>
        <v/>
      </c>
      <c r="G11" s="242" t="str">
        <f>IF(Sheet1!G29="","",Sheet1!G29)</f>
        <v/>
      </c>
      <c r="H11" s="242" t="str">
        <f>IF(Sheet1!H29="","",Sheet1!H29)</f>
        <v/>
      </c>
      <c r="I11" s="242" t="str">
        <f>IF(Sheet1!I29="","",Sheet1!I29)</f>
        <v/>
      </c>
      <c r="J11" s="242" t="str">
        <f>IF(Sheet1!J29="","",Sheet1!J29)</f>
        <v/>
      </c>
      <c r="K11" s="242" t="str">
        <f>IF(Sheet1!K29="","",Sheet1!K29)</f>
        <v/>
      </c>
      <c r="L11" s="242" t="str">
        <f>IF(Sheet1!L29="","",Sheet1!L29)</f>
        <v/>
      </c>
      <c r="M11" s="242" t="str">
        <f>IF(Sheet1!M29="","",Sheet1!M29)</f>
        <v/>
      </c>
      <c r="N11" s="242" t="str">
        <f>IF(Sheet1!N29="","",Sheet1!N29)</f>
        <v/>
      </c>
      <c r="O11" s="242" t="str">
        <f>IF(Sheet1!O29="","",Sheet1!O29)</f>
        <v/>
      </c>
      <c r="P11" s="242" t="str">
        <f>IF(Sheet1!P29="","",Sheet1!P29)</f>
        <v/>
      </c>
      <c r="Q11" s="242" t="str">
        <f>IF(Sheet1!Q29="","",Sheet1!Q29)</f>
        <v/>
      </c>
      <c r="R11" s="242" t="str">
        <f>IF(Sheet1!R29="","",Sheet1!R29)</f>
        <v/>
      </c>
      <c r="S11" s="242" t="str">
        <f>IF(Sheet1!S29="","",Sheet1!S29)</f>
        <v/>
      </c>
    </row>
    <row r="12" spans="1:21">
      <c r="B12" t="s">
        <v>213</v>
      </c>
      <c r="D12" t="s">
        <v>1242</v>
      </c>
      <c r="E12" s="242">
        <f>IF(Sheet1!E35="","",Sheet1!E35)</f>
        <v>0.2</v>
      </c>
      <c r="F12" s="242" t="str">
        <f>IF(Sheet1!F35="","",Sheet1!F35)</f>
        <v/>
      </c>
      <c r="G12" s="242" t="str">
        <f>IF(Sheet1!G35="","",Sheet1!G35)</f>
        <v/>
      </c>
      <c r="H12" s="242" t="str">
        <f>IF(Sheet1!H35="","",Sheet1!H35)</f>
        <v/>
      </c>
      <c r="I12" s="242" t="str">
        <f>IF(Sheet1!I35="","",Sheet1!I35)</f>
        <v/>
      </c>
      <c r="J12" s="242" t="str">
        <f>IF(Sheet1!J35="","",Sheet1!J35)</f>
        <v/>
      </c>
      <c r="K12" s="242" t="str">
        <f>IF(Sheet1!K35="","",Sheet1!K35)</f>
        <v/>
      </c>
      <c r="L12" s="242" t="str">
        <f>IF(Sheet1!L35="","",Sheet1!L35)</f>
        <v/>
      </c>
      <c r="M12" s="242" t="str">
        <f>IF(Sheet1!M35="","",Sheet1!M35)</f>
        <v/>
      </c>
      <c r="N12" s="242" t="str">
        <f>IF(Sheet1!N35="","",Sheet1!N35)</f>
        <v/>
      </c>
      <c r="O12" s="242" t="str">
        <f>IF(Sheet1!O35="","",Sheet1!O35)</f>
        <v/>
      </c>
      <c r="P12" s="242" t="str">
        <f>IF(Sheet1!P35="","",Sheet1!P35)</f>
        <v/>
      </c>
      <c r="Q12" s="242" t="str">
        <f>IF(Sheet1!Q35="","",Sheet1!Q35)</f>
        <v/>
      </c>
      <c r="R12" s="242" t="str">
        <f>IF(Sheet1!R35="","",Sheet1!R35)</f>
        <v/>
      </c>
      <c r="S12" s="242" t="str">
        <f>IF(Sheet1!S35="","",Sheet1!S35)</f>
        <v/>
      </c>
    </row>
    <row r="13" spans="1:21">
      <c r="B13" t="s">
        <v>215</v>
      </c>
      <c r="D13" t="s">
        <v>1279</v>
      </c>
      <c r="E13" s="242">
        <f>IF(Sheet1!E36="","",Sheet1!E36)</f>
        <v>0.13489999999999999</v>
      </c>
      <c r="F13" s="242" t="str">
        <f>IF(Sheet1!F36="","",Sheet1!F36)</f>
        <v/>
      </c>
      <c r="G13" s="242" t="str">
        <f>IF(Sheet1!G36="","",Sheet1!G36)</f>
        <v/>
      </c>
      <c r="H13" s="242" t="str">
        <f>IF(Sheet1!H36="","",Sheet1!H36)</f>
        <v/>
      </c>
      <c r="I13" s="242" t="str">
        <f>IF(Sheet1!I36="","",Sheet1!I36)</f>
        <v/>
      </c>
      <c r="J13" s="242" t="str">
        <f>IF(Sheet1!J36="","",Sheet1!J36)</f>
        <v/>
      </c>
      <c r="K13" s="242" t="str">
        <f>IF(Sheet1!K36="","",Sheet1!K36)</f>
        <v/>
      </c>
      <c r="L13" s="242" t="str">
        <f>IF(Sheet1!L36="","",Sheet1!L36)</f>
        <v/>
      </c>
      <c r="M13" s="242" t="str">
        <f>IF(Sheet1!M36="","",Sheet1!M36)</f>
        <v/>
      </c>
      <c r="N13" s="242" t="str">
        <f>IF(Sheet1!N36="","",Sheet1!N36)</f>
        <v/>
      </c>
      <c r="O13" s="242" t="str">
        <f>IF(Sheet1!O36="","",Sheet1!O36)</f>
        <v/>
      </c>
      <c r="P13" s="242" t="str">
        <f>IF(Sheet1!P36="","",Sheet1!P36)</f>
        <v/>
      </c>
      <c r="Q13" s="242" t="str">
        <f>IF(Sheet1!Q36="","",Sheet1!Q36)</f>
        <v/>
      </c>
      <c r="R13" s="242" t="str">
        <f>IF(Sheet1!R36="","",Sheet1!R36)</f>
        <v/>
      </c>
      <c r="S13" s="242" t="str">
        <f>IF(Sheet1!S36="","",Sheet1!S36)</f>
        <v/>
      </c>
    </row>
    <row r="14" spans="1:21">
      <c r="B14" t="s">
        <v>217</v>
      </c>
      <c r="D14" t="s">
        <v>1280</v>
      </c>
      <c r="E14" s="242">
        <f>IF(Sheet1!E37="","",Sheet1!E37)</f>
        <v>0.92</v>
      </c>
      <c r="F14" s="242" t="str">
        <f>IF(Sheet1!F37="","",Sheet1!F37)</f>
        <v/>
      </c>
      <c r="G14" s="242" t="str">
        <f>IF(Sheet1!G37="","",Sheet1!G37)</f>
        <v/>
      </c>
      <c r="H14" s="242" t="str">
        <f>IF(Sheet1!H37="","",Sheet1!H37)</f>
        <v/>
      </c>
      <c r="I14" s="242" t="str">
        <f>IF(Sheet1!I37="","",Sheet1!I37)</f>
        <v/>
      </c>
      <c r="J14" s="242" t="str">
        <f>IF(Sheet1!J37="","",Sheet1!J37)</f>
        <v/>
      </c>
      <c r="K14" s="242" t="str">
        <f>IF(Sheet1!K37="","",Sheet1!K37)</f>
        <v/>
      </c>
      <c r="L14" s="242" t="str">
        <f>IF(Sheet1!L37="","",Sheet1!L37)</f>
        <v/>
      </c>
      <c r="M14" s="242" t="str">
        <f>IF(Sheet1!M37="","",Sheet1!M37)</f>
        <v/>
      </c>
      <c r="N14" s="242" t="str">
        <f>IF(Sheet1!N37="","",Sheet1!N37)</f>
        <v/>
      </c>
      <c r="O14" s="242" t="str">
        <f>IF(Sheet1!O37="","",Sheet1!O37)</f>
        <v/>
      </c>
      <c r="P14" s="242" t="str">
        <f>IF(Sheet1!P37="","",Sheet1!P37)</f>
        <v/>
      </c>
      <c r="Q14" s="242" t="str">
        <f>IF(Sheet1!Q37="","",Sheet1!Q37)</f>
        <v/>
      </c>
      <c r="R14" s="242" t="str">
        <f>IF(Sheet1!R37="","",Sheet1!R37)</f>
        <v/>
      </c>
      <c r="S14" s="242" t="str">
        <f>IF(Sheet1!S37="","",Sheet1!S37)</f>
        <v/>
      </c>
    </row>
    <row r="15" spans="1:21">
      <c r="B15" t="s">
        <v>218</v>
      </c>
      <c r="D15" t="s">
        <v>1281</v>
      </c>
      <c r="E15" s="242">
        <f>IF(Sheet1!E38="","",Sheet1!E38)</f>
        <v>7.4999999999999997E-2</v>
      </c>
      <c r="F15" s="242" t="str">
        <f>IF(Sheet1!F38="","",Sheet1!F38)</f>
        <v/>
      </c>
      <c r="G15" s="242" t="str">
        <f>IF(Sheet1!G38="","",Sheet1!G38)</f>
        <v/>
      </c>
      <c r="H15" s="242" t="str">
        <f>IF(Sheet1!H38="","",Sheet1!H38)</f>
        <v/>
      </c>
      <c r="I15" s="242" t="str">
        <f>IF(Sheet1!I38="","",Sheet1!I38)</f>
        <v/>
      </c>
      <c r="J15" s="242" t="str">
        <f>IF(Sheet1!J38="","",Sheet1!J38)</f>
        <v/>
      </c>
      <c r="K15" s="242" t="str">
        <f>IF(Sheet1!K38="","",Sheet1!K38)</f>
        <v/>
      </c>
      <c r="L15" s="242" t="str">
        <f>IF(Sheet1!L38="","",Sheet1!L38)</f>
        <v/>
      </c>
      <c r="M15" s="242" t="str">
        <f>IF(Sheet1!M38="","",Sheet1!M38)</f>
        <v/>
      </c>
      <c r="N15" s="242" t="str">
        <f>IF(Sheet1!N38="","",Sheet1!N38)</f>
        <v/>
      </c>
      <c r="O15" s="242" t="str">
        <f>IF(Sheet1!O38="","",Sheet1!O38)</f>
        <v/>
      </c>
      <c r="P15" s="242" t="str">
        <f>IF(Sheet1!P38="","",Sheet1!P38)</f>
        <v/>
      </c>
      <c r="Q15" s="242" t="str">
        <f>IF(Sheet1!Q38="","",Sheet1!Q38)</f>
        <v/>
      </c>
      <c r="R15" s="242" t="str">
        <f>IF(Sheet1!R38="","",Sheet1!R38)</f>
        <v/>
      </c>
      <c r="S15" s="242" t="str">
        <f>IF(Sheet1!S38="","",Sheet1!S38)</f>
        <v/>
      </c>
    </row>
    <row r="16" spans="1:21">
      <c r="B16" t="s">
        <v>343</v>
      </c>
      <c r="D16" t="s">
        <v>1284</v>
      </c>
      <c r="E16" s="242">
        <f>IF(Sheet1!E133="","",Sheet1!E133)</f>
        <v>1</v>
      </c>
      <c r="F16" s="242" t="str">
        <f>IF(Sheet1!F133="","",Sheet1!F133)</f>
        <v/>
      </c>
      <c r="G16" s="242" t="str">
        <f>IF(Sheet1!G133="","",Sheet1!G133)</f>
        <v/>
      </c>
      <c r="H16" s="242" t="str">
        <f>IF(Sheet1!H133="","",Sheet1!H133)</f>
        <v/>
      </c>
      <c r="I16" s="242" t="str">
        <f>IF(Sheet1!I133="","",Sheet1!I133)</f>
        <v/>
      </c>
      <c r="J16" s="242" t="str">
        <f>IF(Sheet1!J133="","",Sheet1!J133)</f>
        <v/>
      </c>
      <c r="K16" s="242" t="str">
        <f>IF(Sheet1!K133="","",Sheet1!K133)</f>
        <v/>
      </c>
      <c r="L16" s="242" t="str">
        <f>IF(Sheet1!L133="","",Sheet1!L133)</f>
        <v/>
      </c>
      <c r="M16" s="242" t="str">
        <f>IF(Sheet1!M133="","",Sheet1!M133)</f>
        <v/>
      </c>
      <c r="N16" s="242" t="str">
        <f>IF(Sheet1!N133="","",Sheet1!N133)</f>
        <v/>
      </c>
      <c r="O16" s="242" t="str">
        <f>IF(Sheet1!O133="","",Sheet1!O133)</f>
        <v/>
      </c>
      <c r="P16" s="242" t="str">
        <f>IF(Sheet1!P133="","",Sheet1!P133)</f>
        <v/>
      </c>
      <c r="Q16" s="242" t="str">
        <f>IF(Sheet1!Q133="","",Sheet1!Q133)</f>
        <v/>
      </c>
      <c r="R16" s="242" t="str">
        <f>IF(Sheet1!R133="","",Sheet1!R133)</f>
        <v/>
      </c>
      <c r="S16" s="242" t="str">
        <f>IF(Sheet1!S133="","",Sheet1!S133)</f>
        <v/>
      </c>
    </row>
    <row r="17" spans="2:19">
      <c r="B17" t="s">
        <v>346</v>
      </c>
      <c r="D17" t="s">
        <v>1285</v>
      </c>
      <c r="E17" s="242" t="str">
        <f>IF(Sheet1!E134="","",Sheet1!E134)</f>
        <v/>
      </c>
      <c r="F17" s="242" t="str">
        <f>IF(Sheet1!F134="","",Sheet1!F134)</f>
        <v/>
      </c>
      <c r="G17" s="242" t="str">
        <f>IF(Sheet1!G134="","",Sheet1!G134)</f>
        <v/>
      </c>
      <c r="H17" s="242" t="str">
        <f>IF(Sheet1!H134="","",Sheet1!H134)</f>
        <v/>
      </c>
      <c r="I17" s="242" t="str">
        <f>IF(Sheet1!I134="","",Sheet1!I134)</f>
        <v/>
      </c>
      <c r="J17" s="242">
        <f>IF(Sheet1!J134="","",Sheet1!J134)</f>
        <v>0</v>
      </c>
      <c r="K17" s="242">
        <f>IF(Sheet1!K134="","",Sheet1!K134)</f>
        <v>6800</v>
      </c>
      <c r="L17" s="242">
        <f>IF(Sheet1!L134="","",Sheet1!L134)</f>
        <v>0</v>
      </c>
      <c r="M17" s="242">
        <f>IF(Sheet1!M134="","",Sheet1!M134)</f>
        <v>0</v>
      </c>
      <c r="N17" s="242">
        <f>IF(Sheet1!N134="","",Sheet1!N134)</f>
        <v>0</v>
      </c>
      <c r="O17" s="242">
        <f>IF(Sheet1!O134="","",Sheet1!O134)</f>
        <v>0</v>
      </c>
      <c r="P17" s="242">
        <f>IF(Sheet1!P134="","",Sheet1!P134)</f>
        <v>0</v>
      </c>
      <c r="Q17" s="242">
        <f>IF(Sheet1!Q134="","",Sheet1!Q134)</f>
        <v>0</v>
      </c>
      <c r="R17" s="242">
        <f>IF(Sheet1!R134="","",Sheet1!R134)</f>
        <v>0</v>
      </c>
      <c r="S17" s="242">
        <f>IF(Sheet1!S134="","",Sheet1!S134)</f>
        <v>0</v>
      </c>
    </row>
    <row r="18" spans="2:19">
      <c r="B18" t="s">
        <v>348</v>
      </c>
      <c r="D18" t="s">
        <v>1286</v>
      </c>
      <c r="E18" s="242">
        <f>IF(Sheet1!E135="","",Sheet1!E135)</f>
        <v>940</v>
      </c>
      <c r="F18" s="242" t="str">
        <f>IF(Sheet1!F135="","",Sheet1!F135)</f>
        <v/>
      </c>
      <c r="G18" s="242" t="str">
        <f>IF(Sheet1!G135="","",Sheet1!G135)</f>
        <v/>
      </c>
      <c r="H18" s="242" t="str">
        <f>IF(Sheet1!H135="","",Sheet1!H135)</f>
        <v/>
      </c>
      <c r="I18" s="242" t="str">
        <f>IF(Sheet1!I135="","",Sheet1!I135)</f>
        <v/>
      </c>
      <c r="J18" s="242" t="str">
        <f>IF(Sheet1!J135="","",Sheet1!J135)</f>
        <v/>
      </c>
      <c r="K18" s="242" t="str">
        <f>IF(Sheet1!K135="","",Sheet1!K135)</f>
        <v/>
      </c>
      <c r="L18" s="242" t="str">
        <f>IF(Sheet1!L135="","",Sheet1!L135)</f>
        <v/>
      </c>
      <c r="M18" s="242" t="str">
        <f>IF(Sheet1!M135="","",Sheet1!M135)</f>
        <v/>
      </c>
      <c r="N18" s="242" t="str">
        <f>IF(Sheet1!N135="","",Sheet1!N135)</f>
        <v/>
      </c>
      <c r="O18" s="242" t="str">
        <f>IF(Sheet1!O135="","",Sheet1!O135)</f>
        <v/>
      </c>
      <c r="P18" s="242" t="str">
        <f>IF(Sheet1!P135="","",Sheet1!P135)</f>
        <v/>
      </c>
      <c r="Q18" s="242" t="str">
        <f>IF(Sheet1!Q135="","",Sheet1!Q135)</f>
        <v/>
      </c>
      <c r="R18" s="242" t="str">
        <f>IF(Sheet1!R135="","",Sheet1!R135)</f>
        <v/>
      </c>
      <c r="S18" s="242" t="str">
        <f>IF(Sheet1!S135="","",Sheet1!S135)</f>
        <v/>
      </c>
    </row>
    <row r="19" spans="2:19" ht="20.100000000000001" customHeight="1">
      <c r="B19" s="3" t="s">
        <v>1760</v>
      </c>
      <c r="C19" s="3"/>
      <c r="D19" s="3"/>
      <c r="E19" s="2"/>
      <c r="F19" s="2"/>
      <c r="G19" s="2"/>
      <c r="H19" s="2"/>
      <c r="I19" s="2"/>
      <c r="J19" s="2"/>
      <c r="K19" s="2"/>
      <c r="L19" s="2"/>
      <c r="M19" s="2"/>
      <c r="N19" s="2"/>
      <c r="O19" s="2"/>
      <c r="P19" s="2"/>
      <c r="Q19" s="2"/>
      <c r="R19" s="2"/>
      <c r="S19" s="2"/>
    </row>
    <row r="20" spans="2:19">
      <c r="B20" t="s">
        <v>644</v>
      </c>
      <c r="D20" t="s">
        <v>1653</v>
      </c>
      <c r="E20" s="242">
        <f>IF(Sheet1!E418="","",Sheet1!E418)</f>
        <v>0</v>
      </c>
      <c r="F20" s="242" t="str">
        <f>IF(Sheet1!F418="","",Sheet1!F418)</f>
        <v/>
      </c>
      <c r="G20" s="242" t="str">
        <f>IF(Sheet1!G418="","",Sheet1!G418)</f>
        <v/>
      </c>
      <c r="H20" s="242" t="str">
        <f>IF(Sheet1!H418="","",Sheet1!H418)</f>
        <v/>
      </c>
      <c r="I20" s="242" t="str">
        <f>IF(Sheet1!I418="","",Sheet1!I418)</f>
        <v/>
      </c>
      <c r="J20" s="242" t="str">
        <f>IF(Sheet1!J418="","",Sheet1!J418)</f>
        <v/>
      </c>
      <c r="K20" s="242" t="str">
        <f>IF(Sheet1!K418="","",Sheet1!K418)</f>
        <v/>
      </c>
      <c r="L20" s="242" t="str">
        <f>IF(Sheet1!L418="","",Sheet1!L418)</f>
        <v/>
      </c>
      <c r="M20" s="242" t="str">
        <f>IF(Sheet1!M418="","",Sheet1!M418)</f>
        <v/>
      </c>
      <c r="N20" s="242" t="str">
        <f>IF(Sheet1!N418="","",Sheet1!N418)</f>
        <v/>
      </c>
      <c r="O20" s="242" t="str">
        <f>IF(Sheet1!O418="","",Sheet1!O418)</f>
        <v/>
      </c>
      <c r="P20" s="242" t="str">
        <f>IF(Sheet1!P418="","",Sheet1!P418)</f>
        <v/>
      </c>
      <c r="Q20" s="242" t="str">
        <f>IF(Sheet1!Q418="","",Sheet1!Q418)</f>
        <v/>
      </c>
      <c r="R20" s="242" t="str">
        <f>IF(Sheet1!R418="","",Sheet1!R418)</f>
        <v/>
      </c>
      <c r="S20" s="242" t="str">
        <f>IF(Sheet1!S418="","",Sheet1!S418)</f>
        <v/>
      </c>
    </row>
    <row r="21" spans="2:19">
      <c r="B21" t="s">
        <v>645</v>
      </c>
      <c r="D21" t="s">
        <v>1654</v>
      </c>
      <c r="E21" s="242">
        <f>IF(Sheet1!E419="","",Sheet1!E419)</f>
        <v>0</v>
      </c>
      <c r="F21" s="242" t="str">
        <f>IF(Sheet1!F419="","",Sheet1!F419)</f>
        <v/>
      </c>
      <c r="G21" s="242" t="str">
        <f>IF(Sheet1!G419="","",Sheet1!G419)</f>
        <v/>
      </c>
      <c r="H21" s="242" t="str">
        <f>IF(Sheet1!H419="","",Sheet1!H419)</f>
        <v/>
      </c>
      <c r="I21" s="242" t="str">
        <f>IF(Sheet1!I419="","",Sheet1!I419)</f>
        <v/>
      </c>
      <c r="J21" s="242" t="str">
        <f>IF(Sheet1!J419="","",Sheet1!J419)</f>
        <v/>
      </c>
      <c r="K21" s="242" t="str">
        <f>IF(Sheet1!K419="","",Sheet1!K419)</f>
        <v/>
      </c>
      <c r="L21" s="242" t="str">
        <f>IF(Sheet1!L419="","",Sheet1!L419)</f>
        <v/>
      </c>
      <c r="M21" s="242" t="str">
        <f>IF(Sheet1!M419="","",Sheet1!M419)</f>
        <v/>
      </c>
      <c r="N21" s="242" t="str">
        <f>IF(Sheet1!N419="","",Sheet1!N419)</f>
        <v/>
      </c>
      <c r="O21" s="242" t="str">
        <f>IF(Sheet1!O419="","",Sheet1!O419)</f>
        <v/>
      </c>
      <c r="P21" s="242" t="str">
        <f>IF(Sheet1!P419="","",Sheet1!P419)</f>
        <v/>
      </c>
      <c r="Q21" s="242" t="str">
        <f>IF(Sheet1!Q419="","",Sheet1!Q419)</f>
        <v/>
      </c>
      <c r="R21" s="242" t="str">
        <f>IF(Sheet1!R419="","",Sheet1!R419)</f>
        <v/>
      </c>
      <c r="S21" s="242" t="str">
        <f>IF(Sheet1!S419="","",Sheet1!S419)</f>
        <v/>
      </c>
    </row>
    <row r="22" spans="2:19">
      <c r="B22" t="s">
        <v>646</v>
      </c>
      <c r="D22" t="s">
        <v>1755</v>
      </c>
      <c r="E22" s="242" t="str">
        <f>IF(Sheet1!E420="","",Sheet1!E420)</f>
        <v>OK</v>
      </c>
      <c r="F22" s="242" t="str">
        <f>IF(Sheet1!F420="","",Sheet1!F420)</f>
        <v/>
      </c>
      <c r="G22" s="242" t="str">
        <f>IF(Sheet1!G420="","",Sheet1!G420)</f>
        <v/>
      </c>
      <c r="H22" s="242" t="str">
        <f>IF(Sheet1!H420="","",Sheet1!H420)</f>
        <v/>
      </c>
      <c r="I22" s="242" t="str">
        <f>IF(Sheet1!I420="","",Sheet1!I420)</f>
        <v/>
      </c>
      <c r="J22" s="242" t="str">
        <f>IF(Sheet1!J420="","",Sheet1!J420)</f>
        <v/>
      </c>
      <c r="K22" s="242" t="str">
        <f>IF(Sheet1!K420="","",Sheet1!K420)</f>
        <v/>
      </c>
      <c r="L22" s="242" t="str">
        <f>IF(Sheet1!L420="","",Sheet1!L420)</f>
        <v/>
      </c>
      <c r="M22" s="242" t="str">
        <f>IF(Sheet1!M420="","",Sheet1!M420)</f>
        <v/>
      </c>
      <c r="N22" s="242" t="str">
        <f>IF(Sheet1!N420="","",Sheet1!N420)</f>
        <v/>
      </c>
      <c r="O22" s="242" t="str">
        <f>IF(Sheet1!O420="","",Sheet1!O420)</f>
        <v/>
      </c>
      <c r="P22" s="242" t="str">
        <f>IF(Sheet1!P420="","",Sheet1!P420)</f>
        <v/>
      </c>
      <c r="Q22" s="242" t="str">
        <f>IF(Sheet1!Q420="","",Sheet1!Q420)</f>
        <v/>
      </c>
      <c r="R22" s="242" t="str">
        <f>IF(Sheet1!R420="","",Sheet1!R420)</f>
        <v/>
      </c>
      <c r="S22" s="242" t="str">
        <f>IF(Sheet1!S420="","",Sheet1!S420)</f>
        <v/>
      </c>
    </row>
    <row r="23" spans="2:19">
      <c r="E23" s="242"/>
      <c r="F23" s="242"/>
      <c r="G23" s="242"/>
      <c r="H23" s="242"/>
      <c r="I23" s="242"/>
      <c r="J23" s="242"/>
      <c r="K23" s="242"/>
      <c r="L23" s="242"/>
      <c r="M23" s="242"/>
      <c r="N23" s="242"/>
      <c r="O23" s="242"/>
      <c r="P23" s="242"/>
      <c r="Q23" s="242"/>
      <c r="R23" s="242"/>
      <c r="S23" s="242"/>
    </row>
    <row r="45" spans="2:19">
      <c r="B45" s="1" t="s">
        <v>1761</v>
      </c>
      <c r="C45" s="1"/>
      <c r="D45" s="1"/>
      <c r="E45" s="1"/>
      <c r="F45" s="1"/>
      <c r="G45" s="1"/>
      <c r="H45" s="1"/>
      <c r="I45" s="1"/>
      <c r="J45" s="1"/>
      <c r="K45" s="1"/>
      <c r="L45" s="1"/>
      <c r="M45" s="1"/>
      <c r="N45" s="1"/>
      <c r="O45" s="1"/>
      <c r="P45" s="1"/>
      <c r="Q45" s="1"/>
      <c r="R45" s="1"/>
      <c r="S45" s="1"/>
    </row>
    <row r="46" spans="2:19">
      <c r="B46" t="s">
        <v>1762</v>
      </c>
      <c r="C46" t="s">
        <v>1763</v>
      </c>
    </row>
    <row r="47" spans="2:19">
      <c r="B47" t="s">
        <v>1764</v>
      </c>
      <c r="C47" t="s">
        <v>1765</v>
      </c>
    </row>
    <row r="48" spans="2:19">
      <c r="B48" t="s">
        <v>1766</v>
      </c>
      <c r="C48" t="s">
        <v>1767</v>
      </c>
    </row>
    <row r="49" spans="2:3">
      <c r="B49" t="s">
        <v>1768</v>
      </c>
      <c r="C49" t="s">
        <v>1769</v>
      </c>
    </row>
    <row r="50" spans="2:3">
      <c r="B50" t="s">
        <v>1770</v>
      </c>
      <c r="C50" t="s">
        <v>1771</v>
      </c>
    </row>
    <row r="51" spans="2:3">
      <c r="B51" t="s">
        <v>1772</v>
      </c>
      <c r="C51" t="s">
        <v>1773</v>
      </c>
    </row>
    <row r="52" spans="2:3">
      <c r="B52" t="s">
        <v>1774</v>
      </c>
      <c r="C52" t="s">
        <v>1775</v>
      </c>
    </row>
    <row r="53" spans="2:3">
      <c r="B53" t="s">
        <v>1776</v>
      </c>
      <c r="C53" t="s">
        <v>1777</v>
      </c>
    </row>
    <row r="54" spans="2:3">
      <c r="B54" t="s">
        <v>1778</v>
      </c>
      <c r="C54" t="s">
        <v>1779</v>
      </c>
    </row>
  </sheetData>
  <mergeCells count="5">
    <mergeCell ref="A1:U2"/>
    <mergeCell ref="A3:U3"/>
    <mergeCell ref="B6:S6"/>
    <mergeCell ref="B19:S19"/>
    <mergeCell ref="B45:S4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README</vt:lpstr>
      <vt:lpstr>Dashboard</vt:lpstr>
      <vt:lpstr>Sheet1</vt:lpstr>
      <vt:lpstr>Valuation_Checks</vt:lpstr>
      <vt:lpstr>Charts</vt:lpstr>
      <vt:lpstr>Terminal_ROE</vt:lpstr>
      <vt:lpstr>Beta_Evidence</vt:lpstr>
      <vt:lpstr>Prob_Justification</vt:lpstr>
      <vt:lpstr>Damodaran_Audit</vt:lpstr>
      <vt:lpstr>Driver_Check</vt:lpstr>
      <vt:lpstr>CF_Direct</vt:lpstr>
      <vt:lpstr>Input_Register</vt:lpstr>
      <vt:lpstr>Beta</vt:lpstr>
      <vt:lpstr>Returns</vt:lpstr>
      <vt:lpstr>Prices</vt:lpstr>
      <vt:lpstr>Change_Log</vt:lpstr>
      <vt:lpstr>00_Dashboard</vt:lpstr>
      <vt:lpstr>01_Sources_Control</vt:lpstr>
      <vt:lpstr>02_Historical_FS</vt:lpstr>
      <vt:lpstr>03_Historical_Ratios</vt:lpstr>
      <vt:lpstr>04_Market_Beta</vt:lpstr>
      <vt:lpstr>05_Assumptions</vt:lpstr>
      <vt:lpstr>06_Financing_Funding</vt:lpstr>
      <vt:lpstr>07_Credit_Capital</vt:lpstr>
      <vt:lpstr>08_Financial_Forecast</vt:lpstr>
      <vt:lpstr>09_DDM_Valuation</vt:lpstr>
      <vt:lpstr>10_RI_Valuation</vt:lpstr>
      <vt:lpstr>11_Relative_Valuation</vt:lpstr>
      <vt:lpstr>12_Scenario_Analysis</vt:lpstr>
      <vt:lpstr>13_Model_Checks</vt:lpstr>
      <vt:lpstr>14_Documentation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Alif Fahmi F</cp:lastModifiedBy>
  <dcterms:modified xsi:type="dcterms:W3CDTF">2026-10-17T13:58:28Z</dcterms:modified>
</cp:coreProperties>
</file>